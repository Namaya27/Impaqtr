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eduvlerick.sharepoint.com/sites/IMPAQTR/Shared Documents/General/02_Interview Process/Interview Analysis/"/>
    </mc:Choice>
  </mc:AlternateContent>
  <xr:revisionPtr revIDLastSave="0" documentId="8_{CA600A04-D8E2-4969-817B-CE6FA28F5CED}" xr6:coauthVersionLast="47" xr6:coauthVersionMax="47" xr10:uidLastSave="{00000000-0000-0000-0000-000000000000}"/>
  <bookViews>
    <workbookView xWindow="28680" yWindow="-120" windowWidth="29040" windowHeight="15720" activeTab="31" xr2:uid="{00000000-000D-0000-FFFF-FFFF00000000}"/>
  </bookViews>
  <sheets>
    <sheet name="Prioritization" sheetId="1" r:id="rId1"/>
    <sheet name="Scores" sheetId="35" r:id="rId2"/>
    <sheet name="Analysis — Filter View" sheetId="3" state="hidden" r:id="rId3"/>
    <sheet name="Analysis — Individual" sheetId="2" state="hidden" r:id="rId4"/>
    <sheet name="Company 1" sheetId="4" state="hidden" r:id="rId5"/>
    <sheet name="Company 2" sheetId="5" state="hidden" r:id="rId6"/>
    <sheet name="Company 3" sheetId="6" state="hidden" r:id="rId7"/>
    <sheet name="Company 4" sheetId="7" state="hidden" r:id="rId8"/>
    <sheet name="Company 5" sheetId="8" state="hidden" r:id="rId9"/>
    <sheet name="Company 6" sheetId="9" state="hidden" r:id="rId10"/>
    <sheet name="Company 7" sheetId="10" state="hidden" r:id="rId11"/>
    <sheet name="Company 8" sheetId="11" state="hidden" r:id="rId12"/>
    <sheet name="Company 9" sheetId="12" state="hidden" r:id="rId13"/>
    <sheet name="Company 10" sheetId="13" state="hidden" r:id="rId14"/>
    <sheet name="Company 11" sheetId="14" state="hidden" r:id="rId15"/>
    <sheet name="Company 12" sheetId="15" state="hidden" r:id="rId16"/>
    <sheet name="Company 13" sheetId="16" state="hidden" r:id="rId17"/>
    <sheet name="Company 18" sheetId="21" state="hidden" r:id="rId18"/>
    <sheet name="Company 19" sheetId="22" state="hidden" r:id="rId19"/>
    <sheet name="Company 20" sheetId="23" state="hidden" r:id="rId20"/>
    <sheet name="Company 21" sheetId="24" state="hidden" r:id="rId21"/>
    <sheet name="Company 22" sheetId="25" state="hidden" r:id="rId22"/>
    <sheet name="Company 23" sheetId="26" state="hidden" r:id="rId23"/>
    <sheet name="Company 24" sheetId="27" state="hidden" r:id="rId24"/>
    <sheet name="Company 25" sheetId="28" state="hidden" r:id="rId25"/>
    <sheet name="Company 26" sheetId="29" state="hidden" r:id="rId26"/>
    <sheet name="Company 27" sheetId="30" state="hidden" r:id="rId27"/>
    <sheet name="Company 28" sheetId="31" state="hidden" r:id="rId28"/>
    <sheet name="Company 29" sheetId="32" state="hidden" r:id="rId29"/>
    <sheet name="Company 30" sheetId="33" state="hidden" r:id="rId30"/>
    <sheet name="Template" sheetId="34" state="hidden" r:id="rId31"/>
    <sheet name="Scorecard Planning" sheetId="36" r:id="rId32"/>
  </sheets>
  <externalReferences>
    <externalReference r:id="rId33"/>
  </externalReferences>
  <definedNames>
    <definedName name="_xlnm._FilterDatabase" localSheetId="2" hidden="1">'Analysis — Filter View'!$B$3:$AP$33</definedName>
    <definedName name="_xlnm._FilterDatabase" localSheetId="3" hidden="1">'Analysis — Individual'!$B$9:$AH$9</definedName>
    <definedName name="_xlnm._FilterDatabase" localSheetId="0" hidden="1">Scores!$A$3:$F$38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36" l="1"/>
  <c r="E41" i="36"/>
  <c r="D41" i="36"/>
  <c r="C41" i="36"/>
  <c r="F35" i="36"/>
  <c r="E35" i="36"/>
  <c r="D35" i="36"/>
  <c r="C35" i="36"/>
  <c r="F29" i="36"/>
  <c r="E29" i="36"/>
  <c r="D29" i="36"/>
  <c r="C29" i="36"/>
  <c r="F24" i="36"/>
  <c r="E24" i="36"/>
  <c r="D24" i="36"/>
  <c r="C24" i="36"/>
  <c r="F17" i="36"/>
  <c r="E17" i="36"/>
  <c r="D17" i="36"/>
  <c r="C17" i="36"/>
  <c r="F12" i="36"/>
  <c r="E12" i="36"/>
  <c r="D12" i="36"/>
  <c r="C12" i="36"/>
  <c r="F5" i="36"/>
  <c r="E5" i="36"/>
  <c r="D5" i="36"/>
  <c r="C5" i="36"/>
  <c r="F2" i="35"/>
  <c r="K4" i="35" a="1"/>
  <c r="K4" i="35"/>
  <c r="J4" i="35" a="1"/>
  <c r="J4" i="35"/>
  <c r="I4" i="35" a="1"/>
  <c r="I4" i="35"/>
  <c r="H4" i="35" a="1"/>
  <c r="H4" i="35"/>
  <c r="E4" i="35" a="1"/>
  <c r="E4" i="35"/>
  <c r="D3" i="1"/>
  <c r="I50" i="2"/>
  <c r="H50" i="2"/>
  <c r="G50" i="2"/>
  <c r="F50" i="2"/>
  <c r="E50" i="2"/>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AP26" i="3"/>
  <c r="AO26" i="3"/>
  <c r="AN26" i="3"/>
  <c r="AM26" i="3"/>
  <c r="AL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C26"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AP20" i="3"/>
  <c r="AO20" i="3"/>
  <c r="AN20"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D18" i="3"/>
  <c r="C18"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H37" i="3" s="1"/>
  <c r="G15" i="3"/>
  <c r="F15" i="3"/>
  <c r="E15" i="3"/>
  <c r="E41" i="3" s="1"/>
  <c r="R41" i="3" s="1"/>
  <c r="D15" i="3"/>
  <c r="C15"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C13"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C12"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C5"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AH50" i="2"/>
  <c r="AG50" i="2"/>
  <c r="AF50" i="2"/>
  <c r="AE50" i="2"/>
  <c r="AD50" i="2"/>
  <c r="AC50" i="2"/>
  <c r="AB50" i="2"/>
  <c r="AA50" i="2"/>
  <c r="Z50" i="2"/>
  <c r="Y50" i="2"/>
  <c r="X50" i="2"/>
  <c r="W50" i="2"/>
  <c r="V50" i="2"/>
  <c r="U50" i="2"/>
  <c r="T50" i="2"/>
  <c r="S50" i="2"/>
  <c r="R50" i="2"/>
  <c r="Q50" i="2"/>
  <c r="P50" i="2"/>
  <c r="O50" i="2"/>
  <c r="N50" i="2"/>
  <c r="M50" i="2"/>
  <c r="L50" i="2"/>
  <c r="K50" i="2"/>
  <c r="J50"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6" i="1"/>
  <c r="C6" i="1"/>
  <c r="D5" i="1"/>
  <c r="C5" i="1"/>
  <c r="D4" i="1"/>
  <c r="C4" i="1"/>
  <c r="C3" i="1"/>
  <c r="F38" i="35" l="1"/>
  <c r="F37" i="35"/>
  <c r="F36" i="35"/>
  <c r="F35" i="35"/>
  <c r="F34" i="35"/>
  <c r="F33" i="35"/>
  <c r="F32" i="35"/>
  <c r="F31" i="35"/>
  <c r="F30" i="35"/>
  <c r="F29" i="35"/>
  <c r="F28" i="35"/>
  <c r="F27" i="35"/>
  <c r="F26" i="35"/>
  <c r="F25" i="35"/>
  <c r="F24" i="35"/>
  <c r="F23" i="35"/>
  <c r="F22" i="35"/>
  <c r="F21" i="35"/>
  <c r="F20" i="35"/>
  <c r="F19" i="35"/>
  <c r="F18" i="35"/>
  <c r="F17" i="35"/>
  <c r="F7" i="35"/>
  <c r="F6" i="35"/>
  <c r="F5" i="35"/>
  <c r="M38" i="35"/>
  <c r="M37" i="35"/>
  <c r="M36" i="35"/>
  <c r="M35" i="35"/>
  <c r="M34" i="35"/>
  <c r="M33" i="35"/>
  <c r="M32" i="35"/>
  <c r="M31" i="35"/>
  <c r="M30" i="35"/>
  <c r="M29" i="35"/>
  <c r="M28" i="35"/>
  <c r="M27" i="35"/>
  <c r="M26" i="35"/>
  <c r="M25" i="35"/>
  <c r="M24" i="35"/>
  <c r="M23" i="35"/>
  <c r="M22" i="35"/>
  <c r="M21" i="35"/>
  <c r="M20" i="35"/>
  <c r="M19" i="35"/>
  <c r="M18" i="35"/>
  <c r="M17" i="35"/>
  <c r="M7" i="35"/>
  <c r="M6" i="35"/>
  <c r="M5" i="35"/>
  <c r="N38" i="35"/>
  <c r="N37" i="35"/>
  <c r="N36" i="35"/>
  <c r="N35" i="35"/>
  <c r="N34" i="35"/>
  <c r="N33" i="35"/>
  <c r="N32" i="35"/>
  <c r="N31" i="35"/>
  <c r="N30" i="35"/>
  <c r="N29" i="35"/>
  <c r="N28" i="35"/>
  <c r="N27" i="35"/>
  <c r="N26" i="35"/>
  <c r="N25" i="35"/>
  <c r="N24" i="35"/>
  <c r="N23" i="35"/>
  <c r="N22" i="35"/>
  <c r="N21" i="35"/>
  <c r="N20" i="35"/>
  <c r="N19" i="35"/>
  <c r="N18" i="35"/>
  <c r="N17" i="35"/>
  <c r="N7" i="35"/>
  <c r="N6" i="35"/>
  <c r="N5" i="35"/>
  <c r="O38" i="35"/>
  <c r="O37" i="35"/>
  <c r="O36" i="35"/>
  <c r="O35" i="35"/>
  <c r="O34" i="35"/>
  <c r="O33" i="35"/>
  <c r="O32" i="35"/>
  <c r="O31" i="35"/>
  <c r="O30" i="35"/>
  <c r="O29" i="35"/>
  <c r="O28" i="35"/>
  <c r="O27" i="35"/>
  <c r="O26" i="35"/>
  <c r="O25" i="35"/>
  <c r="O24" i="35"/>
  <c r="O23" i="35"/>
  <c r="O22" i="35"/>
  <c r="O21" i="35"/>
  <c r="O20" i="35"/>
  <c r="O19" i="35"/>
  <c r="O18" i="35"/>
  <c r="O17" i="35"/>
  <c r="O7" i="35"/>
  <c r="O6" i="35"/>
  <c r="O5" i="35"/>
  <c r="P38" i="35"/>
  <c r="P37" i="35"/>
  <c r="P36" i="35"/>
  <c r="P35" i="35"/>
  <c r="P34" i="35"/>
  <c r="P33" i="35"/>
  <c r="P32" i="35"/>
  <c r="P31" i="35"/>
  <c r="P30" i="35"/>
  <c r="P29" i="35"/>
  <c r="P28" i="35"/>
  <c r="P27" i="35"/>
  <c r="P26" i="35"/>
  <c r="P25" i="35"/>
  <c r="P24" i="35"/>
  <c r="P23" i="35"/>
  <c r="P22" i="35"/>
  <c r="P21" i="35"/>
  <c r="P20" i="35"/>
  <c r="P19" i="35"/>
  <c r="P18" i="35"/>
  <c r="P17" i="35"/>
  <c r="P7" i="35"/>
  <c r="P6" i="35"/>
  <c r="P5" i="35"/>
  <c r="AP41" i="3"/>
  <c r="AO41" i="3"/>
  <c r="AN41" i="3"/>
  <c r="AM41" i="3"/>
  <c r="AL41" i="3"/>
  <c r="AK41" i="3"/>
  <c r="AJ41" i="3"/>
  <c r="AI41" i="3"/>
  <c r="AH41" i="3"/>
  <c r="AG41" i="3"/>
  <c r="AF41" i="3"/>
  <c r="AE41" i="3"/>
  <c r="AD41" i="3"/>
  <c r="AC41" i="3"/>
  <c r="AB41" i="3"/>
  <c r="AA41" i="3"/>
  <c r="Z41" i="3"/>
  <c r="Y41" i="3"/>
  <c r="X41" i="3"/>
  <c r="W41" i="3"/>
  <c r="V41" i="3"/>
  <c r="U41" i="3"/>
  <c r="K41" i="3"/>
  <c r="J41" i="3"/>
  <c r="I41" i="3"/>
  <c r="AP40" i="3"/>
  <c r="AO40" i="3"/>
  <c r="AN40" i="3"/>
  <c r="AM40" i="3"/>
  <c r="AL40" i="3"/>
  <c r="AK40" i="3"/>
  <c r="AJ40" i="3"/>
  <c r="AI40" i="3"/>
  <c r="AH40" i="3"/>
  <c r="AG40" i="3"/>
  <c r="AF40" i="3"/>
  <c r="AE40" i="3"/>
  <c r="AD40" i="3"/>
  <c r="AC40" i="3"/>
  <c r="AB40" i="3"/>
  <c r="AA40" i="3"/>
  <c r="Z40" i="3"/>
  <c r="Y40" i="3"/>
  <c r="X40" i="3"/>
  <c r="W40" i="3"/>
  <c r="V40" i="3"/>
  <c r="U40" i="3"/>
  <c r="K40" i="3"/>
  <c r="J40" i="3"/>
  <c r="I40" i="3"/>
  <c r="AP39" i="3"/>
  <c r="AO39" i="3"/>
  <c r="AN39" i="3"/>
  <c r="AM39" i="3"/>
  <c r="AL39" i="3"/>
  <c r="AK39" i="3"/>
  <c r="AJ39" i="3"/>
  <c r="AI39" i="3"/>
  <c r="AH39" i="3"/>
  <c r="AG39" i="3"/>
  <c r="AF39" i="3"/>
  <c r="AE39" i="3"/>
  <c r="AD39" i="3"/>
  <c r="AC39" i="3"/>
  <c r="AB39" i="3"/>
  <c r="AA39" i="3"/>
  <c r="Z39" i="3"/>
  <c r="Y39" i="3"/>
  <c r="X39" i="3"/>
  <c r="W39" i="3"/>
  <c r="V39" i="3"/>
  <c r="U39" i="3"/>
  <c r="K39" i="3"/>
  <c r="J39" i="3"/>
  <c r="I39" i="3"/>
  <c r="AP38" i="3"/>
  <c r="AO38" i="3"/>
  <c r="AN38" i="3"/>
  <c r="AM38" i="3"/>
  <c r="AL38" i="3"/>
  <c r="AK38" i="3"/>
  <c r="AJ38" i="3"/>
  <c r="AI38" i="3"/>
  <c r="AH38" i="3"/>
  <c r="AG38" i="3"/>
  <c r="AF38" i="3"/>
  <c r="AE38" i="3"/>
  <c r="AD38" i="3"/>
  <c r="AC38" i="3"/>
  <c r="AB38" i="3"/>
  <c r="AA38" i="3"/>
  <c r="Z38" i="3"/>
  <c r="Y38" i="3"/>
  <c r="X38" i="3"/>
  <c r="W38" i="3"/>
  <c r="V38" i="3"/>
  <c r="U38" i="3"/>
  <c r="K38" i="3"/>
  <c r="J38" i="3"/>
  <c r="I38" i="3"/>
  <c r="E37" i="3"/>
  <c r="S41" i="3"/>
  <c r="T41" i="3"/>
  <c r="H41" i="3"/>
  <c r="L41" i="3"/>
  <c r="M41" i="3"/>
  <c r="N41" i="3"/>
  <c r="O41" i="3"/>
  <c r="P41" i="3"/>
  <c r="Q41" i="3"/>
  <c r="E38" i="3"/>
  <c r="E39" i="3"/>
  <c r="E40" i="3"/>
  <c r="T37" i="3"/>
  <c r="S37" i="3"/>
  <c r="Q37" i="3"/>
  <c r="R37" i="3"/>
  <c r="AE37" i="3"/>
  <c r="AF37" i="3"/>
  <c r="AG37" i="3"/>
  <c r="I37" i="3"/>
  <c r="AA37" i="3"/>
  <c r="AM37" i="3"/>
  <c r="O37" i="3"/>
  <c r="AB37" i="3"/>
  <c r="AO37" i="3"/>
  <c r="AP37" i="3"/>
  <c r="P37" i="3"/>
  <c r="U37" i="3"/>
  <c r="AN37" i="3"/>
  <c r="AC37" i="3"/>
  <c r="AD37" i="3"/>
  <c r="AH37" i="3"/>
  <c r="J37" i="3"/>
  <c r="V37" i="3"/>
  <c r="K37" i="3"/>
  <c r="W37" i="3"/>
  <c r="AI37" i="3"/>
  <c r="L37" i="3"/>
  <c r="X37" i="3"/>
  <c r="AJ37" i="3"/>
  <c r="M37" i="3"/>
  <c r="Y37" i="3"/>
  <c r="AK37" i="3"/>
  <c r="N37" i="3"/>
  <c r="Z37" i="3"/>
  <c r="AL37" i="3"/>
  <c r="Q40" i="3" l="1"/>
  <c r="T40" i="3"/>
  <c r="P40" i="3"/>
  <c r="R40" i="3"/>
  <c r="O40" i="3"/>
  <c r="N40" i="3"/>
  <c r="M40" i="3"/>
  <c r="L40" i="3"/>
  <c r="H40" i="3"/>
  <c r="S40" i="3"/>
  <c r="R38" i="3"/>
  <c r="Q38" i="3"/>
  <c r="H38" i="3"/>
  <c r="N38" i="3"/>
  <c r="T38" i="3"/>
  <c r="S38" i="3"/>
  <c r="P38" i="3"/>
  <c r="O38" i="3"/>
  <c r="M38" i="3"/>
  <c r="L38" i="3"/>
  <c r="P39" i="3"/>
  <c r="O39" i="3"/>
  <c r="T39" i="3"/>
  <c r="N39" i="3"/>
  <c r="M39" i="3"/>
  <c r="L39" i="3"/>
  <c r="H39" i="3"/>
  <c r="S39" i="3"/>
  <c r="R39" i="3"/>
  <c r="Q3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<sst xmlns="http://schemas.openxmlformats.org/spreadsheetml/2006/main" count="7216" uniqueCount="498">
  <si>
    <t>Company Target Prioritization</t>
  </si>
  <si>
    <t>Industry</t>
  </si>
  <si>
    <t>Average Grading</t>
  </si>
  <si>
    <t>Average grading if willing to use 3rd Party</t>
  </si>
  <si>
    <t>Phase 1</t>
  </si>
  <si>
    <t>Low data maturity, limited data exchange</t>
  </si>
  <si>
    <t>Manufacturer</t>
  </si>
  <si>
    <t>Phase 2</t>
  </si>
  <si>
    <t>Medium data maturity, some data exchange</t>
  </si>
  <si>
    <t>Specialty Retail</t>
  </si>
  <si>
    <t>Phase 3</t>
  </si>
  <si>
    <t>High data maturity, existing data exchange</t>
  </si>
  <si>
    <t>Wholesaler</t>
  </si>
  <si>
    <t>Retailer</t>
  </si>
  <si>
    <t>1=Low maturity</t>
  </si>
  <si>
    <t>5=high maturity</t>
  </si>
  <si>
    <t>0-10</t>
  </si>
  <si>
    <t>Company</t>
  </si>
  <si>
    <t>Data Maturity</t>
  </si>
  <si>
    <t>Collaboration</t>
  </si>
  <si>
    <t>Third Party</t>
  </si>
  <si>
    <t>Grade</t>
  </si>
  <si>
    <t>Notes</t>
  </si>
  <si>
    <t>Starting Phase</t>
  </si>
  <si>
    <t>Contact</t>
  </si>
  <si>
    <t>Dico Foods</t>
  </si>
  <si>
    <t>Familia Pharmacies</t>
  </si>
  <si>
    <t>Spuntini</t>
  </si>
  <si>
    <t>Tom &amp; Co</t>
  </si>
  <si>
    <t>Edgard &amp; Cooper</t>
  </si>
  <si>
    <t>Wellness Pet</t>
  </si>
  <si>
    <t>Arla</t>
  </si>
  <si>
    <t>Conway</t>
  </si>
  <si>
    <t>Gondola wholesale market data</t>
  </si>
  <si>
    <t>No Go</t>
  </si>
  <si>
    <t>Solucious</t>
  </si>
  <si>
    <t xml:space="preserve">Piloting already with a company (Gondola? ) </t>
  </si>
  <si>
    <t>Shell</t>
  </si>
  <si>
    <t>Exited Nielsen data sharing 20 years ago</t>
  </si>
  <si>
    <t>Hanos</t>
  </si>
  <si>
    <t>Limiting Company Policy</t>
  </si>
  <si>
    <t>Spadel</t>
  </si>
  <si>
    <t>Lidl</t>
  </si>
  <si>
    <t>Target audience:</t>
  </si>
  <si>
    <t>1) Standalone</t>
  </si>
  <si>
    <t>1) Combined</t>
  </si>
  <si>
    <t xml:space="preserve">2) Combined </t>
  </si>
  <si>
    <t>Tool Target Prioritization</t>
  </si>
  <si>
    <t>Average Score by Industry</t>
  </si>
  <si>
    <t>Percentage by Industry</t>
  </si>
  <si>
    <t>Section</t>
  </si>
  <si>
    <t>Question ID</t>
  </si>
  <si>
    <t>Question</t>
  </si>
  <si>
    <t>Range</t>
  </si>
  <si>
    <t>Value</t>
  </si>
  <si>
    <t>%</t>
  </si>
  <si>
    <t>Baseline</t>
  </si>
  <si>
    <t>B1_INTEREST</t>
  </si>
  <si>
    <t>Interest (1–10)</t>
  </si>
  <si>
    <t>0-1</t>
  </si>
  <si>
    <t>Prioiritize Manufacturer &gt; Wholesaer &gt; Specialty Retailer &gt;  Retail</t>
  </si>
  <si>
    <t>B2_SHARING</t>
  </si>
  <si>
    <t>Shares data (0/1)</t>
  </si>
  <si>
    <t xml:space="preserve">Everyone shares some sort of data in the market. </t>
  </si>
  <si>
    <t>B3_MONETIZE</t>
  </si>
  <si>
    <t>Monetizes data (0/1)</t>
  </si>
  <si>
    <t>Data monetization is a critical strategic choice for retail and manufacturers, and some specialty retailers</t>
  </si>
  <si>
    <t>B4_STRATEGIC</t>
  </si>
  <si>
    <t>Strategic reasons (0/1)</t>
  </si>
  <si>
    <t xml:space="preserve">Data sharing is a strategic choice. </t>
  </si>
  <si>
    <t>Maturity</t>
  </si>
  <si>
    <t>M1_AUTOMATED</t>
  </si>
  <si>
    <t>Automated vs manual</t>
  </si>
  <si>
    <t>0-5</t>
  </si>
  <si>
    <t>M2_REALTIME</t>
  </si>
  <si>
    <t>Real-time vs lagging</t>
  </si>
  <si>
    <t>M3_STRATEGIC</t>
  </si>
  <si>
    <t>Ops vs strategic focus</t>
  </si>
  <si>
    <t>M4_BREADTH</t>
  </si>
  <si>
    <t>All clients vs selective</t>
  </si>
  <si>
    <t>M5_DATATYPES</t>
  </si>
  <si>
    <t>Breadth of data</t>
  </si>
  <si>
    <t>M6_TRUST</t>
  </si>
  <si>
    <t>Trust in data</t>
  </si>
  <si>
    <t>M7_BARRIERS</t>
  </si>
  <si>
    <t>Readiness/barriers</t>
  </si>
  <si>
    <t>M8_IMPACT</t>
  </si>
  <si>
    <t>Operational impact</t>
  </si>
  <si>
    <t>The operational inefficiencies have higher impact (to be tested further) on the retail side &gt; sell-in opportunities missed</t>
  </si>
  <si>
    <t>M9_WILLINGNESS</t>
  </si>
  <si>
    <t>Willingness (synthesis)</t>
  </si>
  <si>
    <t xml:space="preserve">Manufacturers have higher willingness to collaborate on data &amp; insights. Should be the primary contact to push for collaboration. </t>
  </si>
  <si>
    <t>Value Unlock</t>
  </si>
  <si>
    <t>SV1_PRICING</t>
  </si>
  <si>
    <t>Pricing</t>
  </si>
  <si>
    <t>Value driver #5</t>
  </si>
  <si>
    <t>SV2_PROMOTIONS</t>
  </si>
  <si>
    <t>Promotions</t>
  </si>
  <si>
    <t>Value driver #2</t>
  </si>
  <si>
    <t>SV3_SUPPLYCHAIN</t>
  </si>
  <si>
    <t>Supply Chain</t>
  </si>
  <si>
    <t>Value driver #1</t>
  </si>
  <si>
    <t>SV4_CATEGORY</t>
  </si>
  <si>
    <t>Category Planning</t>
  </si>
  <si>
    <t>Value driver #3</t>
  </si>
  <si>
    <t>SV5_DEMAND</t>
  </si>
  <si>
    <t>Demand Forecasting</t>
  </si>
  <si>
    <t>Value driver #4</t>
  </si>
  <si>
    <t>SV6_ACCOUNT</t>
  </si>
  <si>
    <t>Accountability</t>
  </si>
  <si>
    <t>Value driver #7</t>
  </si>
  <si>
    <t>SV7_OPS</t>
  </si>
  <si>
    <t>Operationalization</t>
  </si>
  <si>
    <t>Value driver #6</t>
  </si>
  <si>
    <t>Concerns</t>
  </si>
  <si>
    <t>SC1_DATASENS</t>
  </si>
  <si>
    <t>Data Sensitivity</t>
  </si>
  <si>
    <t>Concern #1</t>
  </si>
  <si>
    <t>SC2_COMPLIANCE</t>
  </si>
  <si>
    <t>Compliance</t>
  </si>
  <si>
    <t>Concern #2</t>
  </si>
  <si>
    <t>SC3_TRUST</t>
  </si>
  <si>
    <t>Trust Issues</t>
  </si>
  <si>
    <t>Concern #4</t>
  </si>
  <si>
    <t>SC4_DATAPROC</t>
  </si>
  <si>
    <t>Data Processing</t>
  </si>
  <si>
    <t>Concern #3</t>
  </si>
  <si>
    <t>Tool Features</t>
  </si>
  <si>
    <t>SF1_REALTIME</t>
  </si>
  <si>
    <t>Real-time exchange</t>
  </si>
  <si>
    <t>Feature #3</t>
  </si>
  <si>
    <t>SF2_ACCESS</t>
  </si>
  <si>
    <t>Equal access</t>
  </si>
  <si>
    <t>Feature #4</t>
  </si>
  <si>
    <t>SF3_UX</t>
  </si>
  <si>
    <t>Simple UX/UI</t>
  </si>
  <si>
    <t>Feature #2</t>
  </si>
  <si>
    <t>SF4_DECISION</t>
  </si>
  <si>
    <t>Joint decisions</t>
  </si>
  <si>
    <t>Feature #5</t>
  </si>
  <si>
    <t>SF5_MASKING</t>
  </si>
  <si>
    <t>Masking rules</t>
  </si>
  <si>
    <t>Feature #1</t>
  </si>
  <si>
    <t>Datasets</t>
  </si>
  <si>
    <t>SD1_TRENDS</t>
  </si>
  <si>
    <t>Global trends</t>
  </si>
  <si>
    <t>Collab data #2</t>
  </si>
  <si>
    <t>SD2_MARKET</t>
  </si>
  <si>
    <t>Market research</t>
  </si>
  <si>
    <t>Collab data #1</t>
  </si>
  <si>
    <t>SD3_CATEGORY</t>
  </si>
  <si>
    <t>Category perf.</t>
  </si>
  <si>
    <t>Collab data #3</t>
  </si>
  <si>
    <t>SD4_SHIPMENT</t>
  </si>
  <si>
    <t>Shipments</t>
  </si>
  <si>
    <t>Collab data #4</t>
  </si>
  <si>
    <t>SD5_LEAD</t>
  </si>
  <si>
    <t>Lead times</t>
  </si>
  <si>
    <t>Collab data #5</t>
  </si>
  <si>
    <t>SD6_CONJOINT</t>
  </si>
  <si>
    <t>Conjoint names</t>
  </si>
  <si>
    <t>Collab data #6</t>
  </si>
  <si>
    <t>Filter View — Companies as Rows</t>
  </si>
  <si>
    <t>Role</t>
  </si>
  <si>
    <t>Sub-Industry</t>
  </si>
  <si>
    <t>Size</t>
  </si>
  <si>
    <t>Country</t>
  </si>
  <si>
    <t>Company 1</t>
  </si>
  <si>
    <t>Company 2</t>
  </si>
  <si>
    <t>Company 3</t>
  </si>
  <si>
    <t>Company 4</t>
  </si>
  <si>
    <t>Company 5</t>
  </si>
  <si>
    <t>Company 6</t>
  </si>
  <si>
    <t>Company 7</t>
  </si>
  <si>
    <t>Company 8</t>
  </si>
  <si>
    <t>Company 9</t>
  </si>
  <si>
    <t>Company 10</t>
  </si>
  <si>
    <t>Company 11</t>
  </si>
  <si>
    <t>Company 12</t>
  </si>
  <si>
    <t>Company 13</t>
  </si>
  <si>
    <t>Company 14</t>
  </si>
  <si>
    <t>Company 15</t>
  </si>
  <si>
    <t>Company 16</t>
  </si>
  <si>
    <t>Company 17</t>
  </si>
  <si>
    <t>Company 18</t>
  </si>
  <si>
    <t>Company 19</t>
  </si>
  <si>
    <t>Company 20</t>
  </si>
  <si>
    <t>Company 21</t>
  </si>
  <si>
    <t>Company 22</t>
  </si>
  <si>
    <t>Company 23</t>
  </si>
  <si>
    <t>Company 24</t>
  </si>
  <si>
    <t>Company 25</t>
  </si>
  <si>
    <t>Company 26</t>
  </si>
  <si>
    <t>Company 27</t>
  </si>
  <si>
    <t>Company 28</t>
  </si>
  <si>
    <t>Company 29</t>
  </si>
  <si>
    <t>Company 30</t>
  </si>
  <si>
    <t>HOW TO FILTER</t>
  </si>
  <si>
    <t>Click ▼ on any column header to filter by Role, Industry, Size, Country. Each row = one interview. Stack filters freely.</t>
  </si>
  <si>
    <t>Totals</t>
  </si>
  <si>
    <t>Analysis — Individual Interviews</t>
  </si>
  <si>
    <t>FILTER DIMENSIONS</t>
  </si>
  <si>
    <t>Filter</t>
  </si>
  <si>
    <t>ROLE</t>
  </si>
  <si>
    <t>Interviewee Position</t>
  </si>
  <si>
    <t>INDUSTRY</t>
  </si>
  <si>
    <t>Company Industry</t>
  </si>
  <si>
    <t>SUB-INDUSTRY</t>
  </si>
  <si>
    <t>Company Sub-Industry</t>
  </si>
  <si>
    <t>COMPANY SIZE</t>
  </si>
  <si>
    <t>Company Size</t>
  </si>
  <si>
    <t>COUNTRY</t>
  </si>
  <si>
    <t>── BASELINE ──</t>
  </si>
  <si>
    <t>── MATURITY ──</t>
  </si>
  <si>
    <t>── VALUE UNLOCK ──</t>
  </si>
  <si>
    <t>── CONCERNS ──</t>
  </si>
  <si>
    <t>── TOOL FEATURES ──</t>
  </si>
  <si>
    <t>── DATASETS ──</t>
  </si>
  <si>
    <t>LEGEND</t>
  </si>
  <si>
    <t>Baseline: 1–10 or 0/1  |  Maturity: 1–5  |  Sub-items: 0/1  |  Use Filter View tab to filter by industry/role/country</t>
  </si>
  <si>
    <t>Tom &amp; Co — Juliette Hamer (Chief of Staff) — Int. 1</t>
  </si>
  <si>
    <t>Interviewee Details</t>
  </si>
  <si>
    <t>Response</t>
  </si>
  <si>
    <t>Coding</t>
  </si>
  <si>
    <t>Status</t>
  </si>
  <si>
    <t>Interviewee Name</t>
  </si>
  <si>
    <t>Juliette Hamer</t>
  </si>
  <si>
    <t>AY reviewed</t>
  </si>
  <si>
    <t>Chief of Staff</t>
  </si>
  <si>
    <t>Company (Real)</t>
  </si>
  <si>
    <t>Company (Disguised)</t>
  </si>
  <si>
    <t>Interview Date</t>
  </si>
  <si>
    <t>13/05/2026</t>
  </si>
  <si>
    <t>Interviewer</t>
  </si>
  <si>
    <t>Aysegul &amp; Lore</t>
  </si>
  <si>
    <t>Interviewer Support</t>
  </si>
  <si>
    <t>Company Size (Turnover)</t>
  </si>
  <si>
    <t>Belgium</t>
  </si>
  <si>
    <t>── BASELINE BLOCK ──</t>
  </si>
  <si>
    <t>Are you interested in data collaboration?</t>
  </si>
  <si>
    <t>1-10</t>
  </si>
  <si>
    <t>1 = No interest — explicitly dismisses value of data collaboration</t>
  </si>
  <si>
    <t>10 = Fully committed — actively seeking deeper data collaboration</t>
  </si>
  <si>
    <t>Take the number directly from the interviewee's answer. If a range, take midpoint. If implicit, infer from overall tone (cross-check with M9).</t>
  </si>
  <si>
    <t>Changing from 6 to 7 as she seemed OK to be doing collaboration if the conditions were right</t>
  </si>
  <si>
    <t>↳ QUOTE</t>
  </si>
  <si>
    <t>"So yeah, I think it would be interesting depending on what level of data access they have... if they do have good data, I think it would be interesting to get them."
"The topic is always the cost. As you know, retailers don't have the biggest margins, and so everything we can get out of a negotiation cost-wise, helps us and everything we have to give back is a bit from the bottom."</t>
  </si>
  <si>
    <t>Do you share data currently?</t>
  </si>
  <si>
    <t>0/1</t>
  </si>
  <si>
    <t>0 = No — no active data sharing with any partners described</t>
  </si>
  <si>
    <t>1 = Yes — any form of data sharing mentioned, even informal or ad hoc</t>
  </si>
  <si>
    <t>1 = any active data sharing with partners mentioned, even informal. 0 = no sharing described whatsoever.</t>
  </si>
  <si>
    <t>Do you monetize your data currently?</t>
  </si>
  <si>
    <t>0 = No — data shared freely or not at all</t>
  </si>
  <si>
    <t>1 = Yes — describes payment or structured value exchange for data</t>
  </si>
  <si>
    <t>1 = interviewee describes receiving payment or structured value exchange. 0 = sharing is free, informal, or nonexistent.</t>
  </si>
  <si>
    <t>Do you not share/monetize due to strategic reasons?</t>
  </si>
  <si>
    <t>0 = No — technical inability or simply not considered</t>
  </si>
  <si>
    <t>1 = Yes — strategy or competitive sensitivity cited as PRIMARY reason for not sharing</t>
  </si>
  <si>
    <t>1 = strategy/competitive sensitivity cited as primary reason. 0 = technical inability or no mention. Score 1 only if this is THE primary reason.</t>
  </si>
  <si>
    <t>── DATA SHARING MATURITY (1–5) ──</t>
  </si>
  <si>
    <t>Scale</t>
  </si>
  <si>
    <t>SCORE</t>
  </si>
  <si>
    <t>Score = 1 means...</t>
  </si>
  <si>
    <t>Score = 5 means...</t>
  </si>
  <si>
    <t>Coding Guidance</t>
  </si>
  <si>
    <t>Is data sharing automated or manual?</t>
  </si>
  <si>
    <t>1–5</t>
  </si>
  <si>
    <t>1 = Fully manual — data pulled on request, no structured process</t>
  </si>
  <si>
    <t>5 = Fully automated — data flows via API or live dashboard, no human intervention</t>
  </si>
  <si>
    <t>Look for HOW data is extracted and delivered. Keywords: "we pull it manually" → 1-2; "scheduled reports" → 3; "API", "live dashboard" → 4-5.</t>
  </si>
  <si>
    <t>Is data sharing in real-time, or lagging?</t>
  </si>
  <si>
    <t>1 = Significant lag — data shared weekly/monthly or on request only</t>
  </si>
  <si>
    <t>5 = Real-time — data continuously updated and immediately accessible to partners</t>
  </si>
  <si>
    <t>Look for time references around data freshness. "real-time", "live" → 5; "daily batch" → 3-4; "weekly report", "on request" → 1-2.</t>
  </si>
  <si>
    <t>Is data sharing focused on operations or strategic planning?</t>
  </si>
  <si>
    <t>1 = Purely operational — shipments, lead times, stock levels only</t>
  </si>
  <si>
    <t>5 = Fully strategic — joint planning, forecasting, category growth, market insights</t>
  </si>
  <si>
    <t>Look for TYPE of data discussed. Operational = logistics/inventory → 1-2. Category/benchmarks = mix → 3. Market, planning, forecasting = strategic → 4-5.</t>
  </si>
  <si>
    <t>Is data sharing available to all clients, or based on strategic importance?</t>
  </si>
  <si>
    <t>1 = Exclusive — shared with one or very few top partners only</t>
  </si>
  <si>
    <t>5 = Universal — all clients have access to same data, often via self-serve</t>
  </si>
  <si>
    <t>Look for LANGUAGE about who gets access. "top clients only" → 1-2; "key accounts" → 3; "all our partners", "self-serve" → 4-5.</t>
  </si>
  <si>
    <t>Breadth of data exchanged</t>
  </si>
  <si>
    <t>1 = Internal only — shipment schedules and lead times</t>
  </si>
  <si>
    <t>5 = Full suite — global trends, market research, category performance, shipments, lead times</t>
  </si>
  <si>
    <t>Look for TYPES of datasets mentioned. Each additional data type moves score up. Internal → external → market-level.</t>
  </si>
  <si>
    <t>Trust in received data</t>
  </si>
  <si>
    <t>1 = No trust — always re-validates everything received from partners</t>
  </si>
  <si>
    <t>5 = Full trust — uses partner data directly without independent verification</t>
  </si>
  <si>
    <t>Look for re-validation language. "we always check" → 1-2; "we validate some" → 3; "we take it at face value" → 4-5.</t>
  </si>
  <si>
    <t>Readiness / barriers to collaborate</t>
  </si>
  <si>
    <t>1 = Cannot pull data at all — no technical capability</t>
  </si>
  <si>
    <t>5 = Technology is ready — strategic choice is the only barrier to sharing</t>
  </si>
  <si>
    <t>Look for what STOPS them from sharing more. Technical inability → 1-2. Manual process limitations → 3. Strategic/deliberate choice → 4-5.</t>
  </si>
  <si>
    <t>Operational impact of data gaps</t>
  </si>
  <si>
    <t>Willingness to collaborate overall</t>
  </si>
  <si>
    <t>1 = No interest — sees no value in deeper data collaboration with IMPAQTR</t>
  </si>
  <si>
    <t>10 = Fully committed — actively seeking deeper data collaboration with partners</t>
  </si>
  <si>
    <t>SYNTHESIS score (1–10) — use across the full interview. Should align closely with B1. If B1 was explicit (e.g. 7), use that as anchor and adjust up/down based on overall tone.</t>
  </si>
  <si>
    <t>── VALUE UNLOCK AREAS (0 = not mentioned / 1 = mentioned) ──</t>
  </si>
  <si>
    <t>Guidance</t>
  </si>
  <si>
    <t>1 = interviewee explicitly mentioned this as valuable or relevant. 0 = not mentioned or actively dismissed.</t>
  </si>
  <si>
    <t>0 = Did not mention</t>
  </si>
  <si>
    <t>1 = Mentioned</t>
  </si>
  <si>
    <t>"I will even start with basic category management because we make our decision of whether or not to continue a product or to launch a product based on what works at our stores. But we have no clue of what works elsewhere."</t>
  </si>
  <si>
    <t>Supply Chain Management</t>
  </si>
  <si>
    <t>Operationalization &amp; Workflows</t>
  </si>
  <si>
    <t>── CONCERNS TO RESOLVE (0 = not mentioned / 1 = mentioned) ──</t>
  </si>
  <si>
    <t>Mentioned Competition</t>
  </si>
  <si>
    <t>── CRITICAL TOOL FEATURES (0 = not mentioned / 1 = mentioned) ──</t>
  </si>
  <si>
    <t>Dynamic, real-time data exchange</t>
  </si>
  <si>
    <t>"I'm assuming that many of our suppliers have the exact same data sets that they want to monetize with us. But as soon as one of them gives it to us, everybody else loses."</t>
  </si>
  <si>
    <t>Equal access to shared datasets</t>
  </si>
  <si>
    <t>Allows joint decision making</t>
  </si>
  <si>
    <t>Clear masking rules by supplier/user</t>
  </si>
  <si>
    <t>She mentioned that the tool would do this to make the collab process streamlined</t>
  </si>
  <si>
    <t>── PREFERRED DATASETS (0 = not mentioned / 1 = mentioned) ──</t>
  </si>
  <si>
    <t>Global trends and insights</t>
  </si>
  <si>
    <t>Category performance</t>
  </si>
  <si>
    <t>Shipment schedules</t>
  </si>
  <si>
    <t>📌 NOTE</t>
  </si>
  <si>
    <t>Red cells = score needed (new questions with no old data to migrate from). If a transcript note at the top overrides coding guidance, it takes priority.</t>
  </si>
  <si>
    <t>Company 2 — Interview 1</t>
  </si>
  <si>
    <t>Jannes Colaert</t>
  </si>
  <si>
    <t>President and Managing Director Belgian Shell</t>
  </si>
  <si>
    <t>Shell Belgium</t>
  </si>
  <si>
    <t>Nicolas &amp;  Lore</t>
  </si>
  <si>
    <t>Oil &amp; Gas</t>
  </si>
  <si>
    <t>UK</t>
  </si>
  <si>
    <t>"call it a two... being a three. Yeah. Yeah. I think a three it's a it's a fair it's a it's a fair number"</t>
  </si>
  <si>
    <t>1 = Daily slowdowns — data gaps cause constant operational disruption</t>
  </si>
  <si>
    <t>5 = Quarterly or less — data gaps are rare, minimal operational impact</t>
  </si>
  <si>
    <t>Look for FREQUENCY language. "Every day we're blocked" → 1; "It happens sometimes" → 3; "Rarely an issue" → 5. High frequency = LOW score (more pain = lower maturity).</t>
  </si>
  <si>
    <t>[Paste verbatim quote from transcript that supports this score or adds context]</t>
  </si>
  <si>
    <t>Company 3 — Interview 1</t>
  </si>
  <si>
    <t>Stefan Fieremans</t>
  </si>
  <si>
    <t>Business Development / Media Services Manager</t>
  </si>
  <si>
    <t>Lore and Nicolas</t>
  </si>
  <si>
    <t>B2B Food Service Distribution</t>
  </si>
  <si>
    <t>"Willingness. I I think it's good. It's seven. But it depends on the... on the return... With The benefit in return could be 9 or 10."</t>
  </si>
  <si>
    <t>"prices and margins"</t>
  </si>
  <si>
    <t>"It's it's a daily upload of the data... you can also the date you can set the data on day on on week on month"</t>
  </si>
  <si>
    <t>Company 4 — Interview 1</t>
  </si>
  <si>
    <t>Joy Van Cauteren</t>
  </si>
  <si>
    <t>Data/Analytics role (formerly Department Head of Logistics)</t>
  </si>
  <si>
    <t>Solucious (part of Colruyt Group)</t>
  </si>
  <si>
    <t>22/05/2026</t>
  </si>
  <si>
    <t>Lore Verhoeven</t>
  </si>
  <si>
    <t>Nicolas Amaya Cardona</t>
  </si>
  <si>
    <t>Food Service</t>
  </si>
  <si>
    <t>"at this point, I think like 7 or 8, There is a question at this moment to search from some data"</t>
  </si>
  <si>
    <t>"even on prices, yeah, articles you can see on the websites... It depends on the revenue you bring to the company... It's from the moment you have a login, then you receive a special price for yourself"</t>
  </si>
  <si>
    <t>Company 5 — Interview 1</t>
  </si>
  <si>
    <t>Freija Deprest</t>
  </si>
  <si>
    <t>Supply Chain Director</t>
  </si>
  <si>
    <t>Dicofoods</t>
  </si>
  <si>
    <t>19/05/2026</t>
  </si>
  <si>
    <t>Lore Verhoeven, Nicolas Amaya Cardona</t>
  </si>
  <si>
    <t>Freija Deprest (Vlerick Executive MBA participant)</t>
  </si>
  <si>
    <t>Food Manufacturing</t>
  </si>
  <si>
    <t>"If it is sharing of data in terms of making sure that we have the reliability in the shop, that they have the availability of the product at all times and we can make it work and the data is fluently also for the mass of data, I would... The chances of having a successful project can be 10 out of 10. and we would be willing to do so. Everything that makes it more efficient, more digital, we are open to."</t>
  </si>
  <si>
    <t>Very open to data collaboration but excluding price information</t>
  </si>
  <si>
    <t>"we get this question quite often, that they would want us to share... the complete breakdown of our price, which we are not willing to give... If you talk to retailers and they can buy, for example, we are an energy intensive sector, say that they can buy their energy at 30... Then and we say that our energy is at 40. Then they will discuss on that"</t>
  </si>
  <si>
    <t>"If I would get what they sell in the shop, directly feed it to me... And I know the stock that is in the distribution center, then I can avoid, then I can plan better."</t>
  </si>
  <si>
    <t>Company 6 — Interview 1</t>
  </si>
  <si>
    <t>Filip Van Hoyweghen</t>
  </si>
  <si>
    <t>Sales Director</t>
  </si>
  <si>
    <t>20/05/2026</t>
  </si>
  <si>
    <t>Lore Verhoeven, Aysegul Yamak Eveno</t>
  </si>
  <si>
    <t>FMCG</t>
  </si>
  <si>
    <t xml:space="preserve">Changed from a 6. I think he is in general excited about collaboration, however less so through a third party as he believes they bring isolated solutions that are generalist. However they might be interested in a company such as "the Advantage Group", or we might need to talk to someone else in the company. </t>
  </si>
  <si>
    <t>"data is important and you need to control data and you need to be the owner of the data in a sense that if you do not share your data with the retailers. somebody else will, and it's better that it's your story than the story of somebody else"</t>
  </si>
  <si>
    <t xml:space="preserve">Keep as is. </t>
  </si>
  <si>
    <t>"Or pricing, which we track with folder. Visibility is also in Power BI... we did a fully RGM model in it"</t>
  </si>
  <si>
    <t xml:space="preserve">"data needs to be fast as well. So I think this is key... data flows via API or live dashboard... it's in one click"
"disappointed on what, for instance, impactor, step up and Nielsen they are bringing. Because at a sense they are not helping me because they have their tool, which is adapted to the most common needs of suppliers, not linked to my needs"
</t>
  </si>
  <si>
    <t>Added quotes</t>
  </si>
  <si>
    <t xml:space="preserve">Changed from 1 to 0 </t>
  </si>
  <si>
    <t>Company 7 — Interview 1</t>
  </si>
  <si>
    <t>Davy De Vlieger</t>
  </si>
  <si>
    <t>CEO</t>
  </si>
  <si>
    <t>Spuntini Group</t>
  </si>
  <si>
    <t>Vlerick Business School MBA students</t>
  </si>
  <si>
    <t>Food Service / Wholesale Distribution</t>
  </si>
  <si>
    <t>"If you need to scale, how much you're willing to do data collaboration currently from 1 to 10, what would you give it? Eight."</t>
  </si>
  <si>
    <t>[Paste verbatim quote from transcript supporting Value Unlock Areas scoring]</t>
  </si>
  <si>
    <t>"I think in a month from now, I will be able to have access to all the data live for every single warehouse we have."</t>
  </si>
  <si>
    <t>Company 8 — Interview 1</t>
  </si>
  <si>
    <t>Jochen Luypaert</t>
  </si>
  <si>
    <t>CFO / Finance Lead EMEA &amp; LATAM</t>
  </si>
  <si>
    <t>Wellness Pet (formerly Mars, 12 years experience in FMCG)</t>
  </si>
  <si>
    <t>27/05/2026</t>
  </si>
  <si>
    <t>Pet Food &amp; Products</t>
  </si>
  <si>
    <t>US</t>
  </si>
  <si>
    <t>"If I purely looked to it from an ROI point of view, I think we would get more value back than what we give. So, or what the, let's say the drawback of sharing our data will be smaller than what we get in return, I think. [When asked about 1-10 scale, indicated 8-9]"</t>
  </si>
  <si>
    <t>"So typically what Nielsen does and so forth is also for EI encoding... we get volume and price data, from that we can get value data."</t>
  </si>
  <si>
    <t>[Paste verbatim quote from transcript supporting Critical Tool Features scoring]</t>
  </si>
  <si>
    <t>Company 9 — Interview 1</t>
  </si>
  <si>
    <t>Jeroen Haesebeyt</t>
  </si>
  <si>
    <t>Commercial Director</t>
  </si>
  <si>
    <t>29/05/2026</t>
  </si>
  <si>
    <t>Aysegul Yamak Eveno, Nicolas Amaya Cardona</t>
  </si>
  <si>
    <t>Wholesale</t>
  </si>
  <si>
    <t>"They are all excited about it [Gondola Data Cube]. Higher level view on the market. New OOH market information leader."</t>
  </si>
  <si>
    <t>Company 10 — Interview 1</t>
  </si>
  <si>
    <t>Tim Roelands</t>
  </si>
  <si>
    <t>Data Insights Team</t>
  </si>
  <si>
    <t>2026-05-29</t>
  </si>
  <si>
    <t>Nicolas Amaya Cardona, Lore Verhoeven</t>
  </si>
  <si>
    <t>Denmark</t>
  </si>
  <si>
    <t>"So through a neutral party. So if it was without a neutral party, let's say, I would always say 10. I think at Arla we really value transparency, collaboration... So there, yes. For me, it's, I'm a bit uncertain what the advantage would be between doing that through a neutral party... Collaboration. Ten out of 10, love to do it. Data sharing is very important."</t>
  </si>
  <si>
    <t>"you cannot know pricing and trade terms, because that's that's for them"</t>
  </si>
  <si>
    <t>"our business in Denmark and Sweden and also the UK is very mature. And the data sharing is really on a daily, maybe weekly, daily level. So it's really advanced."</t>
  </si>
  <si>
    <t>Company 11 — Interview 1</t>
  </si>
  <si>
    <t>Christel Poncin</t>
  </si>
  <si>
    <t>Marketing Strategic Role</t>
  </si>
  <si>
    <t>Nicolas</t>
  </si>
  <si>
    <t>Pharmacy/Healthcare Retail</t>
  </si>
  <si>
    <t xml:space="preserve">Belgium </t>
  </si>
  <si>
    <t>"Yeah. I really want to collaborate, but not with everyone. So, I think that the people need to play the game and it needs to be a partnership."</t>
  </si>
  <si>
    <t>"We only sell pricing data"</t>
  </si>
  <si>
    <t>Lidl Belgium — Anonymous (Marketing) — Int. 1</t>
  </si>
  <si>
    <t>Thomas Vaarten</t>
  </si>
  <si>
    <t>Marketing / Commercial Director</t>
  </si>
  <si>
    <t>Lidl Belgium</t>
  </si>
  <si>
    <t>Grocery Retail</t>
  </si>
  <si>
    <t>Germany</t>
  </si>
  <si>
    <t>"We really think that sovereignty is key... sharing strategy data can be influential for competitors."</t>
  </si>
  <si>
    <t>Edgard &amp; Cooper — Jennifer Roelens (Data Lead/IT) — Int. 1</t>
  </si>
  <si>
    <t>Jennifer Roelens</t>
  </si>
  <si>
    <t>Data Lead / Head of IT &amp; ERP</t>
  </si>
  <si>
    <t>02/06/2026</t>
  </si>
  <si>
    <t>Lore Verhoeven &amp; Nicolas Amaya Cardona</t>
  </si>
  <si>
    <t>Pet Food Manufacturing</t>
  </si>
  <si>
    <t>"I say, like, we want the data... I think it's a 10 out of 10. Well, let's say 9 out of 10, just because of the GDPR component."</t>
  </si>
  <si>
    <t>Company 18 — Interview 1</t>
  </si>
  <si>
    <t>Company 19 — Interview 1</t>
  </si>
  <si>
    <t>Company 20 — Interview 1</t>
  </si>
  <si>
    <t>Company 21 — Interview 1</t>
  </si>
  <si>
    <t>Company 22 — Interview 1</t>
  </si>
  <si>
    <t>Company 23 — Interview 1</t>
  </si>
  <si>
    <t>Company 24 — Interview 1</t>
  </si>
  <si>
    <t>Company 25 — Interview 1</t>
  </si>
  <si>
    <t>Company 26 — Interview 1</t>
  </si>
  <si>
    <t>Company 27 — Interview 1</t>
  </si>
  <si>
    <t>Company 28 — Interview 1</t>
  </si>
  <si>
    <t>Company 29 — Interview 1</t>
  </si>
  <si>
    <t>Company 30 — Interview 1</t>
  </si>
  <si>
    <t>NEW COMPANY — Interview 1</t>
  </si>
  <si>
    <t>1 = No interest — sees no value in deeper data collaboration</t>
  </si>
  <si>
    <t>Automated</t>
  </si>
  <si>
    <t>Metric</t>
  </si>
  <si>
    <t>Category Planning (avg 77%)</t>
  </si>
  <si>
    <t>Category sell-out vs. market index</t>
  </si>
  <si>
    <t>Receives</t>
  </si>
  <si>
    <t>Shares</t>
  </si>
  <si>
    <t>x</t>
  </si>
  <si>
    <t>Multi-retailer category market share (Nielsen/Circana)</t>
  </si>
  <si>
    <t>Shopper penetration &amp; frequency (aggregate)</t>
  </si>
  <si>
    <t>—</t>
  </si>
  <si>
    <t>Consumer trends &amp; life-stage insights</t>
  </si>
  <si>
    <t>Store format / planogram / module data</t>
  </si>
  <si>
    <t>Assortment recommendations</t>
  </si>
  <si>
    <t>Promotions (avg 62%)</t>
  </si>
  <si>
    <t>Promo calendar &amp; depth of discount</t>
  </si>
  <si>
    <t>Promo activation results &amp; sell-out uplift</t>
  </si>
  <si>
    <t>Promo ROI / effectiveness analysis</t>
  </si>
  <si>
    <t>Shopper switching data across promo events</t>
  </si>
  <si>
    <t>Supply Chain (avg 62%)</t>
  </si>
  <si>
    <t>DC stock levels &amp; replenishment triggers (VMI)</t>
  </si>
  <si>
    <t>Lost sales / stockout events by SKU</t>
  </si>
  <si>
    <t>OTIF / delivery performance</t>
  </si>
  <si>
    <t>Returns &amp; faulty product rate by SKU</t>
  </si>
  <si>
    <t>Demand forecasts at DC / SKU level</t>
  </si>
  <si>
    <t>Production capacity &amp; safety stock</t>
  </si>
  <si>
    <t>Blocked</t>
  </si>
  <si>
    <t>Pricing (avg 54%)</t>
  </si>
  <si>
    <t>Retail shelf price by SKU (publicly visible)</t>
  </si>
  <si>
    <t>Margin data / margin bands by product</t>
  </si>
  <si>
    <t>Net pricing / trade terms / sourcing costs</t>
  </si>
  <si>
    <t>Wholesale trade terms with competing suppliers</t>
  </si>
  <si>
    <t>Operationalization (avg 38%)</t>
  </si>
  <si>
    <t>Sharing format: platform vs. report vs. raw data</t>
  </si>
  <si>
    <t>Granularity level (chain / store / category / SKU)</t>
  </si>
  <si>
    <t>Data refresh cadence (daily / weekly / monthly)</t>
  </si>
  <si>
    <t>Individual client / loyalty data (named)</t>
  </si>
  <si>
    <t>Cross-retailer competitive detail (named)</t>
  </si>
  <si>
    <t>Demand Forecasting (avg 31%)</t>
  </si>
  <si>
    <t>Retailer at 100% but Specialty at 0% — that's a notable split suggesting retailers see this as a priority but specialty retail doesn't yet engage with it formally.</t>
  </si>
  <si>
    <t>Sell-out by SKU / customer segment</t>
  </si>
  <si>
    <t>Order frequency &amp; basket composition (segment)</t>
  </si>
  <si>
    <t>Historical promo uplift for forecast modelling</t>
  </si>
  <si>
    <t>Sell-in forecasts (manufacturer-side)</t>
  </si>
  <si>
    <t>NPD pipeline at late stage (for range planning)</t>
  </si>
  <si>
    <t>Accountability (avg 23%)</t>
  </si>
  <si>
    <t>Joint scorecard KPIs (service level, category share)</t>
  </si>
  <si>
    <t>RGM targets (stock caps, OTIF %, faulty %)</t>
  </si>
  <si>
    <t>Unfavorable research / audit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</si>
</sst>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41">
    <font>
      <sz val="11"/>
      <color theme="1"/>
      <name val="Calibri"/>
      <family val="2"/>
      <scheme val="minor"/>
    </font>
    <font>
      <b/>
      <sz val="13"/>
      <color rgb="FFFFFFFF"/>
      <name val="Arial"/>
      <family val="2"/>
    </font>
    <font>
      <sz val="10"/>
      <color rgb="FF000000"/>
      <name val="Arial"/>
      <family val="2"/>
    </font>
    <font>
      <b/>
      <sz val="10"/>
      <color rgb="FFFFFFFF"/>
      <name val="Arial"/>
      <family val="2"/>
    </font>
    <font>
      <b/>
      <sz val="10"/>
      <color rgb="FF000000"/>
      <name val="Arial"/>
      <family val="2"/>
    </font>
    <font>
      <b/>
      <i/>
      <sz val="10"/>
      <color rgb="FFFFFFFF"/>
      <name val="Arial"/>
      <family val="2"/>
    </font>
    <font>
      <b/>
      <sz val="9"/>
      <color rgb="FF000000"/>
      <name val="Arial"/>
      <family val="2"/>
    </font>
    <font>
      <b/>
      <sz val="12"/>
      <color rgb="FF000000"/>
      <name val="Arial"/>
      <family val="2"/>
    </font>
    <font>
      <i/>
      <sz val="9"/>
      <color rgb="FF000000"/>
      <name val="Arial"/>
      <family val="2"/>
    </font>
    <font>
      <i/>
      <sz val="9"/>
      <color rgb="FFFFFFFF"/>
      <name val="Arial"/>
      <family val="2"/>
    </font>
    <font>
      <sz val="9"/>
      <color rgb="FF000000"/>
      <name val="Arial"/>
      <family val="2"/>
    </font>
    <font>
      <b/>
      <sz val="9"/>
      <color rgb="FF1F3864"/>
      <name val="Arial"/>
      <family val="2"/>
    </font>
    <font>
      <i/>
      <sz val="9"/>
      <color rgb="FF595959"/>
      <name val="Arial"/>
      <family val="2"/>
    </font>
    <font>
      <b/>
      <sz val="9"/>
      <color rgb="FFFFFFFF"/>
      <name val="Arial"/>
      <family val="2"/>
    </font>
    <font>
      <b/>
      <sz val="9"/>
      <color rgb="FF375623"/>
      <name val="Arial"/>
      <family val="2"/>
    </font>
    <font>
      <b/>
      <i/>
      <sz val="9"/>
      <color rgb="FF000000"/>
      <name val="Arial"/>
      <family val="2"/>
    </font>
    <font>
      <b/>
      <sz val="11"/>
      <color rgb="FF000000"/>
      <name val="Arial"/>
      <family val="2"/>
    </font>
    <font>
      <sz val="9"/>
      <color rgb="FFFFFFFF"/>
      <name val="Arial"/>
      <family val="2"/>
    </font>
    <font>
      <b/>
      <sz val="10"/>
      <color rgb="FF1F3864"/>
      <name val="Arial"/>
      <family val="2"/>
    </font>
    <font>
      <b/>
      <sz val="14"/>
      <color rgb="FFFFFFFF"/>
      <name val="Arial"/>
      <family val="2"/>
    </font>
    <font>
      <b/>
      <sz val="12"/>
      <name val="Arial"/>
      <family val="2"/>
    </font>
    <font>
      <i/>
      <sz val="9"/>
      <color rgb="FF333333"/>
      <name val="Arial"/>
      <family val="2"/>
    </font>
    <font>
      <b/>
      <sz val="8"/>
      <color rgb="FFFFFFFF"/>
      <name val="Arial"/>
      <family val="2"/>
    </font>
    <font>
      <b/>
      <sz val="8"/>
      <color rgb="FF000000"/>
      <name val="Arial"/>
      <family val="2"/>
    </font>
    <font>
      <sz val="11"/>
      <color theme="1"/>
      <name val="Calibri"/>
      <family val="2"/>
      <scheme val="minor"/>
    </font>
    <font>
      <sz val="10"/>
      <name val="Arial"/>
      <family val="2"/>
    </font>
    <font>
      <i/>
      <sz val="9"/>
      <name val="Arial"/>
      <family val="2"/>
    </font>
    <font>
      <sz val="9"/>
      <name val="Arial"/>
      <family val="2"/>
    </font>
    <font>
      <b/>
      <sz val="10"/>
      <color rgb="FF73726C"/>
      <name val="Segoe UI"/>
      <family val="2"/>
    </font>
    <font>
      <sz val="10"/>
      <color rgb="FF27500A"/>
      <name val="Segoe UI"/>
      <family val="2"/>
    </font>
    <font>
      <sz val="10"/>
      <color theme="1"/>
      <name val="Calibri"/>
      <family val="2"/>
      <scheme val="minor"/>
    </font>
    <font>
      <sz val="10"/>
      <color rgb="FF141413"/>
      <name val="Segoe UI"/>
      <family val="2"/>
    </font>
    <font>
      <sz val="10"/>
      <color rgb="FF085041"/>
      <name val="Segoe UI"/>
      <family val="2"/>
    </font>
    <font>
      <sz val="10"/>
      <color rgb="FF0C447C"/>
      <name val="Segoe UI"/>
      <family val="2"/>
    </font>
    <font>
      <sz val="10"/>
      <color rgb="FF888780"/>
      <name val="Segoe UI"/>
      <family val="2"/>
    </font>
    <font>
      <sz val="10"/>
      <color rgb="FF633806"/>
      <name val="Segoe UI"/>
      <family val="2"/>
    </font>
    <font>
      <sz val="10"/>
      <color rgb="FF042C53"/>
      <name val="Segoe UI"/>
      <family val="2"/>
    </font>
    <font>
      <sz val="10"/>
      <color rgb="FF791F1F"/>
      <name val="Segoe UI"/>
      <family val="2"/>
    </font>
    <font>
      <sz val="10"/>
      <color rgb="FF26215C"/>
      <name val="Segoe UI"/>
      <family val="2"/>
    </font>
    <font>
      <sz val="10"/>
      <color rgb="FF444441"/>
      <name val="Segoe UI"/>
      <family val="2"/>
    </font>
    <font>
      <sz val="10"/>
      <color rgb="FF501313"/>
      <name val="Segoe UI"/>
      <family val="2"/>
    </font>
  </fonts>
  <fills count="34">
    <fill>
      <patternFill patternType="none"/>
    </fill>
    <fill>
      <patternFill patternType="gray125"/>
    </fill>
    <fill>
      <patternFill patternType="solid">
        <fgColor rgb="FFFFFF00"/>
        <bgColor indexed="64"/>
      </patternFill>
    </fill>
    <fill>
      <patternFill patternType="solid">
        <fgColor rgb="FF1F3864"/>
      </patternFill>
    </fill>
    <fill>
      <patternFill patternType="solid">
        <fgColor rgb="FF2E5FA3"/>
      </patternFill>
    </fill>
    <fill>
      <patternFill patternType="solid">
        <fgColor rgb="FFDEEAF1"/>
      </patternFill>
    </fill>
    <fill>
      <patternFill patternType="solid">
        <fgColor rgb="FFFFC000"/>
      </patternFill>
    </fill>
    <fill>
      <patternFill patternType="solid">
        <fgColor rgb="FF375623"/>
      </patternFill>
    </fill>
    <fill>
      <patternFill patternType="solid">
        <fgColor rgb="FFED7D31"/>
      </patternFill>
    </fill>
    <fill>
      <patternFill patternType="solid">
        <fgColor rgb="FFBDD7EE"/>
      </patternFill>
    </fill>
    <fill>
      <patternFill patternType="solid">
        <fgColor rgb="FFD9D9D9"/>
      </patternFill>
    </fill>
    <fill>
      <patternFill patternType="solid">
        <fgColor rgb="FF9B59B6"/>
      </patternFill>
    </fill>
    <fill>
      <patternFill patternType="solid">
        <fgColor rgb="FFE8D5F5"/>
      </patternFill>
    </fill>
    <fill>
      <patternFill patternType="solid">
        <fgColor rgb="FF2980B9"/>
      </patternFill>
    </fill>
    <fill>
      <patternFill patternType="solid">
        <fgColor rgb="FFD5E8F5"/>
      </patternFill>
    </fill>
    <fill>
      <patternFill patternType="solid">
        <fgColor rgb="FF27AE60"/>
      </patternFill>
    </fill>
    <fill>
      <patternFill patternType="solid">
        <fgColor rgb="FFD5F5E8"/>
      </patternFill>
    </fill>
    <fill>
      <patternFill patternType="solid">
        <fgColor rgb="FFE67E22"/>
      </patternFill>
    </fill>
    <fill>
      <patternFill patternType="solid">
        <fgColor rgb="FFFDE8D8"/>
      </patternFill>
    </fill>
    <fill>
      <patternFill patternType="solid">
        <fgColor rgb="FFF39C12"/>
      </patternFill>
    </fill>
    <fill>
      <patternFill patternType="solid">
        <fgColor rgb="FFFDFDD8"/>
      </patternFill>
    </fill>
    <fill>
      <patternFill patternType="solid">
        <fgColor rgb="FFF2F2F2"/>
      </patternFill>
    </fill>
    <fill>
      <patternFill patternType="solid">
        <fgColor rgb="FFFFE0E0"/>
      </patternFill>
    </fill>
    <fill>
      <patternFill patternType="solid">
        <fgColor rgb="FFE2EFDA"/>
      </patternFill>
    </fill>
    <fill>
      <patternFill patternType="solid">
        <fgColor rgb="FF70AD47"/>
      </patternFill>
    </fill>
    <fill>
      <patternFill patternType="solid">
        <fgColor rgb="FFFFFFFF"/>
      </patternFill>
    </fill>
    <fill>
      <patternFill patternType="solid">
        <fgColor rgb="FFFFF2CC"/>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7" tint="0.59999389629810485"/>
        <bgColor indexed="64"/>
      </patternFill>
    </fill>
  </fills>
  <borders count="6">
    <border>
      <left/>
      <right/>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bottom/>
      <diagonal/>
    </border>
  </borders>
  <cellStyleXfs count="3">
    <xf numFmtId="0" fontId="0" fillId="0" borderId="0"/>
    <xf numFmtId="43" fontId="24" fillId="0" borderId="0"/>
    <xf numFmtId="9" fontId="24" fillId="0" borderId="0" applyFont="0" applyFill="0" applyBorder="0" applyAlignment="0" applyProtection="0"/>
  </cellStyleXfs>
  <cellXfs count="193">
    <xf numFmtId="0" fontId="0" fillId="0" borderId="0" xfId="0"/>
    <xf numFmtId="0" fontId="0" fillId="0" borderId="1" xfId="0" applyBorder="1"/>
    <xf numFmtId="0" fontId="0" fillId="0" borderId="2" xfId="0" applyBorder="1"/>
    <xf numFmtId="164" fontId="24" fillId="0" borderId="0" xfId="1" applyNumberFormat="1"/>
    <xf numFmtId="0" fontId="0" fillId="2" borderId="0" xfId="0" applyFill="1"/>
    <xf numFmtId="165" fontId="0" fillId="0" borderId="0" xfId="0" applyNumberFormat="1"/>
    <xf numFmtId="0" fontId="0" fillId="27" borderId="0" xfId="0" applyFill="1" applyAlignment="1">
      <alignment horizontal="center"/>
    </xf>
    <xf numFmtId="0" fontId="0" fillId="27" borderId="0" xfId="0" applyFill="1"/>
    <xf numFmtId="0" fontId="0" fillId="28" borderId="0" xfId="0" applyFill="1"/>
    <xf numFmtId="0" fontId="0" fillId="29" borderId="0" xfId="0" applyFill="1"/>
    <xf numFmtId="0" fontId="0" fillId="30" borderId="0" xfId="0" applyFill="1"/>
    <xf numFmtId="165" fontId="0" fillId="27" borderId="0" xfId="0" applyNumberFormat="1" applyFill="1"/>
    <xf numFmtId="165" fontId="0" fillId="28" borderId="0" xfId="0" applyNumberFormat="1" applyFill="1"/>
    <xf numFmtId="165" fontId="0" fillId="29" borderId="0" xfId="0" applyNumberFormat="1" applyFill="1"/>
    <xf numFmtId="165" fontId="0" fillId="30" borderId="0" xfId="0" applyNumberFormat="1" applyFill="1"/>
    <xf numFmtId="165" fontId="0" fillId="27" borderId="0" xfId="0" applyNumberFormat="1" applyFill="1" applyAlignment="1">
      <alignment horizontal="center"/>
    </xf>
    <xf numFmtId="165" fontId="0" fillId="28" borderId="0" xfId="0" applyNumberFormat="1" applyFill="1" applyAlignment="1">
      <alignment horizontal="center"/>
    </xf>
    <xf numFmtId="165" fontId="0" fillId="29" borderId="0" xfId="0" applyNumberFormat="1" applyFill="1" applyAlignment="1">
      <alignment horizontal="center"/>
    </xf>
    <xf numFmtId="165" fontId="0" fillId="30" borderId="0" xfId="0" applyNumberFormat="1" applyFill="1" applyAlignment="1">
      <alignment horizontal="center"/>
    </xf>
    <xf numFmtId="0" fontId="3" fillId="4" borderId="3" xfId="0" applyFont="1" applyFill="1" applyBorder="1" applyAlignment="1">
      <alignment horizontal="left" vertical="center" wrapText="1"/>
    </xf>
    <xf numFmtId="0" fontId="2" fillId="27" borderId="0" xfId="0" applyFont="1" applyFill="1" applyAlignment="1">
      <alignment horizontal="left" vertical="center" wrapText="1"/>
    </xf>
    <xf numFmtId="0" fontId="2" fillId="28" borderId="3" xfId="0" applyFont="1" applyFill="1" applyBorder="1" applyAlignment="1">
      <alignment horizontal="left" vertical="center" wrapText="1"/>
    </xf>
    <xf numFmtId="0" fontId="2" fillId="29" borderId="0" xfId="0" applyFont="1" applyFill="1" applyAlignment="1">
      <alignment horizontal="left" vertical="center" wrapText="1"/>
    </xf>
    <xf numFmtId="0" fontId="2" fillId="30" borderId="0" xfId="0" applyFont="1" applyFill="1" applyAlignment="1">
      <alignment horizontal="left" vertical="center" wrapText="1"/>
    </xf>
    <xf numFmtId="0" fontId="0" fillId="31" borderId="4" xfId="0" applyFill="1" applyBorder="1" applyAlignment="1">
      <alignment horizontal="center"/>
    </xf>
    <xf numFmtId="0" fontId="3" fillId="4" borderId="5" xfId="0" applyFont="1" applyFill="1" applyBorder="1" applyAlignment="1">
      <alignment horizontal="left" vertical="center" wrapText="1"/>
    </xf>
    <xf numFmtId="0" fontId="0" fillId="31" borderId="0" xfId="0" applyFill="1" applyAlignment="1">
      <alignment horizontal="center"/>
    </xf>
    <xf numFmtId="9" fontId="0" fillId="27" borderId="0" xfId="2" applyFont="1" applyFill="1"/>
    <xf numFmtId="9" fontId="0" fillId="28" borderId="0" xfId="2" applyFont="1" applyFill="1"/>
    <xf numFmtId="9" fontId="0" fillId="29" borderId="0" xfId="2" applyFont="1" applyFill="1"/>
    <xf numFmtId="0" fontId="2" fillId="32" borderId="0" xfId="0" applyFont="1" applyFill="1" applyAlignment="1">
      <alignment horizontal="left" vertical="center" wrapText="1"/>
    </xf>
    <xf numFmtId="165" fontId="0" fillId="32" borderId="0" xfId="0" applyNumberFormat="1" applyFill="1" applyAlignment="1">
      <alignment horizontal="center"/>
    </xf>
    <xf numFmtId="9" fontId="0" fillId="32" borderId="0" xfId="2" applyFont="1" applyFill="1"/>
    <xf numFmtId="165" fontId="0" fillId="32" borderId="0" xfId="0" applyNumberFormat="1" applyFill="1"/>
    <xf numFmtId="0" fontId="0" fillId="32" borderId="0" xfId="0" applyFill="1"/>
    <xf numFmtId="9" fontId="0" fillId="30" borderId="0" xfId="2" applyFont="1" applyFill="1"/>
    <xf numFmtId="0" fontId="2" fillId="33" borderId="0" xfId="0" applyFont="1" applyFill="1" applyAlignment="1">
      <alignment horizontal="left" vertical="center" wrapText="1"/>
    </xf>
    <xf numFmtId="165" fontId="0" fillId="33" borderId="0" xfId="0" applyNumberFormat="1" applyFill="1" applyAlignment="1">
      <alignment horizontal="center"/>
    </xf>
    <xf numFmtId="9" fontId="0" fillId="33" borderId="0" xfId="2" applyFont="1" applyFill="1"/>
    <xf numFmtId="165" fontId="0" fillId="33" borderId="0" xfId="0" applyNumberFormat="1" applyFill="1"/>
    <xf numFmtId="0" fontId="0" fillId="33" borderId="0" xfId="0" applyFill="1"/>
    <xf numFmtId="0" fontId="0" fillId="33" borderId="1" xfId="0" applyFill="1" applyBorder="1"/>
    <xf numFmtId="0" fontId="2" fillId="25" borderId="3" xfId="0" applyFont="1" applyFill="1" applyBorder="1" applyAlignment="1">
      <alignment horizontal="left" vertical="center" wrapText="1"/>
    </xf>
    <xf numFmtId="0" fontId="3" fillId="4" borderId="3" xfId="0" applyFont="1" applyFill="1" applyBorder="1" applyAlignment="1">
      <alignment horizontal="center" vertical="center" wrapText="1"/>
    </xf>
    <xf numFmtId="0" fontId="8" fillId="27" borderId="3"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2" fillId="27" borderId="3" xfId="0" applyFont="1" applyFill="1" applyBorder="1" applyAlignment="1">
      <alignment horizontal="left" vertical="center" wrapText="1"/>
    </xf>
    <xf numFmtId="0" fontId="8" fillId="28" borderId="3" xfId="0" applyFont="1" applyFill="1" applyBorder="1" applyAlignment="1">
      <alignment horizontal="center" vertical="center" wrapText="1"/>
    </xf>
    <xf numFmtId="0" fontId="6" fillId="28" borderId="3" xfId="0" applyFont="1" applyFill="1" applyBorder="1" applyAlignment="1">
      <alignment horizontal="center" vertical="center" wrapText="1"/>
    </xf>
    <xf numFmtId="165" fontId="2" fillId="28" borderId="3" xfId="0" applyNumberFormat="1" applyFont="1" applyFill="1" applyBorder="1" applyAlignment="1">
      <alignment horizontal="center" vertical="center" wrapText="1"/>
    </xf>
    <xf numFmtId="0" fontId="8" fillId="29" borderId="3" xfId="0" applyFont="1" applyFill="1" applyBorder="1" applyAlignment="1">
      <alignment horizontal="center" vertical="center" wrapText="1"/>
    </xf>
    <xf numFmtId="0" fontId="6" fillId="29" borderId="3" xfId="0" applyFont="1" applyFill="1" applyBorder="1" applyAlignment="1">
      <alignment horizontal="center" vertical="center" wrapText="1"/>
    </xf>
    <xf numFmtId="0" fontId="2" fillId="29" borderId="3" xfId="0" applyFont="1" applyFill="1" applyBorder="1" applyAlignment="1">
      <alignment horizontal="left" vertical="center" wrapText="1"/>
    </xf>
    <xf numFmtId="165" fontId="2" fillId="29" borderId="3" xfId="0" applyNumberFormat="1" applyFont="1" applyFill="1" applyBorder="1" applyAlignment="1">
      <alignment horizontal="center" vertical="center" wrapText="1"/>
    </xf>
    <xf numFmtId="0" fontId="8" fillId="32" borderId="3" xfId="0" applyFont="1" applyFill="1" applyBorder="1" applyAlignment="1">
      <alignment horizontal="center" vertical="center" wrapText="1"/>
    </xf>
    <xf numFmtId="0" fontId="6" fillId="32" borderId="3" xfId="0" applyFont="1" applyFill="1" applyBorder="1" applyAlignment="1">
      <alignment horizontal="center" vertical="center" wrapText="1"/>
    </xf>
    <xf numFmtId="0" fontId="2" fillId="32" borderId="3" xfId="0" applyFont="1" applyFill="1" applyBorder="1" applyAlignment="1">
      <alignment horizontal="left" vertical="center" wrapText="1"/>
    </xf>
    <xf numFmtId="165" fontId="2" fillId="32" borderId="3" xfId="0" applyNumberFormat="1" applyFont="1" applyFill="1" applyBorder="1" applyAlignment="1">
      <alignment horizontal="center" vertical="center" wrapText="1"/>
    </xf>
    <xf numFmtId="0" fontId="8" fillId="30" borderId="3" xfId="0" applyFont="1" applyFill="1" applyBorder="1" applyAlignment="1">
      <alignment horizontal="center" vertical="center" wrapText="1"/>
    </xf>
    <xf numFmtId="0" fontId="6" fillId="30" borderId="3" xfId="0" applyFont="1" applyFill="1" applyBorder="1" applyAlignment="1">
      <alignment horizontal="center" vertical="center" wrapText="1"/>
    </xf>
    <xf numFmtId="0" fontId="2" fillId="30" borderId="3" xfId="0" applyFont="1" applyFill="1" applyBorder="1" applyAlignment="1">
      <alignment horizontal="left" vertical="center" wrapText="1"/>
    </xf>
    <xf numFmtId="165" fontId="2" fillId="30" borderId="3" xfId="0" applyNumberFormat="1" applyFont="1" applyFill="1" applyBorder="1" applyAlignment="1">
      <alignment horizontal="center" vertical="center" wrapText="1"/>
    </xf>
    <xf numFmtId="0" fontId="8" fillId="33" borderId="3" xfId="0" applyFont="1" applyFill="1" applyBorder="1" applyAlignment="1">
      <alignment horizontal="center" vertical="center" wrapText="1"/>
    </xf>
    <xf numFmtId="0" fontId="6" fillId="33" borderId="3" xfId="0" applyFont="1" applyFill="1" applyBorder="1" applyAlignment="1">
      <alignment horizontal="center" vertical="center" wrapText="1"/>
    </xf>
    <xf numFmtId="0" fontId="2" fillId="33" borderId="3" xfId="0" applyFont="1" applyFill="1" applyBorder="1" applyAlignment="1">
      <alignment horizontal="left" vertical="center" wrapText="1"/>
    </xf>
    <xf numFmtId="165" fontId="2" fillId="33" borderId="3" xfId="0" applyNumberFormat="1" applyFont="1" applyFill="1" applyBorder="1" applyAlignment="1">
      <alignment horizontal="center" vertical="center" wrapText="1"/>
    </xf>
    <xf numFmtId="0" fontId="6" fillId="33" borderId="3" xfId="0" applyFont="1" applyFill="1" applyBorder="1" applyAlignment="1">
      <alignment vertical="center" wrapText="1"/>
    </xf>
    <xf numFmtId="0" fontId="19"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10" borderId="3" xfId="0" applyFont="1" applyFill="1" applyBorder="1" applyAlignment="1">
      <alignment horizontal="left" vertical="center" wrapText="1"/>
    </xf>
    <xf numFmtId="0" fontId="22" fillId="4" borderId="3" xfId="0" applyFont="1" applyFill="1" applyBorder="1" applyAlignment="1">
      <alignment horizontal="center" vertical="center" wrapText="1"/>
    </xf>
    <xf numFmtId="0" fontId="22" fillId="7" borderId="3"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13" fillId="15" borderId="3" xfId="0" applyFont="1" applyFill="1" applyBorder="1" applyAlignment="1">
      <alignment horizontal="center" vertical="center" wrapText="1"/>
    </xf>
    <xf numFmtId="0" fontId="13" fillId="17" borderId="3" xfId="0" applyFont="1" applyFill="1" applyBorder="1" applyAlignment="1">
      <alignment horizontal="center" vertical="center" wrapText="1"/>
    </xf>
    <xf numFmtId="0" fontId="13" fillId="19" borderId="3" xfId="0" applyFont="1" applyFill="1" applyBorder="1" applyAlignment="1">
      <alignment horizontal="center" vertical="center" wrapText="1"/>
    </xf>
    <xf numFmtId="0" fontId="23" fillId="5" borderId="3" xfId="0" applyFont="1" applyFill="1" applyBorder="1" applyAlignment="1">
      <alignment horizontal="center" vertical="center" wrapText="1"/>
    </xf>
    <xf numFmtId="0" fontId="23" fillId="23" borderId="3" xfId="0" applyFont="1" applyFill="1" applyBorder="1" applyAlignment="1">
      <alignment horizontal="center" vertical="center" wrapText="1"/>
    </xf>
    <xf numFmtId="0" fontId="23" fillId="26" borderId="3" xfId="0" applyFont="1" applyFill="1" applyBorder="1" applyAlignment="1">
      <alignment horizontal="center" vertical="center" wrapText="1"/>
    </xf>
    <xf numFmtId="0" fontId="23" fillId="9" borderId="3"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10" fillId="21" borderId="3" xfId="0" applyFont="1" applyFill="1" applyBorder="1" applyAlignment="1">
      <alignment horizontal="center" vertical="center" wrapText="1"/>
    </xf>
    <xf numFmtId="0" fontId="6" fillId="25" borderId="3" xfId="0" applyFont="1" applyFill="1" applyBorder="1" applyAlignment="1">
      <alignment horizontal="center" vertical="center"/>
    </xf>
    <xf numFmtId="0" fontId="11" fillId="26" borderId="3" xfId="0" applyFont="1" applyFill="1" applyBorder="1" applyAlignment="1">
      <alignment horizontal="left" vertical="center" wrapText="1"/>
    </xf>
    <xf numFmtId="0" fontId="15" fillId="10" borderId="3" xfId="0" applyFont="1" applyFill="1" applyBorder="1" applyAlignment="1">
      <alignment horizontal="left" vertical="center" wrapText="1"/>
    </xf>
    <xf numFmtId="0" fontId="13" fillId="11" borderId="3" xfId="0" applyFont="1" applyFill="1" applyBorder="1" applyAlignment="1">
      <alignment horizontal="left" vertical="center" wrapText="1"/>
    </xf>
    <xf numFmtId="0" fontId="8" fillId="12" borderId="3" xfId="0" applyFont="1" applyFill="1" applyBorder="1" applyAlignment="1">
      <alignment horizontal="left" vertical="center" wrapText="1"/>
    </xf>
    <xf numFmtId="0" fontId="10" fillId="12" borderId="3" xfId="0" applyFont="1" applyFill="1" applyBorder="1" applyAlignment="1">
      <alignment horizontal="center" vertical="center" wrapText="1"/>
    </xf>
    <xf numFmtId="0" fontId="13" fillId="13" borderId="3" xfId="0" applyFont="1" applyFill="1" applyBorder="1" applyAlignment="1">
      <alignment horizontal="left" vertical="center" wrapText="1"/>
    </xf>
    <xf numFmtId="0" fontId="8" fillId="14" borderId="3" xfId="0" applyFont="1" applyFill="1" applyBorder="1" applyAlignment="1">
      <alignment horizontal="left" vertical="center" wrapText="1"/>
    </xf>
    <xf numFmtId="0" fontId="10" fillId="14" borderId="3" xfId="0" applyFont="1" applyFill="1" applyBorder="1" applyAlignment="1">
      <alignment horizontal="center" vertical="center" wrapText="1"/>
    </xf>
    <xf numFmtId="0" fontId="13" fillId="15" borderId="3" xfId="0" applyFont="1" applyFill="1" applyBorder="1" applyAlignment="1">
      <alignment horizontal="left" vertical="center" wrapText="1"/>
    </xf>
    <xf numFmtId="0" fontId="8" fillId="16" borderId="3" xfId="0" applyFont="1" applyFill="1" applyBorder="1" applyAlignment="1">
      <alignment horizontal="left" vertical="center" wrapText="1"/>
    </xf>
    <xf numFmtId="0" fontId="10" fillId="16" borderId="3" xfId="0" applyFont="1" applyFill="1" applyBorder="1" applyAlignment="1">
      <alignment horizontal="center" vertical="center" wrapText="1"/>
    </xf>
    <xf numFmtId="0" fontId="13" fillId="17" borderId="3" xfId="0" applyFont="1" applyFill="1" applyBorder="1" applyAlignment="1">
      <alignment horizontal="left" vertical="center" wrapText="1"/>
    </xf>
    <xf numFmtId="0" fontId="8" fillId="18" borderId="3" xfId="0" applyFont="1" applyFill="1" applyBorder="1" applyAlignment="1">
      <alignment horizontal="left" vertical="center" wrapText="1"/>
    </xf>
    <xf numFmtId="0" fontId="13" fillId="19" borderId="3" xfId="0" applyFont="1" applyFill="1" applyBorder="1" applyAlignment="1">
      <alignment horizontal="left" vertical="center" wrapText="1"/>
    </xf>
    <xf numFmtId="0" fontId="8" fillId="20" borderId="3" xfId="0" applyFont="1" applyFill="1" applyBorder="1" applyAlignment="1">
      <alignment horizontal="left" vertical="center" wrapText="1"/>
    </xf>
    <xf numFmtId="0" fontId="10" fillId="20"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8" fillId="5"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4" fillId="25" borderId="3" xfId="0" applyFont="1" applyFill="1" applyBorder="1" applyAlignment="1">
      <alignment horizontal="center" vertical="center"/>
    </xf>
    <xf numFmtId="0" fontId="5" fillId="7" borderId="3" xfId="0" applyFont="1" applyFill="1" applyBorder="1" applyAlignment="1">
      <alignment horizontal="left" vertical="center" wrapText="1"/>
    </xf>
    <xf numFmtId="0" fontId="2" fillId="7" borderId="3" xfId="0" applyFont="1" applyFill="1" applyBorder="1" applyAlignment="1">
      <alignment horizontal="left" vertical="center" wrapText="1"/>
    </xf>
    <xf numFmtId="0" fontId="8" fillId="23" borderId="3"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5" fillId="8" borderId="3" xfId="0" applyFont="1" applyFill="1" applyBorder="1" applyAlignment="1">
      <alignment horizontal="left" vertical="center" wrapText="1"/>
    </xf>
    <xf numFmtId="0" fontId="2" fillId="8" borderId="3" xfId="0" applyFont="1" applyFill="1" applyBorder="1" applyAlignment="1">
      <alignment horizontal="left" vertical="center" wrapText="1"/>
    </xf>
    <xf numFmtId="0" fontId="8" fillId="26" borderId="3" xfId="0" applyFont="1" applyFill="1" applyBorder="1" applyAlignment="1">
      <alignment horizontal="center" vertical="center" wrapText="1"/>
    </xf>
    <xf numFmtId="0" fontId="6" fillId="26" borderId="3"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5" borderId="3" xfId="0" applyFont="1" applyFill="1" applyBorder="1" applyAlignment="1">
      <alignment vertical="center" wrapText="1"/>
    </xf>
    <xf numFmtId="0" fontId="1" fillId="3"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1" borderId="3" xfId="0" applyFont="1" applyFill="1" applyBorder="1" applyAlignment="1">
      <alignment horizontal="left" vertical="center" wrapText="1"/>
    </xf>
    <xf numFmtId="164" fontId="2" fillId="25" borderId="3" xfId="1" applyNumberFormat="1"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2" fillId="5" borderId="3" xfId="0" applyFont="1" applyFill="1" applyBorder="1" applyAlignment="1">
      <alignment horizontal="center" vertical="center" wrapText="1"/>
    </xf>
    <xf numFmtId="0" fontId="20" fillId="25" borderId="3" xfId="0" applyFont="1" applyFill="1" applyBorder="1" applyAlignment="1">
      <alignment horizontal="center" vertical="center"/>
    </xf>
    <xf numFmtId="0" fontId="8" fillId="23" borderId="3" xfId="0" applyFont="1" applyFill="1" applyBorder="1" applyAlignment="1">
      <alignment horizontal="left" vertical="center" wrapText="1"/>
    </xf>
    <xf numFmtId="0" fontId="9" fillId="24" borderId="3" xfId="0" applyFont="1" applyFill="1" applyBorder="1" applyAlignment="1">
      <alignment horizontal="left" vertical="center" wrapText="1"/>
    </xf>
    <xf numFmtId="0" fontId="10" fillId="21" borderId="3" xfId="0" applyFont="1" applyFill="1" applyBorder="1" applyAlignment="1">
      <alignment horizontal="left" vertical="center" wrapText="1"/>
    </xf>
    <xf numFmtId="0" fontId="11" fillId="26" borderId="3" xfId="0" applyFont="1" applyFill="1" applyBorder="1" applyAlignment="1">
      <alignment horizontal="center" vertical="center" wrapText="1"/>
    </xf>
    <xf numFmtId="0" fontId="21" fillId="26" borderId="3" xfId="0" applyFont="1" applyFill="1" applyBorder="1" applyAlignment="1">
      <alignment horizontal="left" vertical="center" wrapText="1"/>
    </xf>
    <xf numFmtId="0" fontId="13" fillId="3" borderId="3" xfId="0" applyFont="1" applyFill="1" applyBorder="1" applyAlignment="1">
      <alignment horizontal="center" vertical="center" wrapText="1"/>
    </xf>
    <xf numFmtId="0" fontId="13" fillId="3" borderId="3" xfId="0" applyFont="1" applyFill="1" applyBorder="1" applyAlignment="1">
      <alignment horizontal="left" vertical="center" wrapText="1"/>
    </xf>
    <xf numFmtId="0" fontId="6" fillId="6" borderId="3" xfId="0" applyFont="1" applyFill="1" applyBorder="1" applyAlignment="1">
      <alignment horizontal="center" vertical="center" wrapText="1"/>
    </xf>
    <xf numFmtId="0" fontId="14" fillId="23" borderId="3" xfId="0" applyFont="1" applyFill="1" applyBorder="1" applyAlignment="1">
      <alignment horizontal="center" vertical="center" wrapText="1"/>
    </xf>
    <xf numFmtId="0" fontId="13" fillId="24" borderId="3"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25" fillId="21" borderId="3" xfId="0" applyFont="1" applyFill="1" applyBorder="1" applyAlignment="1">
      <alignment horizontal="center" vertical="center" wrapText="1"/>
    </xf>
    <xf numFmtId="0" fontId="26" fillId="23" borderId="3" xfId="0" applyFont="1" applyFill="1" applyBorder="1" applyAlignment="1">
      <alignment horizontal="left" vertical="center" wrapText="1"/>
    </xf>
    <xf numFmtId="0" fontId="27" fillId="21" borderId="3" xfId="0" applyFont="1" applyFill="1" applyBorder="1" applyAlignment="1">
      <alignment horizontal="left" vertical="center" wrapText="1"/>
    </xf>
    <xf numFmtId="0" fontId="15" fillId="21" borderId="3" xfId="0" applyFont="1" applyFill="1" applyBorder="1" applyAlignment="1">
      <alignment horizontal="left" vertical="center" wrapText="1"/>
    </xf>
    <xf numFmtId="0" fontId="8" fillId="21" borderId="3" xfId="0" applyFont="1" applyFill="1" applyBorder="1" applyAlignment="1">
      <alignment horizontal="left" vertical="center" wrapText="1"/>
    </xf>
    <xf numFmtId="0" fontId="10" fillId="5" borderId="3" xfId="0" applyFont="1" applyFill="1" applyBorder="1" applyAlignment="1">
      <alignment horizontal="center" vertical="center" wrapText="1"/>
    </xf>
    <xf numFmtId="0" fontId="10" fillId="23" borderId="3" xfId="0" applyFont="1" applyFill="1" applyBorder="1" applyAlignment="1">
      <alignment horizontal="left" vertical="center" wrapText="1"/>
    </xf>
    <xf numFmtId="0" fontId="17" fillId="24" borderId="3" xfId="0" applyFont="1" applyFill="1" applyBorder="1" applyAlignment="1">
      <alignment horizontal="left" vertical="center" wrapText="1"/>
    </xf>
    <xf numFmtId="0" fontId="20" fillId="22" borderId="3" xfId="0" applyFont="1" applyFill="1" applyBorder="1" applyAlignment="1">
      <alignment horizontal="center" vertical="center"/>
    </xf>
    <xf numFmtId="0" fontId="18" fillId="26" borderId="3" xfId="0" applyFont="1" applyFill="1" applyBorder="1" applyAlignment="1">
      <alignment horizontal="left" vertical="center" wrapText="1"/>
    </xf>
    <xf numFmtId="0" fontId="2" fillId="0" borderId="3" xfId="0" applyFont="1" applyBorder="1" applyAlignment="1">
      <alignment horizontal="left" vertical="center" wrapText="1"/>
    </xf>
    <xf numFmtId="0" fontId="7" fillId="22" borderId="3" xfId="0" applyFont="1" applyFill="1" applyBorder="1" applyAlignment="1">
      <alignment horizontal="center" vertical="center" wrapText="1"/>
    </xf>
    <xf numFmtId="0" fontId="12" fillId="26" borderId="3" xfId="0" applyFont="1" applyFill="1" applyBorder="1" applyAlignment="1">
      <alignment horizontal="left" vertical="center" wrapText="1"/>
    </xf>
    <xf numFmtId="14" fontId="2" fillId="25" borderId="3" xfId="0" applyNumberFormat="1" applyFont="1" applyFill="1" applyBorder="1" applyAlignment="1">
      <alignment horizontal="left" vertical="center" wrapText="1"/>
    </xf>
    <xf numFmtId="43" fontId="2" fillId="25" borderId="3" xfId="1" applyFont="1" applyFill="1" applyBorder="1" applyAlignment="1">
      <alignment horizontal="left" vertical="center" wrapText="1"/>
    </xf>
    <xf numFmtId="0" fontId="8" fillId="2" borderId="3" xfId="0" applyFont="1" applyFill="1" applyBorder="1" applyAlignment="1">
      <alignment horizontal="left" vertical="center" wrapText="1"/>
    </xf>
    <xf numFmtId="0" fontId="7" fillId="26" borderId="3" xfId="0" applyFont="1" applyFill="1" applyBorder="1" applyAlignment="1">
      <alignment horizontal="center" vertical="center" wrapText="1"/>
    </xf>
    <xf numFmtId="0" fontId="20" fillId="22" borderId="1" xfId="0" applyFont="1" applyFill="1" applyBorder="1" applyAlignment="1">
      <alignment horizontal="center" vertical="center"/>
    </xf>
    <xf numFmtId="0" fontId="20" fillId="22" borderId="0" xfId="0" applyFont="1" applyFill="1" applyAlignment="1">
      <alignment horizontal="center" vertical="center"/>
    </xf>
    <xf numFmtId="0" fontId="16" fillId="26" borderId="3" xfId="0" applyFont="1" applyFill="1" applyBorder="1" applyAlignment="1">
      <alignment horizontal="center" vertical="center" wrapText="1"/>
    </xf>
    <xf numFmtId="0" fontId="0" fillId="27" borderId="0" xfId="0" applyFill="1" applyAlignment="1">
      <alignment horizontal="center"/>
    </xf>
    <xf numFmtId="0" fontId="8" fillId="26"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8" fillId="21" borderId="3" xfId="0" applyFont="1" applyFill="1" applyBorder="1" applyAlignment="1">
      <alignment horizontal="left" vertical="center" wrapText="1"/>
    </xf>
    <xf numFmtId="0" fontId="2" fillId="21" borderId="3" xfId="0" applyFont="1" applyFill="1" applyBorder="1" applyAlignment="1">
      <alignment horizontal="left" vertical="center" wrapText="1"/>
    </xf>
    <xf numFmtId="0" fontId="12" fillId="26" borderId="3" xfId="0" applyFont="1" applyFill="1" applyBorder="1" applyAlignment="1">
      <alignment horizontal="left" vertical="center" wrapText="1"/>
    </xf>
    <xf numFmtId="0" fontId="21" fillId="26" borderId="3" xfId="0" applyFont="1" applyFill="1" applyBorder="1" applyAlignment="1">
      <alignment horizontal="left" vertical="center" wrapText="1"/>
    </xf>
    <xf numFmtId="0" fontId="2" fillId="25" borderId="3" xfId="0" applyFont="1" applyFill="1" applyBorder="1" applyAlignment="1">
      <alignment horizontal="left" vertical="center" wrapText="1"/>
    </xf>
    <xf numFmtId="0" fontId="0" fillId="31" borderId="0" xfId="0" applyFill="1"/>
    <xf numFmtId="0" fontId="28" fillId="0" borderId="0" xfId="0" applyFont="1" applyAlignment="1">
      <alignment horizontal="left" vertical="center" wrapText="1"/>
    </xf>
    <xf numFmtId="0" fontId="28" fillId="0" borderId="0" xfId="0" applyFont="1" applyAlignment="1">
      <alignment horizontal="center" vertical="center" wrapText="1"/>
    </xf>
    <xf numFmtId="0" fontId="29" fillId="31" borderId="0" xfId="0" applyFont="1" applyFill="1" applyAlignment="1">
      <alignment vertical="center" wrapText="1"/>
    </xf>
    <xf numFmtId="9" fontId="29" fillId="31" borderId="0" xfId="0" applyNumberFormat="1" applyFont="1" applyFill="1" applyAlignment="1">
      <alignment horizontal="center" vertical="center" wrapText="1"/>
    </xf>
    <xf numFmtId="0" fontId="30" fillId="0" borderId="0" xfId="0" applyFont="1"/>
    <xf numFmtId="0" fontId="31" fillId="0" borderId="0" xfId="0" applyFont="1" applyAlignment="1">
      <alignment horizontal="left" vertical="center" wrapText="1"/>
    </xf>
    <xf numFmtId="0" fontId="29" fillId="0" borderId="0" xfId="0" applyFont="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5" fillId="31" borderId="0" xfId="0" applyFont="1" applyFill="1" applyAlignment="1">
      <alignment vertical="center" wrapText="1"/>
    </xf>
    <xf numFmtId="9" fontId="35" fillId="31" borderId="0" xfId="0" applyNumberFormat="1" applyFont="1" applyFill="1" applyAlignment="1">
      <alignment horizontal="center" vertical="center" wrapText="1"/>
    </xf>
    <xf numFmtId="0" fontId="36" fillId="31" borderId="0" xfId="0" applyFont="1" applyFill="1" applyAlignment="1">
      <alignment vertical="center" wrapText="1"/>
    </xf>
    <xf numFmtId="9" fontId="36" fillId="31" borderId="0" xfId="0" applyNumberFormat="1" applyFont="1" applyFill="1" applyAlignment="1">
      <alignment horizontal="center" vertical="center" wrapText="1"/>
    </xf>
    <xf numFmtId="0" fontId="37" fillId="0" borderId="0" xfId="0" applyFont="1" applyAlignment="1">
      <alignment horizontal="center" vertical="center" wrapText="1"/>
    </xf>
    <xf numFmtId="0" fontId="38" fillId="31" borderId="0" xfId="0" applyFont="1" applyFill="1" applyAlignment="1">
      <alignment vertical="center" wrapText="1"/>
    </xf>
    <xf numFmtId="9" fontId="38" fillId="31" borderId="0" xfId="0" applyNumberFormat="1" applyFont="1" applyFill="1" applyAlignment="1">
      <alignment horizontal="center" vertical="center" wrapText="1"/>
    </xf>
    <xf numFmtId="0" fontId="39" fillId="31" borderId="0" xfId="0" applyFont="1" applyFill="1" applyAlignment="1">
      <alignment vertical="center" wrapText="1"/>
    </xf>
    <xf numFmtId="9" fontId="39" fillId="31" borderId="0" xfId="0" applyNumberFormat="1" applyFont="1" applyFill="1" applyAlignment="1">
      <alignment horizontal="center" vertical="center" wrapText="1"/>
    </xf>
    <xf numFmtId="0" fontId="32" fillId="31" borderId="0" xfId="0" applyFont="1" applyFill="1" applyAlignment="1">
      <alignment vertical="center" wrapText="1"/>
    </xf>
    <xf numFmtId="9" fontId="32" fillId="31" borderId="0" xfId="0" applyNumberFormat="1" applyFont="1" applyFill="1" applyAlignment="1">
      <alignment horizontal="center" vertical="center" wrapText="1"/>
    </xf>
    <xf numFmtId="0" fontId="40" fillId="31" borderId="0" xfId="0" applyFont="1" applyFill="1" applyAlignment="1">
      <alignment vertical="center" wrapText="1"/>
    </xf>
    <xf numFmtId="9" fontId="40" fillId="31" borderId="0" xfId="0" applyNumberFormat="1" applyFont="1" applyFill="1" applyAlignment="1">
      <alignment horizontal="center" vertical="center" wrapText="1"/>
    </xf>
    <xf numFmtId="0" fontId="0" fillId="0" borderId="1" xfId="0" applyBorder="1" applyAlignment="1"/>
    <xf numFmtId="0" fontId="0" fillId="0" borderId="2" xfId="0" applyBorder="1" applyAlignment="1"/>
    <xf numFmtId="0" fontId="0" fillId="0" borderId="0" xfId="0" applyAlignment="1"/>
  </cellXfs>
  <cellStyles count="3">
    <cellStyle name="Millares" xfId="1" builtinId="3"/>
    <cellStyle name="Normal" xfId="0" builtinId="0"/>
    <cellStyle name="Porcentaje" xfId="2" builtinId="5"/>
  </cellStyles>
  <dxfs count="13">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54389</xdr:colOff>
      <xdr:row>50</xdr:row>
      <xdr:rowOff>147016</xdr:rowOff>
    </xdr:from>
    <xdr:to>
      <xdr:col>10</xdr:col>
      <xdr:colOff>76312</xdr:colOff>
      <xdr:row>65</xdr:row>
      <xdr:rowOff>157240</xdr:rowOff>
    </xdr:to>
    <xdr:pic>
      <xdr:nvPicPr>
        <xdr:cNvPr id="2" name="Picture 1">
          <a:extLst>
            <a:ext uri="{FF2B5EF4-FFF2-40B4-BE49-F238E27FC236}">
              <a16:creationId xmlns:a16="http://schemas.microsoft.com/office/drawing/2014/main" id="{C9DF05A5-F89D-2F3F-782E-36F9349608C7}"/>
            </a:ext>
          </a:extLst>
        </xdr:cNvPr>
        <xdr:cNvPicPr>
          <a:picLocks noChangeAspect="1"/>
        </xdr:cNvPicPr>
      </xdr:nvPicPr>
      <xdr:blipFill>
        <a:blip xmlns:r="http://schemas.openxmlformats.org/officeDocument/2006/relationships" r:embed="rId1"/>
        <a:stretch>
          <a:fillRect/>
        </a:stretch>
      </xdr:blipFill>
      <xdr:spPr>
        <a:xfrm>
          <a:off x="178214" y="6547816"/>
          <a:ext cx="7270448" cy="27248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terview_Analysis_v3_1_cod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itization"/>
      <sheetName val="Scorecard Planning"/>
      <sheetName val="Analysis — Filter View"/>
      <sheetName val="Analysis — Individual"/>
      <sheetName val="Company 1"/>
      <sheetName val="Company 2"/>
      <sheetName val="Company 3"/>
      <sheetName val="Company 4"/>
      <sheetName val="Company 5"/>
      <sheetName val="Company 6"/>
      <sheetName val="Company 7"/>
      <sheetName val="Company 8"/>
      <sheetName val="Company 9"/>
      <sheetName val="Company 10"/>
      <sheetName val="Company 11"/>
      <sheetName val="Company 12"/>
      <sheetName val="Company 13"/>
      <sheetName val="Company 14"/>
      <sheetName val="Company 15"/>
      <sheetName val="Company 16"/>
      <sheetName val="Company 17"/>
      <sheetName val="Company 18"/>
      <sheetName val="Company 19"/>
      <sheetName val="Company 20"/>
      <sheetName val="Company 21"/>
      <sheetName val="Company 22"/>
      <sheetName val="Company 23"/>
      <sheetName val="Company 24"/>
      <sheetName val="Company 25"/>
      <sheetName val="Company 26"/>
      <sheetName val="Company 27"/>
      <sheetName val="Company 28"/>
      <sheetName val="Company 29"/>
      <sheetName val="Company 30"/>
      <sheetName val="Template"/>
    </sheetNames>
    <sheetDataSet>
      <sheetData sheetId="0">
        <row r="23">
          <cell r="W23">
            <v>0.8</v>
          </cell>
          <cell r="X23">
            <v>0.33333333333333298</v>
          </cell>
          <cell r="Y23">
            <v>0.5</v>
          </cell>
          <cell r="Z23">
            <v>0</v>
          </cell>
        </row>
        <row r="24">
          <cell r="W24">
            <v>0.8</v>
          </cell>
          <cell r="X24">
            <v>0.33333333333333298</v>
          </cell>
          <cell r="Y24">
            <v>0.5</v>
          </cell>
          <cell r="Z24">
            <v>1</v>
          </cell>
        </row>
        <row r="25">
          <cell r="W25">
            <v>0.8</v>
          </cell>
          <cell r="X25">
            <v>0.66666666666666696</v>
          </cell>
          <cell r="Y25">
            <v>0.25</v>
          </cell>
          <cell r="Z25">
            <v>1</v>
          </cell>
        </row>
        <row r="26">
          <cell r="W26">
            <v>0.8</v>
          </cell>
          <cell r="X26">
            <v>0.66666666666666696</v>
          </cell>
          <cell r="Y26">
            <v>1</v>
          </cell>
          <cell r="Z26">
            <v>0</v>
          </cell>
        </row>
        <row r="27">
          <cell r="W27">
            <v>0.4</v>
          </cell>
          <cell r="X27">
            <v>0</v>
          </cell>
          <cell r="Y27">
            <v>0.25</v>
          </cell>
          <cell r="Z27">
            <v>1</v>
          </cell>
        </row>
        <row r="28">
          <cell r="W28">
            <v>0.4</v>
          </cell>
          <cell r="X28">
            <v>0</v>
          </cell>
          <cell r="Y28">
            <v>0.25</v>
          </cell>
          <cell r="Z28">
            <v>0</v>
          </cell>
        </row>
        <row r="29">
          <cell r="W29">
            <v>0.6</v>
          </cell>
          <cell r="X29">
            <v>0</v>
          </cell>
          <cell r="Y29">
            <v>0.5</v>
          </cell>
          <cell r="Z2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9:J27" totalsRowShown="0">
  <autoFilter ref="B9:J27" xr:uid="{00000000-0009-0000-0100-000001000000}"/>
  <sortState xmlns:xlrd2="http://schemas.microsoft.com/office/spreadsheetml/2017/richdata2" ref="B10:I22">
    <sortCondition descending="1" ref="G10:G22"/>
    <sortCondition ref="C10:C22"/>
  </sortState>
  <tableColumns count="9">
    <tableColumn id="1" xr3:uid="{00000000-0010-0000-0000-000001000000}" name="Company"/>
    <tableColumn id="2" xr3:uid="{00000000-0010-0000-0000-000002000000}" name="Industry"/>
    <tableColumn id="3" xr3:uid="{00000000-0010-0000-0000-000003000000}" name="Data Maturity"/>
    <tableColumn id="4" xr3:uid="{00000000-0010-0000-0000-000004000000}" name="Collaboration"/>
    <tableColumn id="5" xr3:uid="{00000000-0010-0000-0000-000005000000}" name="Third Party"/>
    <tableColumn id="6" xr3:uid="{00000000-0010-0000-0000-000006000000}" name="Grade"/>
    <tableColumn id="7" xr3:uid="{00000000-0010-0000-0000-000007000000}" name="Notes"/>
    <tableColumn id="8" xr3:uid="{00000000-0010-0000-0000-000008000000}" name="Starting Phase"/>
    <tableColumn id="9" xr3:uid="{00000000-0010-0000-0000-000009000000}" name="Contac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1:W50"/>
  <sheetViews>
    <sheetView topLeftCell="A9" zoomScale="108" zoomScaleNormal="100" workbookViewId="0">
      <selection activeCell="L15" sqref="L15"/>
    </sheetView>
  </sheetViews>
  <sheetFormatPr defaultRowHeight="14.45"/>
  <cols>
    <col min="1" max="1" width="1.85546875" customWidth="1"/>
    <col min="2" max="9" width="11.42578125" customWidth="1"/>
    <col min="10" max="10" width="17.28515625" customWidth="1"/>
    <col min="11" max="11" width="3.140625" customWidth="1"/>
    <col min="12" max="14" width="19.140625" customWidth="1"/>
    <col min="15" max="15" width="19.140625" hidden="1" customWidth="1"/>
    <col min="17" max="17" width="8.42578125" bestFit="1" customWidth="1"/>
    <col min="18" max="18" width="1.5703125" customWidth="1"/>
    <col min="19" max="19" width="12.42578125" bestFit="1" customWidth="1"/>
    <col min="20" max="20" width="13.28515625" bestFit="1" customWidth="1"/>
    <col min="21" max="21" width="10.28515625" bestFit="1" customWidth="1"/>
    <col min="22" max="22" width="7.140625" bestFit="1" customWidth="1"/>
    <col min="23" max="23" width="1.7109375" style="5" customWidth="1"/>
    <col min="24" max="27" width="7.140625" customWidth="1"/>
  </cols>
  <sheetData>
    <row r="1" spans="2:10" ht="12.6" hidden="1" customHeight="1">
      <c r="B1" s="158" t="s">
        <v>0</v>
      </c>
      <c r="C1" s="158"/>
      <c r="D1" s="158"/>
      <c r="E1" s="158"/>
      <c r="F1" s="158"/>
      <c r="G1" s="158"/>
      <c r="H1" s="158"/>
      <c r="I1" s="158"/>
      <c r="J1" s="158"/>
    </row>
    <row r="2" spans="2:10" ht="12.6" hidden="1" customHeight="1">
      <c r="B2" t="s">
        <v>1</v>
      </c>
      <c r="C2" t="s">
        <v>2</v>
      </c>
      <c r="D2" t="s">
        <v>3</v>
      </c>
      <c r="I2" t="s">
        <v>4</v>
      </c>
      <c r="J2" t="s">
        <v>5</v>
      </c>
    </row>
    <row r="3" spans="2:10" ht="12.6" hidden="1" customHeight="1">
      <c r="B3" t="s">
        <v>6</v>
      </c>
      <c r="C3" s="5">
        <f>SUMIF(Table1[Industry],B3,Table1[Grade])/COUNTIF(Table1[Industry],B3)</f>
        <v>5.8</v>
      </c>
      <c r="D3">
        <f>IFERROR(SUMIFS(Table1[Grade],Table1[Industry],B3,Table1[Third Party],"&gt;3")/COUNTIFS(Table1[Industry],B3,Table1[Third Party],"&gt;3"),"")</f>
        <v>7.5</v>
      </c>
      <c r="I3" t="s">
        <v>7</v>
      </c>
      <c r="J3" t="s">
        <v>8</v>
      </c>
    </row>
    <row r="4" spans="2:10" ht="12.6" hidden="1" customHeight="1">
      <c r="B4" t="s">
        <v>9</v>
      </c>
      <c r="C4" s="5">
        <f>SUMIF(Table1[Industry],B4,Table1[Grade])/COUNTIF(Table1[Industry],B4)</f>
        <v>5.833333333333333</v>
      </c>
      <c r="D4">
        <f>IFERROR(SUMIFS(Table1[Grade],Table1[Industry],B4,Table1[Third Party],"&gt;3")/COUNTIFS(Table1[Industry],B4,Table1[Third Party],"&gt;3"),"")</f>
        <v>8</v>
      </c>
      <c r="I4" t="s">
        <v>10</v>
      </c>
      <c r="J4" t="s">
        <v>11</v>
      </c>
    </row>
    <row r="5" spans="2:10" ht="12.6" hidden="1" customHeight="1">
      <c r="B5" t="s">
        <v>12</v>
      </c>
      <c r="C5" s="5">
        <f>SUMIF(Table1[Industry],B5,Table1[Grade])/COUNTIF(Table1[Industry],B5)</f>
        <v>4.5</v>
      </c>
      <c r="D5">
        <f>IFERROR(SUMIFS(Table1[Grade],Table1[Industry],B5,Table1[Third Party],"&gt;3")/COUNTIFS(Table1[Industry],B5,Table1[Third Party],"&gt;3"),"")</f>
        <v>5</v>
      </c>
    </row>
    <row r="6" spans="2:10" ht="12.6" hidden="1" customHeight="1">
      <c r="B6" t="s">
        <v>13</v>
      </c>
      <c r="C6" s="5">
        <f>SUMIF(Table1[Industry],B6,Table1[Grade])/COUNTIF(Table1[Industry],B6)</f>
        <v>3</v>
      </c>
      <c r="D6" t="str">
        <f>IFERROR(SUMIFS(Table1[Grade],Table1[Industry],B6,Table1[Third Party],"&gt;3")/COUNTIFS(Table1[Industry],B6,Table1[Third Party],"&gt;3"),"")</f>
        <v/>
      </c>
    </row>
    <row r="7" spans="2:10" ht="12.6" hidden="1" customHeight="1"/>
    <row r="8" spans="2:10" ht="12.6" hidden="1" customHeight="1">
      <c r="D8" t="s">
        <v>14</v>
      </c>
      <c r="E8" t="s">
        <v>15</v>
      </c>
      <c r="G8" t="s">
        <v>16</v>
      </c>
    </row>
    <row r="9" spans="2:10" ht="12.6" customHeight="1">
      <c r="B9" t="s">
        <v>17</v>
      </c>
      <c r="C9" t="s">
        <v>1</v>
      </c>
      <c r="D9" t="s">
        <v>18</v>
      </c>
      <c r="E9" t="s">
        <v>19</v>
      </c>
      <c r="F9" t="s">
        <v>20</v>
      </c>
      <c r="G9" t="s">
        <v>21</v>
      </c>
      <c r="H9" t="s">
        <v>22</v>
      </c>
      <c r="I9" t="s">
        <v>23</v>
      </c>
      <c r="J9" t="s">
        <v>24</v>
      </c>
    </row>
    <row r="10" spans="2:10" ht="12.6" customHeight="1">
      <c r="B10" t="s">
        <v>25</v>
      </c>
      <c r="C10" t="s">
        <v>6</v>
      </c>
      <c r="D10">
        <v>1</v>
      </c>
      <c r="E10">
        <v>5</v>
      </c>
      <c r="F10">
        <v>5</v>
      </c>
      <c r="G10">
        <v>8.5</v>
      </c>
      <c r="I10" t="s">
        <v>4</v>
      </c>
      <c r="J10" s="42"/>
    </row>
    <row r="11" spans="2:10" ht="12.6" customHeight="1">
      <c r="B11" t="s">
        <v>26</v>
      </c>
      <c r="C11" t="s">
        <v>9</v>
      </c>
      <c r="D11">
        <v>1</v>
      </c>
      <c r="E11">
        <v>5</v>
      </c>
      <c r="F11">
        <v>5</v>
      </c>
      <c r="G11">
        <v>8.5</v>
      </c>
      <c r="I11" t="s">
        <v>4</v>
      </c>
    </row>
    <row r="12" spans="2:10" ht="12.6" customHeight="1">
      <c r="B12" t="s">
        <v>27</v>
      </c>
      <c r="C12" t="s">
        <v>12</v>
      </c>
      <c r="D12">
        <v>2</v>
      </c>
      <c r="E12">
        <v>5</v>
      </c>
      <c r="F12">
        <v>5</v>
      </c>
      <c r="G12">
        <v>8.5</v>
      </c>
      <c r="I12" t="s">
        <v>7</v>
      </c>
    </row>
    <row r="13" spans="2:10" ht="12.6" customHeight="1">
      <c r="B13" t="s">
        <v>28</v>
      </c>
      <c r="C13" t="s">
        <v>9</v>
      </c>
      <c r="D13">
        <v>4</v>
      </c>
      <c r="E13">
        <v>4</v>
      </c>
      <c r="F13">
        <v>5</v>
      </c>
      <c r="G13">
        <v>7.5</v>
      </c>
      <c r="I13" t="s">
        <v>7</v>
      </c>
    </row>
    <row r="14" spans="2:10" ht="12.6" customHeight="1">
      <c r="B14" t="s">
        <v>29</v>
      </c>
      <c r="C14" t="s">
        <v>6</v>
      </c>
      <c r="D14">
        <v>5</v>
      </c>
      <c r="E14">
        <v>3</v>
      </c>
      <c r="F14">
        <v>5</v>
      </c>
      <c r="G14">
        <v>7</v>
      </c>
      <c r="I14" t="s">
        <v>10</v>
      </c>
    </row>
    <row r="15" spans="2:10" ht="12.6" customHeight="1">
      <c r="B15" t="s">
        <v>30</v>
      </c>
      <c r="C15" t="s">
        <v>6</v>
      </c>
      <c r="D15">
        <v>3</v>
      </c>
      <c r="E15">
        <v>5</v>
      </c>
      <c r="F15">
        <v>5</v>
      </c>
      <c r="G15">
        <v>7</v>
      </c>
      <c r="I15" t="s">
        <v>4</v>
      </c>
    </row>
    <row r="16" spans="2:10" ht="12.6" customHeight="1">
      <c r="B16" t="s">
        <v>31</v>
      </c>
      <c r="C16" t="s">
        <v>6</v>
      </c>
      <c r="D16">
        <v>3</v>
      </c>
      <c r="E16">
        <v>5</v>
      </c>
      <c r="F16">
        <v>3</v>
      </c>
      <c r="G16">
        <v>6.5</v>
      </c>
      <c r="I16" t="s">
        <v>7</v>
      </c>
      <c r="J16" s="42"/>
    </row>
    <row r="17" spans="2:9" ht="12.6" customHeight="1">
      <c r="B17" t="s">
        <v>32</v>
      </c>
      <c r="C17" t="s">
        <v>12</v>
      </c>
      <c r="D17">
        <v>3</v>
      </c>
      <c r="E17">
        <v>5</v>
      </c>
      <c r="F17">
        <v>5</v>
      </c>
      <c r="G17">
        <v>5</v>
      </c>
      <c r="H17" t="s">
        <v>33</v>
      </c>
      <c r="I17" t="s">
        <v>34</v>
      </c>
    </row>
    <row r="18" spans="2:9" ht="12.6" customHeight="1">
      <c r="B18" t="s">
        <v>35</v>
      </c>
      <c r="C18" t="s">
        <v>12</v>
      </c>
      <c r="D18">
        <v>5</v>
      </c>
      <c r="E18">
        <v>5</v>
      </c>
      <c r="F18">
        <v>3</v>
      </c>
      <c r="G18">
        <v>3</v>
      </c>
      <c r="H18" t="s">
        <v>36</v>
      </c>
      <c r="I18" t="s">
        <v>34</v>
      </c>
    </row>
    <row r="19" spans="2:9" ht="12.6" customHeight="1">
      <c r="B19" t="s">
        <v>37</v>
      </c>
      <c r="C19" t="s">
        <v>9</v>
      </c>
      <c r="D19">
        <v>5</v>
      </c>
      <c r="E19">
        <v>1</v>
      </c>
      <c r="F19">
        <v>1</v>
      </c>
      <c r="G19">
        <v>1.5</v>
      </c>
      <c r="H19" t="s">
        <v>38</v>
      </c>
      <c r="I19" t="s">
        <v>34</v>
      </c>
    </row>
    <row r="20" spans="2:9" ht="12.6" customHeight="1">
      <c r="B20" t="s">
        <v>39</v>
      </c>
      <c r="C20" t="s">
        <v>12</v>
      </c>
      <c r="D20">
        <v>3</v>
      </c>
      <c r="E20">
        <v>5</v>
      </c>
      <c r="F20">
        <v>5</v>
      </c>
      <c r="G20">
        <v>1.5</v>
      </c>
      <c r="H20" t="s">
        <v>40</v>
      </c>
      <c r="I20" t="s">
        <v>34</v>
      </c>
    </row>
    <row r="21" spans="2:9" ht="12.6" customHeight="1">
      <c r="B21" t="s">
        <v>41</v>
      </c>
      <c r="C21" t="s">
        <v>6</v>
      </c>
      <c r="D21">
        <v>5</v>
      </c>
      <c r="E21">
        <v>5</v>
      </c>
      <c r="F21">
        <v>1</v>
      </c>
      <c r="G21">
        <v>0</v>
      </c>
      <c r="H21" t="s">
        <v>40</v>
      </c>
      <c r="I21" t="s">
        <v>34</v>
      </c>
    </row>
    <row r="22" spans="2:9" ht="12.6" customHeight="1">
      <c r="B22" t="s">
        <v>42</v>
      </c>
      <c r="C22" t="s">
        <v>13</v>
      </c>
      <c r="D22">
        <v>5</v>
      </c>
      <c r="E22">
        <v>2</v>
      </c>
      <c r="F22">
        <v>3</v>
      </c>
      <c r="G22">
        <v>3</v>
      </c>
      <c r="H22" t="s">
        <v>40</v>
      </c>
      <c r="I22" t="s">
        <v>7</v>
      </c>
    </row>
    <row r="23" spans="2:9" ht="12.6" customHeight="1"/>
    <row r="24" spans="2:9" ht="12.6" customHeight="1"/>
    <row r="25" spans="2:9" ht="12.6" customHeight="1"/>
    <row r="26" spans="2:9" ht="12.6" customHeight="1"/>
    <row r="27" spans="2:9" ht="12.6" customHeight="1"/>
    <row r="28" spans="2:9" ht="12.6" customHeight="1"/>
    <row r="29" spans="2:9" ht="12.6" customHeight="1"/>
    <row r="30" spans="2:9" ht="12.6" customHeight="1"/>
    <row r="31" spans="2:9" ht="12.6" customHeight="1"/>
    <row r="32" spans="2:9" ht="12.6" customHeight="1"/>
    <row r="33" spans="3:9" ht="12.6" customHeight="1"/>
    <row r="34" spans="3:9" ht="12.6" customHeight="1"/>
    <row r="35" spans="3:9" ht="12.6" customHeight="1"/>
    <row r="36" spans="3:9" ht="12.6" customHeight="1"/>
    <row r="37" spans="3:9" ht="12.6" customHeight="1"/>
    <row r="38" spans="3:9" ht="12.6" customHeight="1"/>
    <row r="39" spans="3:9" ht="12.6" customHeight="1"/>
    <row r="40" spans="3:9" ht="12.6" customHeight="1"/>
    <row r="41" spans="3:9" ht="12.6" customHeight="1"/>
    <row r="42" spans="3:9" ht="12.6" customHeight="1"/>
    <row r="43" spans="3:9" ht="12.6" customHeight="1"/>
    <row r="44" spans="3:9" ht="12.6" customHeight="1"/>
    <row r="45" spans="3:9" ht="12.6" customHeight="1"/>
    <row r="46" spans="3:9" ht="12.6" customHeight="1">
      <c r="C46" t="s">
        <v>43</v>
      </c>
    </row>
    <row r="47" spans="3:9" ht="12.6" customHeight="1">
      <c r="D47" t="s">
        <v>44</v>
      </c>
      <c r="F47" t="s">
        <v>45</v>
      </c>
      <c r="I47" t="s">
        <v>45</v>
      </c>
    </row>
    <row r="48" spans="3:9" ht="12.6" customHeight="1">
      <c r="D48" t="s">
        <v>46</v>
      </c>
    </row>
    <row r="49" ht="12.6" customHeight="1"/>
    <row r="50" ht="12.6" customHeight="1"/>
  </sheetData>
  <mergeCells count="1">
    <mergeCell ref="B1:J1"/>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8C7E-1F28-473A-95D2-A3A4D8F92DE4}">
  <dimension ref="A1:Q48"/>
  <sheetViews>
    <sheetView workbookViewId="0">
      <selection activeCell="E4" sqref="E4:E7"/>
    </sheetView>
  </sheetViews>
  <sheetFormatPr defaultRowHeight="14.45"/>
  <sheetData>
    <row r="1" spans="1:17">
      <c r="A1" s="158" t="s">
        <v>47</v>
      </c>
      <c r="B1" s="158"/>
      <c r="C1" s="158"/>
      <c r="D1" s="158"/>
      <c r="E1" s="158"/>
      <c r="F1" s="158"/>
      <c r="G1" s="158"/>
      <c r="H1" s="158"/>
      <c r="I1" s="158"/>
      <c r="J1" s="158"/>
      <c r="K1" s="158"/>
      <c r="L1" s="6"/>
      <c r="M1" s="6"/>
      <c r="N1" s="6"/>
      <c r="O1" s="6"/>
      <c r="P1" s="6"/>
    </row>
    <row r="2" spans="1:17">
      <c r="F2">
        <f>'Analysis — Filter View'!E37</f>
        <v>17</v>
      </c>
      <c r="H2" s="24" t="s">
        <v>48</v>
      </c>
      <c r="I2" s="24"/>
      <c r="J2" s="24"/>
      <c r="K2" s="24"/>
      <c r="L2" s="5"/>
      <c r="M2" s="26" t="s">
        <v>49</v>
      </c>
      <c r="N2" s="26"/>
      <c r="O2" s="26"/>
      <c r="P2" s="26"/>
    </row>
    <row r="3" spans="1:17" ht="26.1">
      <c r="A3" s="43" t="s">
        <v>50</v>
      </c>
      <c r="B3" s="43" t="s">
        <v>51</v>
      </c>
      <c r="C3" s="19" t="s">
        <v>52</v>
      </c>
      <c r="D3" s="19" t="s">
        <v>53</v>
      </c>
      <c r="E3" s="19" t="s">
        <v>54</v>
      </c>
      <c r="F3" s="19" t="s">
        <v>55</v>
      </c>
      <c r="H3" s="19" t="s">
        <v>6</v>
      </c>
      <c r="I3" s="19" t="s">
        <v>9</v>
      </c>
      <c r="J3" s="19" t="s">
        <v>12</v>
      </c>
      <c r="K3" s="19" t="s">
        <v>13</v>
      </c>
      <c r="L3" s="5"/>
      <c r="M3" s="19" t="s">
        <v>6</v>
      </c>
      <c r="N3" s="19" t="s">
        <v>9</v>
      </c>
      <c r="O3" s="19" t="s">
        <v>12</v>
      </c>
      <c r="P3" s="19" t="s">
        <v>13</v>
      </c>
      <c r="Q3" s="25" t="s">
        <v>22</v>
      </c>
    </row>
    <row r="4" spans="1:17" ht="24.95">
      <c r="A4" s="44" t="s">
        <v>56</v>
      </c>
      <c r="B4" s="45" t="s">
        <v>57</v>
      </c>
      <c r="C4" s="46" t="s">
        <v>58</v>
      </c>
      <c r="D4" s="20" t="s">
        <v>59</v>
      </c>
      <c r="E4" s="15" cm="1">
        <f t="array" ref="E4:E38">TRANSPOSE('Analysis — Filter View'!H37:AP37)</f>
        <v>7.1923076923076925</v>
      </c>
      <c r="F4" s="27"/>
      <c r="H4" s="11" cm="1">
        <f t="array" ref="H4:H38">TRANSPOSE('Analysis — Filter View'!H38:AP38)</f>
        <v>8.4</v>
      </c>
      <c r="I4" s="11" cm="1">
        <f t="array" ref="I4:I38">TRANSPOSE('Analysis — Filter View'!H39:AP39)</f>
        <v>6</v>
      </c>
      <c r="J4" s="11" cm="1">
        <f t="array" ref="J4:J38">TRANSPOSE('Analysis — Filter View'!H40:AP40)</f>
        <v>7.625</v>
      </c>
      <c r="K4" s="11" cm="1">
        <f t="array" ref="K4:K38">TRANSPOSE('Analysis — Filter View'!H41:AP41)</f>
        <v>3</v>
      </c>
      <c r="L4" s="5"/>
      <c r="M4" s="11"/>
      <c r="N4" s="11"/>
      <c r="O4" s="11"/>
      <c r="P4" s="11"/>
      <c r="Q4" s="7" t="s">
        <v>60</v>
      </c>
    </row>
    <row r="5" spans="1:17" ht="37.5">
      <c r="A5" s="44" t="s">
        <v>56</v>
      </c>
      <c r="B5" s="45" t="s">
        <v>61</v>
      </c>
      <c r="C5" s="46" t="s">
        <v>62</v>
      </c>
      <c r="D5" s="20" t="s">
        <v>59</v>
      </c>
      <c r="E5" s="15">
        <v>13</v>
      </c>
      <c r="F5" s="27">
        <f>E5/$F$2</f>
        <v>0.76470588235294112</v>
      </c>
      <c r="H5" s="11">
        <v>5</v>
      </c>
      <c r="I5" s="11">
        <v>3</v>
      </c>
      <c r="J5" s="11">
        <v>4</v>
      </c>
      <c r="K5" s="11">
        <v>1</v>
      </c>
      <c r="L5" s="5"/>
      <c r="M5" s="27">
        <f>H5/'Analysis — Filter View'!$E$38</f>
        <v>1</v>
      </c>
      <c r="N5" s="27">
        <f>I5/'Analysis — Filter View'!$E$39</f>
        <v>1</v>
      </c>
      <c r="O5" s="27">
        <f>J5/'Analysis — Filter View'!$E$40</f>
        <v>1</v>
      </c>
      <c r="P5" s="27">
        <f>K5/'Analysis — Filter View'!$E$41</f>
        <v>1</v>
      </c>
      <c r="Q5" s="7" t="s">
        <v>63</v>
      </c>
    </row>
    <row r="6" spans="1:17" ht="37.5">
      <c r="A6" s="44" t="s">
        <v>56</v>
      </c>
      <c r="B6" s="45" t="s">
        <v>64</v>
      </c>
      <c r="C6" s="46" t="s">
        <v>65</v>
      </c>
      <c r="D6" s="20" t="s">
        <v>59</v>
      </c>
      <c r="E6" s="15">
        <v>4</v>
      </c>
      <c r="F6" s="27">
        <f>E6/$F$2</f>
        <v>0.23529411764705882</v>
      </c>
      <c r="H6" s="11">
        <v>0</v>
      </c>
      <c r="I6" s="11">
        <v>1</v>
      </c>
      <c r="J6" s="11">
        <v>3</v>
      </c>
      <c r="K6" s="11">
        <v>0</v>
      </c>
      <c r="L6" s="5"/>
      <c r="M6" s="27">
        <f>H6/'Analysis — Filter View'!$E$38</f>
        <v>0</v>
      </c>
      <c r="N6" s="27">
        <f>I6/'Analysis — Filter View'!$E$39</f>
        <v>0.33333333333333331</v>
      </c>
      <c r="O6" s="27">
        <f>J6/'Analysis — Filter View'!$E$40</f>
        <v>0.75</v>
      </c>
      <c r="P6" s="27">
        <f>K6/'Analysis — Filter View'!$E$41</f>
        <v>0</v>
      </c>
      <c r="Q6" s="7" t="s">
        <v>66</v>
      </c>
    </row>
    <row r="7" spans="1:17" ht="37.5">
      <c r="A7" s="44" t="s">
        <v>56</v>
      </c>
      <c r="B7" s="45" t="s">
        <v>67</v>
      </c>
      <c r="C7" s="46" t="s">
        <v>68</v>
      </c>
      <c r="D7" s="20" t="s">
        <v>59</v>
      </c>
      <c r="E7" s="15">
        <v>7</v>
      </c>
      <c r="F7" s="27">
        <f>E7/$F$2</f>
        <v>0.41176470588235292</v>
      </c>
      <c r="H7" s="11">
        <v>3</v>
      </c>
      <c r="I7" s="11">
        <v>1</v>
      </c>
      <c r="J7" s="11">
        <v>2</v>
      </c>
      <c r="K7" s="11">
        <v>1</v>
      </c>
      <c r="L7" s="5"/>
      <c r="M7" s="27">
        <f>H7/'Analysis — Filter View'!$E$38</f>
        <v>0.6</v>
      </c>
      <c r="N7" s="27">
        <f>I7/'Analysis — Filter View'!$E$39</f>
        <v>0.33333333333333331</v>
      </c>
      <c r="O7" s="27">
        <f>J7/'Analysis — Filter View'!$E$40</f>
        <v>0.5</v>
      </c>
      <c r="P7" s="27">
        <f>K7/'Analysis — Filter View'!$E$41</f>
        <v>1</v>
      </c>
      <c r="Q7" s="7" t="s">
        <v>69</v>
      </c>
    </row>
    <row r="8" spans="1:17" ht="37.5">
      <c r="A8" s="47" t="s">
        <v>70</v>
      </c>
      <c r="B8" s="48" t="s">
        <v>71</v>
      </c>
      <c r="C8" s="21" t="s">
        <v>72</v>
      </c>
      <c r="D8" s="21" t="s">
        <v>73</v>
      </c>
      <c r="E8" s="49">
        <v>2.7272727272727271</v>
      </c>
      <c r="F8" s="28"/>
      <c r="H8" s="12">
        <v>3</v>
      </c>
      <c r="I8" s="12">
        <v>1.3333333333333333</v>
      </c>
      <c r="J8" s="12">
        <v>2.75</v>
      </c>
      <c r="K8" s="12">
        <v>0</v>
      </c>
      <c r="L8" s="5"/>
      <c r="M8" s="28"/>
      <c r="N8" s="28"/>
      <c r="O8" s="28"/>
      <c r="P8" s="28"/>
      <c r="Q8" s="8"/>
    </row>
    <row r="9" spans="1:17" ht="37.5">
      <c r="A9" s="47" t="s">
        <v>70</v>
      </c>
      <c r="B9" s="48" t="s">
        <v>74</v>
      </c>
      <c r="C9" s="21" t="s">
        <v>75</v>
      </c>
      <c r="D9" s="21" t="s">
        <v>73</v>
      </c>
      <c r="E9" s="16">
        <v>2.3636363636363638</v>
      </c>
      <c r="F9" s="28"/>
      <c r="H9" s="12">
        <v>2.6</v>
      </c>
      <c r="I9" s="12">
        <v>1</v>
      </c>
      <c r="J9" s="12">
        <v>2.5</v>
      </c>
      <c r="K9" s="12">
        <v>0</v>
      </c>
      <c r="L9" s="5"/>
      <c r="M9" s="28"/>
      <c r="N9" s="28"/>
      <c r="O9" s="28"/>
      <c r="P9" s="28"/>
      <c r="Q9" s="8"/>
    </row>
    <row r="10" spans="1:17" ht="37.5">
      <c r="A10" s="47" t="s">
        <v>70</v>
      </c>
      <c r="B10" s="48" t="s">
        <v>76</v>
      </c>
      <c r="C10" s="21" t="s">
        <v>77</v>
      </c>
      <c r="D10" s="21" t="s">
        <v>73</v>
      </c>
      <c r="E10" s="16">
        <v>3.2307692307692308</v>
      </c>
      <c r="F10" s="28"/>
      <c r="H10" s="12">
        <v>3.8</v>
      </c>
      <c r="I10" s="12">
        <v>1.6666666666666667</v>
      </c>
      <c r="J10" s="12">
        <v>4</v>
      </c>
      <c r="K10" s="12">
        <v>2</v>
      </c>
      <c r="L10" s="5"/>
      <c r="M10" s="28"/>
      <c r="N10" s="28"/>
      <c r="O10" s="28"/>
      <c r="P10" s="28"/>
      <c r="Q10" s="8"/>
    </row>
    <row r="11" spans="1:17" ht="37.5">
      <c r="A11" s="47" t="s">
        <v>70</v>
      </c>
      <c r="B11" s="48" t="s">
        <v>78</v>
      </c>
      <c r="C11" s="21" t="s">
        <v>79</v>
      </c>
      <c r="D11" s="21" t="s">
        <v>73</v>
      </c>
      <c r="E11" s="16">
        <v>2.6153846153846154</v>
      </c>
      <c r="F11" s="28"/>
      <c r="H11" s="12">
        <v>3.2</v>
      </c>
      <c r="I11" s="12">
        <v>1.6666666666666667</v>
      </c>
      <c r="J11" s="12">
        <v>3</v>
      </c>
      <c r="K11" s="12">
        <v>1</v>
      </c>
      <c r="L11" s="5"/>
      <c r="M11" s="28"/>
      <c r="N11" s="28"/>
      <c r="O11" s="28"/>
      <c r="P11" s="28"/>
      <c r="Q11" s="8"/>
    </row>
    <row r="12" spans="1:17" ht="24.95">
      <c r="A12" s="47" t="s">
        <v>70</v>
      </c>
      <c r="B12" s="48" t="s">
        <v>80</v>
      </c>
      <c r="C12" s="21" t="s">
        <v>81</v>
      </c>
      <c r="D12" s="21" t="s">
        <v>73</v>
      </c>
      <c r="E12" s="16">
        <v>3.2307692307692308</v>
      </c>
      <c r="F12" s="28"/>
      <c r="H12" s="12">
        <v>4</v>
      </c>
      <c r="I12" s="12">
        <v>1.6666666666666667</v>
      </c>
      <c r="J12" s="12">
        <v>3.75</v>
      </c>
      <c r="K12" s="12">
        <v>2</v>
      </c>
      <c r="L12" s="5"/>
      <c r="M12" s="28"/>
      <c r="N12" s="28"/>
      <c r="O12" s="28"/>
      <c r="P12" s="28"/>
      <c r="Q12" s="8"/>
    </row>
    <row r="13" spans="1:17" ht="24.95">
      <c r="A13" s="47" t="s">
        <v>70</v>
      </c>
      <c r="B13" s="48" t="s">
        <v>82</v>
      </c>
      <c r="C13" s="21" t="s">
        <v>83</v>
      </c>
      <c r="D13" s="21" t="s">
        <v>73</v>
      </c>
      <c r="E13" s="16">
        <v>2.6666666666666665</v>
      </c>
      <c r="F13" s="28"/>
      <c r="H13" s="12">
        <v>2.6</v>
      </c>
      <c r="I13" s="12">
        <v>1.3333333333333333</v>
      </c>
      <c r="J13" s="12">
        <v>1.75</v>
      </c>
      <c r="K13" s="12">
        <v>0</v>
      </c>
      <c r="L13" s="5"/>
      <c r="M13" s="28"/>
      <c r="N13" s="28"/>
      <c r="O13" s="28"/>
      <c r="P13" s="28"/>
      <c r="Q13" s="8"/>
    </row>
    <row r="14" spans="1:17" ht="24.95">
      <c r="A14" s="47" t="s">
        <v>70</v>
      </c>
      <c r="B14" s="48" t="s">
        <v>84</v>
      </c>
      <c r="C14" s="21" t="s">
        <v>85</v>
      </c>
      <c r="D14" s="21" t="s">
        <v>73</v>
      </c>
      <c r="E14" s="16">
        <v>3.6153846153846154</v>
      </c>
      <c r="F14" s="28"/>
      <c r="H14" s="12">
        <v>4</v>
      </c>
      <c r="I14" s="12">
        <v>3.3333333333333335</v>
      </c>
      <c r="J14" s="12">
        <v>3.25</v>
      </c>
      <c r="K14" s="12">
        <v>4</v>
      </c>
      <c r="L14" s="5"/>
      <c r="M14" s="28"/>
      <c r="N14" s="28"/>
      <c r="O14" s="28"/>
      <c r="P14" s="28"/>
      <c r="Q14" s="8"/>
    </row>
    <row r="15" spans="1:17" ht="37.5">
      <c r="A15" s="47" t="s">
        <v>70</v>
      </c>
      <c r="B15" s="48" t="s">
        <v>86</v>
      </c>
      <c r="C15" s="21" t="s">
        <v>87</v>
      </c>
      <c r="D15" s="21" t="s">
        <v>73</v>
      </c>
      <c r="E15" s="16">
        <v>3.3333333333333335</v>
      </c>
      <c r="F15" s="28"/>
      <c r="H15" s="12">
        <v>3.2</v>
      </c>
      <c r="I15" s="12">
        <v>0</v>
      </c>
      <c r="J15" s="12">
        <v>2.5</v>
      </c>
      <c r="K15" s="12">
        <v>4</v>
      </c>
      <c r="L15" s="5"/>
      <c r="M15" s="28"/>
      <c r="N15" s="28"/>
      <c r="O15" s="28"/>
      <c r="P15" s="28"/>
      <c r="Q15" s="8" t="s">
        <v>88</v>
      </c>
    </row>
    <row r="16" spans="1:17" ht="50.1">
      <c r="A16" s="47" t="s">
        <v>70</v>
      </c>
      <c r="B16" s="48" t="s">
        <v>89</v>
      </c>
      <c r="C16" s="21" t="s">
        <v>90</v>
      </c>
      <c r="D16" s="21" t="s">
        <v>73</v>
      </c>
      <c r="E16" s="16">
        <v>6.9230769230769234</v>
      </c>
      <c r="F16" s="28"/>
      <c r="H16" s="12">
        <v>8</v>
      </c>
      <c r="I16" s="12">
        <v>5.666666666666667</v>
      </c>
      <c r="J16" s="12">
        <v>7.5</v>
      </c>
      <c r="K16" s="12">
        <v>3</v>
      </c>
      <c r="L16" s="5"/>
      <c r="M16" s="28"/>
      <c r="N16" s="28"/>
      <c r="O16" s="28"/>
      <c r="P16" s="28"/>
      <c r="Q16" s="8" t="s">
        <v>91</v>
      </c>
    </row>
    <row r="17" spans="1:17" ht="24">
      <c r="A17" s="50" t="s">
        <v>92</v>
      </c>
      <c r="B17" s="51" t="s">
        <v>93</v>
      </c>
      <c r="C17" s="52" t="s">
        <v>94</v>
      </c>
      <c r="D17" s="22" t="s">
        <v>59</v>
      </c>
      <c r="E17" s="17">
        <v>7</v>
      </c>
      <c r="F17" s="29">
        <f t="shared" ref="F17:F38" si="0">E17/$F$2</f>
        <v>0.41176470588235292</v>
      </c>
      <c r="H17" s="13">
        <v>4</v>
      </c>
      <c r="I17" s="13">
        <v>1</v>
      </c>
      <c r="J17" s="13">
        <v>2</v>
      </c>
      <c r="K17" s="13">
        <v>0</v>
      </c>
      <c r="L17" s="5"/>
      <c r="M17" s="29">
        <f>H17/'Analysis — Filter View'!$E$38</f>
        <v>0.8</v>
      </c>
      <c r="N17" s="29">
        <f>I17/'Analysis — Filter View'!$E$39</f>
        <v>0.33333333333333331</v>
      </c>
      <c r="O17" s="29">
        <f>J17/'Analysis — Filter View'!$E$40</f>
        <v>0.5</v>
      </c>
      <c r="P17" s="29">
        <f>K17/'Analysis — Filter View'!$E$41</f>
        <v>0</v>
      </c>
      <c r="Q17" s="9" t="s">
        <v>95</v>
      </c>
    </row>
    <row r="18" spans="1:17" ht="24.95">
      <c r="A18" s="50" t="s">
        <v>92</v>
      </c>
      <c r="B18" s="51" t="s">
        <v>96</v>
      </c>
      <c r="C18" s="52" t="s">
        <v>97</v>
      </c>
      <c r="D18" s="22" t="s">
        <v>59</v>
      </c>
      <c r="E18" s="53">
        <v>8</v>
      </c>
      <c r="F18" s="29">
        <f t="shared" si="0"/>
        <v>0.47058823529411764</v>
      </c>
      <c r="H18" s="13">
        <v>4</v>
      </c>
      <c r="I18" s="13">
        <v>1</v>
      </c>
      <c r="J18" s="13">
        <v>2</v>
      </c>
      <c r="K18" s="13">
        <v>1</v>
      </c>
      <c r="L18" s="5"/>
      <c r="M18" s="29">
        <f>H18/'Analysis — Filter View'!$E$38</f>
        <v>0.8</v>
      </c>
      <c r="N18" s="29">
        <f>I18/'Analysis — Filter View'!$E$39</f>
        <v>0.33333333333333331</v>
      </c>
      <c r="O18" s="29">
        <f>J18/'Analysis — Filter View'!$E$40</f>
        <v>0.5</v>
      </c>
      <c r="P18" s="29">
        <f>K18/'Analysis — Filter View'!$E$41</f>
        <v>1</v>
      </c>
      <c r="Q18" s="9" t="s">
        <v>98</v>
      </c>
    </row>
    <row r="19" spans="1:17" ht="34.5">
      <c r="A19" s="50" t="s">
        <v>92</v>
      </c>
      <c r="B19" s="51" t="s">
        <v>99</v>
      </c>
      <c r="C19" s="52" t="s">
        <v>100</v>
      </c>
      <c r="D19" s="22" t="s">
        <v>59</v>
      </c>
      <c r="E19" s="17">
        <v>8</v>
      </c>
      <c r="F19" s="29">
        <f t="shared" si="0"/>
        <v>0.47058823529411764</v>
      </c>
      <c r="H19" s="13">
        <v>4</v>
      </c>
      <c r="I19" s="13">
        <v>2</v>
      </c>
      <c r="J19" s="13">
        <v>1</v>
      </c>
      <c r="K19" s="13">
        <v>1</v>
      </c>
      <c r="L19" s="5"/>
      <c r="M19" s="29">
        <f>H19/'Analysis — Filter View'!$E$38</f>
        <v>0.8</v>
      </c>
      <c r="N19" s="29">
        <f>I19/'Analysis — Filter View'!$E$39</f>
        <v>0.66666666666666663</v>
      </c>
      <c r="O19" s="29">
        <f>J19/'Analysis — Filter View'!$E$40</f>
        <v>0.25</v>
      </c>
      <c r="P19" s="29">
        <f>K19/'Analysis — Filter View'!$E$41</f>
        <v>1</v>
      </c>
      <c r="Q19" s="9" t="s">
        <v>101</v>
      </c>
    </row>
    <row r="20" spans="1:17" ht="24.95">
      <c r="A20" s="50" t="s">
        <v>92</v>
      </c>
      <c r="B20" s="51" t="s">
        <v>102</v>
      </c>
      <c r="C20" s="52" t="s">
        <v>103</v>
      </c>
      <c r="D20" s="22" t="s">
        <v>59</v>
      </c>
      <c r="E20" s="17">
        <v>10</v>
      </c>
      <c r="F20" s="29">
        <f t="shared" si="0"/>
        <v>0.58823529411764708</v>
      </c>
      <c r="H20" s="13">
        <v>4</v>
      </c>
      <c r="I20" s="13">
        <v>2</v>
      </c>
      <c r="J20" s="13">
        <v>4</v>
      </c>
      <c r="K20" s="13">
        <v>0</v>
      </c>
      <c r="L20" s="5"/>
      <c r="M20" s="29">
        <f>H20/'Analysis — Filter View'!$E$38</f>
        <v>0.8</v>
      </c>
      <c r="N20" s="29">
        <f>I20/'Analysis — Filter View'!$E$39</f>
        <v>0.66666666666666663</v>
      </c>
      <c r="O20" s="29">
        <f>J20/'Analysis — Filter View'!$E$40</f>
        <v>1</v>
      </c>
      <c r="P20" s="29">
        <f>K20/'Analysis — Filter View'!$E$41</f>
        <v>0</v>
      </c>
      <c r="Q20" s="9" t="s">
        <v>104</v>
      </c>
    </row>
    <row r="21" spans="1:17" ht="37.5">
      <c r="A21" s="50" t="s">
        <v>92</v>
      </c>
      <c r="B21" s="51" t="s">
        <v>105</v>
      </c>
      <c r="C21" s="52" t="s">
        <v>106</v>
      </c>
      <c r="D21" s="22" t="s">
        <v>59</v>
      </c>
      <c r="E21" s="17">
        <v>4</v>
      </c>
      <c r="F21" s="29">
        <f t="shared" si="0"/>
        <v>0.23529411764705882</v>
      </c>
      <c r="H21" s="13">
        <v>2</v>
      </c>
      <c r="I21" s="13">
        <v>0</v>
      </c>
      <c r="J21" s="13">
        <v>1</v>
      </c>
      <c r="K21" s="13">
        <v>1</v>
      </c>
      <c r="L21" s="5"/>
      <c r="M21" s="29">
        <f>H21/'Analysis — Filter View'!$E$38</f>
        <v>0.4</v>
      </c>
      <c r="N21" s="29">
        <f>I21/'Analysis — Filter View'!$E$39</f>
        <v>0</v>
      </c>
      <c r="O21" s="29">
        <f>J21/'Analysis — Filter View'!$E$40</f>
        <v>0.25</v>
      </c>
      <c r="P21" s="29">
        <f>K21/'Analysis — Filter View'!$E$41</f>
        <v>1</v>
      </c>
      <c r="Q21" s="9" t="s">
        <v>107</v>
      </c>
    </row>
    <row r="22" spans="1:17" ht="24.95">
      <c r="A22" s="50" t="s">
        <v>92</v>
      </c>
      <c r="B22" s="51" t="s">
        <v>108</v>
      </c>
      <c r="C22" s="52" t="s">
        <v>109</v>
      </c>
      <c r="D22" s="22" t="s">
        <v>59</v>
      </c>
      <c r="E22" s="17">
        <v>3</v>
      </c>
      <c r="F22" s="29">
        <f t="shared" si="0"/>
        <v>0.17647058823529413</v>
      </c>
      <c r="H22" s="13">
        <v>2</v>
      </c>
      <c r="I22" s="13">
        <v>0</v>
      </c>
      <c r="J22" s="13">
        <v>1</v>
      </c>
      <c r="K22" s="13">
        <v>0</v>
      </c>
      <c r="L22" s="5"/>
      <c r="M22" s="29">
        <f>H22/'Analysis — Filter View'!$E$38</f>
        <v>0.4</v>
      </c>
      <c r="N22" s="29">
        <f>I22/'Analysis — Filter View'!$E$39</f>
        <v>0</v>
      </c>
      <c r="O22" s="29">
        <f>J22/'Analysis — Filter View'!$E$40</f>
        <v>0.25</v>
      </c>
      <c r="P22" s="29">
        <f>K22/'Analysis — Filter View'!$E$41</f>
        <v>0</v>
      </c>
      <c r="Q22" s="9" t="s">
        <v>110</v>
      </c>
    </row>
    <row r="23" spans="1:17" ht="24.95">
      <c r="A23" s="50" t="s">
        <v>92</v>
      </c>
      <c r="B23" s="51" t="s">
        <v>111</v>
      </c>
      <c r="C23" s="52" t="s">
        <v>112</v>
      </c>
      <c r="D23" s="22" t="s">
        <v>59</v>
      </c>
      <c r="E23" s="17">
        <v>5</v>
      </c>
      <c r="F23" s="29">
        <f t="shared" si="0"/>
        <v>0.29411764705882354</v>
      </c>
      <c r="H23" s="13">
        <v>3</v>
      </c>
      <c r="I23" s="13">
        <v>0</v>
      </c>
      <c r="J23" s="13">
        <v>2</v>
      </c>
      <c r="K23" s="13">
        <v>0</v>
      </c>
      <c r="L23" s="5"/>
      <c r="M23" s="29">
        <f>H23/'Analysis — Filter View'!$E$38</f>
        <v>0.6</v>
      </c>
      <c r="N23" s="29">
        <f>I23/'Analysis — Filter View'!$E$39</f>
        <v>0</v>
      </c>
      <c r="O23" s="29">
        <f>J23/'Analysis — Filter View'!$E$40</f>
        <v>0.5</v>
      </c>
      <c r="P23" s="29">
        <f>K23/'Analysis — Filter View'!$E$41</f>
        <v>0</v>
      </c>
      <c r="Q23" s="9" t="s">
        <v>113</v>
      </c>
    </row>
    <row r="24" spans="1:17" ht="37.5">
      <c r="A24" s="54" t="s">
        <v>114</v>
      </c>
      <c r="B24" s="55" t="s">
        <v>115</v>
      </c>
      <c r="C24" s="56" t="s">
        <v>116</v>
      </c>
      <c r="D24" s="30" t="s">
        <v>59</v>
      </c>
      <c r="E24" s="31">
        <v>12</v>
      </c>
      <c r="F24" s="32">
        <f t="shared" si="0"/>
        <v>0.70588235294117652</v>
      </c>
      <c r="H24" s="33">
        <v>5</v>
      </c>
      <c r="I24" s="33">
        <v>3</v>
      </c>
      <c r="J24" s="33">
        <v>3</v>
      </c>
      <c r="K24" s="33">
        <v>1</v>
      </c>
      <c r="L24" s="5"/>
      <c r="M24" s="32">
        <f>H24/'Analysis — Filter View'!$E$38</f>
        <v>1</v>
      </c>
      <c r="N24" s="32">
        <f>I24/'Analysis — Filter View'!$E$39</f>
        <v>1</v>
      </c>
      <c r="O24" s="32">
        <f>J24/'Analysis — Filter View'!$E$40</f>
        <v>0.75</v>
      </c>
      <c r="P24" s="32">
        <f>K24/'Analysis — Filter View'!$E$41</f>
        <v>1</v>
      </c>
      <c r="Q24" s="34" t="s">
        <v>117</v>
      </c>
    </row>
    <row r="25" spans="1:17" ht="34.5">
      <c r="A25" s="54" t="s">
        <v>114</v>
      </c>
      <c r="B25" s="55" t="s">
        <v>118</v>
      </c>
      <c r="C25" s="56" t="s">
        <v>119</v>
      </c>
      <c r="D25" s="30" t="s">
        <v>59</v>
      </c>
      <c r="E25" s="31">
        <v>8</v>
      </c>
      <c r="F25" s="32">
        <f t="shared" si="0"/>
        <v>0.47058823529411764</v>
      </c>
      <c r="H25" s="33">
        <v>4</v>
      </c>
      <c r="I25" s="33">
        <v>1</v>
      </c>
      <c r="J25" s="33">
        <v>2</v>
      </c>
      <c r="K25" s="33">
        <v>1</v>
      </c>
      <c r="L25" s="5"/>
      <c r="M25" s="32">
        <f>H25/'Analysis — Filter View'!$E$38</f>
        <v>0.8</v>
      </c>
      <c r="N25" s="32">
        <f>I25/'Analysis — Filter View'!$E$39</f>
        <v>0.33333333333333331</v>
      </c>
      <c r="O25" s="32">
        <f>J25/'Analysis — Filter View'!$E$40</f>
        <v>0.5</v>
      </c>
      <c r="P25" s="32">
        <f>K25/'Analysis — Filter View'!$E$41</f>
        <v>1</v>
      </c>
      <c r="Q25" s="34" t="s">
        <v>120</v>
      </c>
    </row>
    <row r="26" spans="1:17" ht="24.95">
      <c r="A26" s="54" t="s">
        <v>114</v>
      </c>
      <c r="B26" s="55" t="s">
        <v>121</v>
      </c>
      <c r="C26" s="56" t="s">
        <v>122</v>
      </c>
      <c r="D26" s="30" t="s">
        <v>59</v>
      </c>
      <c r="E26" s="57">
        <v>5</v>
      </c>
      <c r="F26" s="32">
        <f t="shared" si="0"/>
        <v>0.29411764705882354</v>
      </c>
      <c r="H26" s="33">
        <v>3</v>
      </c>
      <c r="I26" s="33">
        <v>0</v>
      </c>
      <c r="J26" s="33">
        <v>2</v>
      </c>
      <c r="K26" s="33">
        <v>0</v>
      </c>
      <c r="L26" s="5"/>
      <c r="M26" s="32">
        <f>H26/'Analysis — Filter View'!$E$38</f>
        <v>0.6</v>
      </c>
      <c r="N26" s="32">
        <f>I26/'Analysis — Filter View'!$E$39</f>
        <v>0</v>
      </c>
      <c r="O26" s="32">
        <f>J26/'Analysis — Filter View'!$E$40</f>
        <v>0.5</v>
      </c>
      <c r="P26" s="32">
        <f>K26/'Analysis — Filter View'!$E$41</f>
        <v>0</v>
      </c>
      <c r="Q26" s="34" t="s">
        <v>123</v>
      </c>
    </row>
    <row r="27" spans="1:17" ht="37.5">
      <c r="A27" s="54" t="s">
        <v>114</v>
      </c>
      <c r="B27" s="55" t="s">
        <v>124</v>
      </c>
      <c r="C27" s="56" t="s">
        <v>125</v>
      </c>
      <c r="D27" s="30" t="s">
        <v>59</v>
      </c>
      <c r="E27" s="31">
        <v>9</v>
      </c>
      <c r="F27" s="32">
        <f t="shared" si="0"/>
        <v>0.52941176470588236</v>
      </c>
      <c r="H27" s="33">
        <v>4</v>
      </c>
      <c r="I27" s="33">
        <v>2</v>
      </c>
      <c r="J27" s="33">
        <v>3</v>
      </c>
      <c r="K27" s="33">
        <v>0</v>
      </c>
      <c r="L27" s="5"/>
      <c r="M27" s="32">
        <f>H27/'Analysis — Filter View'!$E$38</f>
        <v>0.8</v>
      </c>
      <c r="N27" s="32">
        <f>I27/'Analysis — Filter View'!$E$39</f>
        <v>0.66666666666666663</v>
      </c>
      <c r="O27" s="32">
        <f>J27/'Analysis — Filter View'!$E$40</f>
        <v>0.75</v>
      </c>
      <c r="P27" s="32">
        <f>K27/'Analysis — Filter View'!$E$41</f>
        <v>0</v>
      </c>
      <c r="Q27" s="34" t="s">
        <v>126</v>
      </c>
    </row>
    <row r="28" spans="1:17" ht="24.95">
      <c r="A28" s="58" t="s">
        <v>127</v>
      </c>
      <c r="B28" s="59" t="s">
        <v>128</v>
      </c>
      <c r="C28" s="60" t="s">
        <v>129</v>
      </c>
      <c r="D28" s="23" t="s">
        <v>59</v>
      </c>
      <c r="E28" s="18">
        <v>5</v>
      </c>
      <c r="F28" s="35">
        <f t="shared" si="0"/>
        <v>0.29411764705882354</v>
      </c>
      <c r="H28" s="14">
        <v>3</v>
      </c>
      <c r="I28" s="14">
        <v>0</v>
      </c>
      <c r="J28" s="14">
        <v>2</v>
      </c>
      <c r="K28" s="14">
        <v>0</v>
      </c>
      <c r="L28" s="5"/>
      <c r="M28" s="35">
        <f>H28/'Analysis — Filter View'!$E$38</f>
        <v>0.6</v>
      </c>
      <c r="N28" s="35">
        <f>I28/'Analysis — Filter View'!$E$39</f>
        <v>0</v>
      </c>
      <c r="O28" s="35">
        <f>J28/'Analysis — Filter View'!$E$40</f>
        <v>0.5</v>
      </c>
      <c r="P28" s="35">
        <f>K28/'Analysis — Filter View'!$E$41</f>
        <v>0</v>
      </c>
      <c r="Q28" s="10" t="s">
        <v>130</v>
      </c>
    </row>
    <row r="29" spans="1:17" ht="24.95">
      <c r="A29" s="58" t="s">
        <v>127</v>
      </c>
      <c r="B29" s="59" t="s">
        <v>131</v>
      </c>
      <c r="C29" s="60" t="s">
        <v>132</v>
      </c>
      <c r="D29" s="23" t="s">
        <v>59</v>
      </c>
      <c r="E29" s="18">
        <v>4</v>
      </c>
      <c r="F29" s="35">
        <f t="shared" si="0"/>
        <v>0.23529411764705882</v>
      </c>
      <c r="H29" s="14">
        <v>2</v>
      </c>
      <c r="I29" s="14">
        <v>0</v>
      </c>
      <c r="J29" s="14">
        <v>2</v>
      </c>
      <c r="K29" s="14">
        <v>0</v>
      </c>
      <c r="L29" s="5"/>
      <c r="M29" s="35">
        <f>H29/'Analysis — Filter View'!$E$38</f>
        <v>0.4</v>
      </c>
      <c r="N29" s="35">
        <f>I29/'Analysis — Filter View'!$E$39</f>
        <v>0</v>
      </c>
      <c r="O29" s="35">
        <f>J29/'Analysis — Filter View'!$E$40</f>
        <v>0.5</v>
      </c>
      <c r="P29" s="35">
        <f>K29/'Analysis — Filter View'!$E$41</f>
        <v>0</v>
      </c>
      <c r="Q29" s="10" t="s">
        <v>133</v>
      </c>
    </row>
    <row r="30" spans="1:17" ht="24.95">
      <c r="A30" s="58" t="s">
        <v>127</v>
      </c>
      <c r="B30" s="59" t="s">
        <v>134</v>
      </c>
      <c r="C30" s="60" t="s">
        <v>135</v>
      </c>
      <c r="D30" s="23" t="s">
        <v>59</v>
      </c>
      <c r="E30" s="18">
        <v>6</v>
      </c>
      <c r="F30" s="35">
        <f t="shared" si="0"/>
        <v>0.35294117647058826</v>
      </c>
      <c r="H30" s="14">
        <v>2</v>
      </c>
      <c r="I30" s="14">
        <v>1</v>
      </c>
      <c r="J30" s="14">
        <v>3</v>
      </c>
      <c r="K30" s="14">
        <v>0</v>
      </c>
      <c r="L30" s="5"/>
      <c r="M30" s="35">
        <f>H30/'Analysis — Filter View'!$E$38</f>
        <v>0.4</v>
      </c>
      <c r="N30" s="35">
        <f>I30/'Analysis — Filter View'!$E$39</f>
        <v>0.33333333333333331</v>
      </c>
      <c r="O30" s="35">
        <f>J30/'Analysis — Filter View'!$E$40</f>
        <v>0.75</v>
      </c>
      <c r="P30" s="35">
        <f>K30/'Analysis — Filter View'!$E$41</f>
        <v>0</v>
      </c>
      <c r="Q30" s="10" t="s">
        <v>136</v>
      </c>
    </row>
    <row r="31" spans="1:17" ht="24.95">
      <c r="A31" s="58" t="s">
        <v>127</v>
      </c>
      <c r="B31" s="59" t="s">
        <v>137</v>
      </c>
      <c r="C31" s="60" t="s">
        <v>138</v>
      </c>
      <c r="D31" s="23" t="s">
        <v>59</v>
      </c>
      <c r="E31" s="61">
        <v>4</v>
      </c>
      <c r="F31" s="35">
        <f t="shared" si="0"/>
        <v>0.23529411764705882</v>
      </c>
      <c r="H31" s="14">
        <v>3</v>
      </c>
      <c r="I31" s="14">
        <v>0</v>
      </c>
      <c r="J31" s="14">
        <v>1</v>
      </c>
      <c r="K31" s="14">
        <v>0</v>
      </c>
      <c r="L31" s="5"/>
      <c r="M31" s="35">
        <f>H31/'Analysis — Filter View'!$E$38</f>
        <v>0.6</v>
      </c>
      <c r="N31" s="35">
        <f>I31/'Analysis — Filter View'!$E$39</f>
        <v>0</v>
      </c>
      <c r="O31" s="35">
        <f>J31/'Analysis — Filter View'!$E$40</f>
        <v>0.25</v>
      </c>
      <c r="P31" s="35">
        <f>K31/'Analysis — Filter View'!$E$41</f>
        <v>0</v>
      </c>
      <c r="Q31" s="10" t="s">
        <v>139</v>
      </c>
    </row>
    <row r="32" spans="1:17" ht="24.95">
      <c r="A32" s="58" t="s">
        <v>127</v>
      </c>
      <c r="B32" s="59" t="s">
        <v>140</v>
      </c>
      <c r="C32" s="60" t="s">
        <v>141</v>
      </c>
      <c r="D32" s="23" t="s">
        <v>59</v>
      </c>
      <c r="E32" s="18">
        <v>4</v>
      </c>
      <c r="F32" s="35">
        <f t="shared" si="0"/>
        <v>0.23529411764705882</v>
      </c>
      <c r="H32" s="14">
        <v>1</v>
      </c>
      <c r="I32" s="14">
        <v>2</v>
      </c>
      <c r="J32" s="14">
        <v>0</v>
      </c>
      <c r="K32" s="14">
        <v>1</v>
      </c>
      <c r="L32" s="5"/>
      <c r="M32" s="35">
        <f>H32/'Analysis — Filter View'!$E$38</f>
        <v>0.2</v>
      </c>
      <c r="N32" s="35">
        <f>I32/'Analysis — Filter View'!$E$39</f>
        <v>0.66666666666666663</v>
      </c>
      <c r="O32" s="35">
        <f>J32/'Analysis — Filter View'!$E$40</f>
        <v>0</v>
      </c>
      <c r="P32" s="35">
        <f>K32/'Analysis — Filter View'!$E$41</f>
        <v>1</v>
      </c>
      <c r="Q32" s="10" t="s">
        <v>142</v>
      </c>
    </row>
    <row r="33" spans="1:17" ht="24.95">
      <c r="A33" s="62" t="s">
        <v>143</v>
      </c>
      <c r="B33" s="63" t="s">
        <v>144</v>
      </c>
      <c r="C33" s="64" t="s">
        <v>145</v>
      </c>
      <c r="D33" s="36" t="s">
        <v>59</v>
      </c>
      <c r="E33" s="37">
        <v>8</v>
      </c>
      <c r="F33" s="38">
        <f t="shared" si="0"/>
        <v>0.47058823529411764</v>
      </c>
      <c r="H33" s="39">
        <v>4</v>
      </c>
      <c r="I33" s="39">
        <v>2</v>
      </c>
      <c r="J33" s="39">
        <v>1</v>
      </c>
      <c r="K33" s="39">
        <v>1</v>
      </c>
      <c r="L33" s="5"/>
      <c r="M33" s="38">
        <f>H33/'Analysis — Filter View'!$E$38</f>
        <v>0.8</v>
      </c>
      <c r="N33" s="38">
        <f>I33/'Analysis — Filter View'!$E$39</f>
        <v>0.66666666666666663</v>
      </c>
      <c r="O33" s="38">
        <f>J33/'Analysis — Filter View'!$E$40</f>
        <v>0.25</v>
      </c>
      <c r="P33" s="38">
        <f>K33/'Analysis — Filter View'!$E$41</f>
        <v>1</v>
      </c>
      <c r="Q33" s="40" t="s">
        <v>146</v>
      </c>
    </row>
    <row r="34" spans="1:17" ht="24.95">
      <c r="A34" s="62" t="s">
        <v>143</v>
      </c>
      <c r="B34" s="63" t="s">
        <v>147</v>
      </c>
      <c r="C34" s="64" t="s">
        <v>148</v>
      </c>
      <c r="D34" s="36" t="s">
        <v>59</v>
      </c>
      <c r="E34" s="37">
        <v>11</v>
      </c>
      <c r="F34" s="38">
        <f t="shared" si="0"/>
        <v>0.6470588235294118</v>
      </c>
      <c r="H34" s="39">
        <v>4</v>
      </c>
      <c r="I34" s="39">
        <v>3</v>
      </c>
      <c r="J34" s="39">
        <v>3</v>
      </c>
      <c r="K34" s="39">
        <v>1</v>
      </c>
      <c r="L34" s="5"/>
      <c r="M34" s="38">
        <f>H34/'Analysis — Filter View'!$E$38</f>
        <v>0.8</v>
      </c>
      <c r="N34" s="38">
        <f>I34/'Analysis — Filter View'!$E$39</f>
        <v>1</v>
      </c>
      <c r="O34" s="38">
        <f>J34/'Analysis — Filter View'!$E$40</f>
        <v>0.75</v>
      </c>
      <c r="P34" s="38">
        <f>K34/'Analysis — Filter View'!$E$41</f>
        <v>1</v>
      </c>
      <c r="Q34" s="40" t="s">
        <v>149</v>
      </c>
    </row>
    <row r="35" spans="1:17" ht="24.95">
      <c r="A35" s="62" t="s">
        <v>143</v>
      </c>
      <c r="B35" s="63" t="s">
        <v>150</v>
      </c>
      <c r="C35" s="64" t="s">
        <v>151</v>
      </c>
      <c r="D35" s="36" t="s">
        <v>59</v>
      </c>
      <c r="E35" s="37">
        <v>10</v>
      </c>
      <c r="F35" s="38">
        <f t="shared" si="0"/>
        <v>0.58823529411764708</v>
      </c>
      <c r="H35" s="39">
        <v>4</v>
      </c>
      <c r="I35" s="39">
        <v>2</v>
      </c>
      <c r="J35" s="39">
        <v>4</v>
      </c>
      <c r="K35" s="39">
        <v>0</v>
      </c>
      <c r="L35" s="5"/>
      <c r="M35" s="38">
        <f>H35/'Analysis — Filter View'!$E$38</f>
        <v>0.8</v>
      </c>
      <c r="N35" s="38">
        <f>I35/'Analysis — Filter View'!$E$39</f>
        <v>0.66666666666666663</v>
      </c>
      <c r="O35" s="38">
        <f>J35/'Analysis — Filter View'!$E$40</f>
        <v>1</v>
      </c>
      <c r="P35" s="38">
        <f>K35/'Analysis — Filter View'!$E$41</f>
        <v>0</v>
      </c>
      <c r="Q35" s="40" t="s">
        <v>152</v>
      </c>
    </row>
    <row r="36" spans="1:17" ht="24.95">
      <c r="A36" s="62" t="s">
        <v>143</v>
      </c>
      <c r="B36" s="63" t="s">
        <v>153</v>
      </c>
      <c r="C36" s="64" t="s">
        <v>154</v>
      </c>
      <c r="D36" s="36" t="s">
        <v>59</v>
      </c>
      <c r="E36" s="37">
        <v>6</v>
      </c>
      <c r="F36" s="38">
        <f t="shared" si="0"/>
        <v>0.35294117647058826</v>
      </c>
      <c r="H36" s="39">
        <v>3</v>
      </c>
      <c r="I36" s="39">
        <v>0</v>
      </c>
      <c r="J36" s="39">
        <v>2</v>
      </c>
      <c r="K36" s="39">
        <v>1</v>
      </c>
      <c r="L36" s="5"/>
      <c r="M36" s="38">
        <f>H36/'Analysis — Filter View'!$E$38</f>
        <v>0.6</v>
      </c>
      <c r="N36" s="38">
        <f>I36/'Analysis — Filter View'!$E$39</f>
        <v>0</v>
      </c>
      <c r="O36" s="38">
        <f>J36/'Analysis — Filter View'!$E$40</f>
        <v>0.5</v>
      </c>
      <c r="P36" s="38">
        <f>K36/'Analysis — Filter View'!$E$41</f>
        <v>1</v>
      </c>
      <c r="Q36" s="40" t="s">
        <v>155</v>
      </c>
    </row>
    <row r="37" spans="1:17" ht="24.95">
      <c r="A37" s="62" t="s">
        <v>143</v>
      </c>
      <c r="B37" s="63" t="s">
        <v>156</v>
      </c>
      <c r="C37" s="64" t="s">
        <v>157</v>
      </c>
      <c r="D37" s="36" t="s">
        <v>59</v>
      </c>
      <c r="E37" s="65">
        <v>3</v>
      </c>
      <c r="F37" s="38">
        <f t="shared" si="0"/>
        <v>0.17647058823529413</v>
      </c>
      <c r="H37" s="39">
        <v>2</v>
      </c>
      <c r="I37" s="39">
        <v>0</v>
      </c>
      <c r="J37" s="39">
        <v>1</v>
      </c>
      <c r="K37" s="39">
        <v>0</v>
      </c>
      <c r="L37" s="5"/>
      <c r="M37" s="38">
        <f>H37/'Analysis — Filter View'!$E$38</f>
        <v>0.4</v>
      </c>
      <c r="N37" s="38">
        <f>I37/'Analysis — Filter View'!$E$39</f>
        <v>0</v>
      </c>
      <c r="O37" s="38">
        <f>J37/'Analysis — Filter View'!$E$40</f>
        <v>0.25</v>
      </c>
      <c r="P37" s="38">
        <f>K37/'Analysis — Filter View'!$E$41</f>
        <v>0</v>
      </c>
      <c r="Q37" s="40" t="s">
        <v>158</v>
      </c>
    </row>
    <row r="38" spans="1:17" ht="23.1">
      <c r="A38" s="62" t="s">
        <v>143</v>
      </c>
      <c r="B38" s="66" t="s">
        <v>159</v>
      </c>
      <c r="C38" s="41" t="s">
        <v>160</v>
      </c>
      <c r="D38" s="36" t="s">
        <v>59</v>
      </c>
      <c r="E38" s="37">
        <v>0</v>
      </c>
      <c r="F38" s="38">
        <f t="shared" si="0"/>
        <v>0</v>
      </c>
      <c r="H38" s="39">
        <v>0</v>
      </c>
      <c r="I38" s="39">
        <v>0</v>
      </c>
      <c r="J38" s="39">
        <v>0</v>
      </c>
      <c r="K38" s="39">
        <v>0</v>
      </c>
      <c r="L38" s="5"/>
      <c r="M38" s="38">
        <f>H38/'Analysis — Filter View'!$E$38</f>
        <v>0</v>
      </c>
      <c r="N38" s="38">
        <f>I38/'Analysis — Filter View'!$E$39</f>
        <v>0</v>
      </c>
      <c r="O38" s="38">
        <f>J38/'Analysis — Filter View'!$E$40</f>
        <v>0</v>
      </c>
      <c r="P38" s="38">
        <f>K38/'Analysis — Filter View'!$E$41</f>
        <v>0</v>
      </c>
      <c r="Q38" s="40" t="s">
        <v>161</v>
      </c>
    </row>
    <row r="39" spans="1:17">
      <c r="L39" s="5"/>
    </row>
    <row r="46" spans="1:17">
      <c r="L46" s="5"/>
    </row>
    <row r="47" spans="1:17">
      <c r="L47" s="5"/>
    </row>
    <row r="48" spans="1:17">
      <c r="L48" s="5"/>
    </row>
  </sheetData>
  <mergeCells count="1">
    <mergeCell ref="A1:K1"/>
  </mergeCells>
  <conditionalFormatting sqref="F3:F21 F22:G38">
    <cfRule type="cellIs" dxfId="12" priority="1" operator="greaterThan">
      <formula>0.6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P41"/>
  <sheetViews>
    <sheetView workbookViewId="0">
      <pane xSplit="7" ySplit="3" topLeftCell="AE31" activePane="bottomRight" state="frozen"/>
      <selection pane="bottomRight" activeCell="B57" sqref="B57"/>
      <selection pane="bottomLeft" activeCell="B57" sqref="B57"/>
      <selection pane="topRight" activeCell="B57" sqref="B57"/>
    </sheetView>
  </sheetViews>
  <sheetFormatPr defaultRowHeight="14.45"/>
  <cols>
    <col min="1" max="1" width="2" customWidth="1"/>
    <col min="2" max="2" width="20" customWidth="1"/>
    <col min="3" max="4" width="18" customWidth="1"/>
    <col min="5" max="5" width="20" customWidth="1"/>
    <col min="6" max="7" width="14" customWidth="1"/>
    <col min="8" max="42" width="9" customWidth="1"/>
  </cols>
  <sheetData>
    <row r="1" spans="2:42" ht="30" customHeight="1">
      <c r="B1" s="67" t="s">
        <v>162</v>
      </c>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2:42" ht="18" customHeight="1">
      <c r="B2" s="69"/>
      <c r="C2" s="69"/>
      <c r="D2" s="69"/>
      <c r="E2" s="69"/>
      <c r="F2" s="69"/>
      <c r="G2" s="69"/>
      <c r="H2" s="70" t="s">
        <v>56</v>
      </c>
      <c r="I2" s="70"/>
      <c r="J2" s="70"/>
      <c r="K2" s="70"/>
      <c r="L2" s="71" t="s">
        <v>70</v>
      </c>
      <c r="M2" s="71"/>
      <c r="N2" s="71"/>
      <c r="O2" s="71"/>
      <c r="P2" s="71"/>
      <c r="Q2" s="71"/>
      <c r="R2" s="71"/>
      <c r="S2" s="71"/>
      <c r="T2" s="71"/>
      <c r="U2" s="72" t="s">
        <v>92</v>
      </c>
      <c r="V2" s="72"/>
      <c r="W2" s="72"/>
      <c r="X2" s="72"/>
      <c r="Y2" s="72"/>
      <c r="Z2" s="72"/>
      <c r="AA2" s="72"/>
      <c r="AB2" s="70" t="s">
        <v>114</v>
      </c>
      <c r="AC2" s="70"/>
      <c r="AD2" s="70"/>
      <c r="AE2" s="70"/>
      <c r="AF2" s="71" t="s">
        <v>127</v>
      </c>
      <c r="AG2" s="71"/>
      <c r="AH2" s="71"/>
      <c r="AI2" s="71"/>
      <c r="AJ2" s="71"/>
      <c r="AK2" s="70" t="s">
        <v>143</v>
      </c>
      <c r="AL2" s="70"/>
      <c r="AM2" s="70"/>
      <c r="AN2" s="70"/>
      <c r="AO2" s="70"/>
      <c r="AP2" s="70"/>
    </row>
    <row r="3" spans="2:42" ht="54.95" customHeight="1">
      <c r="B3" s="73" t="s">
        <v>17</v>
      </c>
      <c r="C3" s="74" t="s">
        <v>163</v>
      </c>
      <c r="D3" s="75" t="s">
        <v>1</v>
      </c>
      <c r="E3" s="76" t="s">
        <v>164</v>
      </c>
      <c r="F3" s="77" t="s">
        <v>165</v>
      </c>
      <c r="G3" s="78" t="s">
        <v>166</v>
      </c>
      <c r="H3" s="79" t="s">
        <v>58</v>
      </c>
      <c r="I3" s="79" t="s">
        <v>62</v>
      </c>
      <c r="J3" s="79" t="s">
        <v>65</v>
      </c>
      <c r="K3" s="79" t="s">
        <v>68</v>
      </c>
      <c r="L3" s="80" t="s">
        <v>72</v>
      </c>
      <c r="M3" s="80" t="s">
        <v>75</v>
      </c>
      <c r="N3" s="80" t="s">
        <v>77</v>
      </c>
      <c r="O3" s="80" t="s">
        <v>79</v>
      </c>
      <c r="P3" s="80" t="s">
        <v>81</v>
      </c>
      <c r="Q3" s="80" t="s">
        <v>83</v>
      </c>
      <c r="R3" s="80" t="s">
        <v>85</v>
      </c>
      <c r="S3" s="80" t="s">
        <v>87</v>
      </c>
      <c r="T3" s="80" t="s">
        <v>90</v>
      </c>
      <c r="U3" s="81" t="s">
        <v>94</v>
      </c>
      <c r="V3" s="81" t="s">
        <v>97</v>
      </c>
      <c r="W3" s="81" t="s">
        <v>100</v>
      </c>
      <c r="X3" s="81" t="s">
        <v>103</v>
      </c>
      <c r="Y3" s="81" t="s">
        <v>106</v>
      </c>
      <c r="Z3" s="81" t="s">
        <v>109</v>
      </c>
      <c r="AA3" s="81" t="s">
        <v>112</v>
      </c>
      <c r="AB3" s="82" t="s">
        <v>116</v>
      </c>
      <c r="AC3" s="82" t="s">
        <v>119</v>
      </c>
      <c r="AD3" s="82" t="s">
        <v>122</v>
      </c>
      <c r="AE3" s="82" t="s">
        <v>125</v>
      </c>
      <c r="AF3" s="80" t="s">
        <v>129</v>
      </c>
      <c r="AG3" s="80" t="s">
        <v>132</v>
      </c>
      <c r="AH3" s="80" t="s">
        <v>135</v>
      </c>
      <c r="AI3" s="80" t="s">
        <v>138</v>
      </c>
      <c r="AJ3" s="80" t="s">
        <v>141</v>
      </c>
      <c r="AK3" s="79" t="s">
        <v>145</v>
      </c>
      <c r="AL3" s="79" t="s">
        <v>148</v>
      </c>
      <c r="AM3" s="79" t="s">
        <v>151</v>
      </c>
      <c r="AN3" s="79" t="s">
        <v>154</v>
      </c>
      <c r="AO3" s="79" t="s">
        <v>157</v>
      </c>
      <c r="AP3" s="79" t="s">
        <v>160</v>
      </c>
    </row>
    <row r="4" spans="2:42" ht="20.100000000000001" customHeight="1">
      <c r="B4" s="83" t="s">
        <v>167</v>
      </c>
      <c r="C4" s="84" t="str">
        <f>IFERROR(VLOOKUP("Interviewee Position",'Company 1'!$B:$C,2,0),"")</f>
        <v>Chief of Staff</v>
      </c>
      <c r="D4" s="84" t="str">
        <f>IFERROR(VLOOKUP("Company Industry",'Company 1'!$B:$C,2,0),"")</f>
        <v>Specialty Retail</v>
      </c>
      <c r="E4" s="84" t="str">
        <f>IFERROR(VLOOKUP("Company Sub-Industry",'Company 1'!$B:$C,2,0),"")</f>
        <v>Specialty Retail</v>
      </c>
      <c r="F4" s="3">
        <f>IFERROR(VLOOKUP("Company Size (Turnover)",'Company 1'!$B:$C,2,0),"")</f>
        <v>160000000</v>
      </c>
      <c r="G4" s="84" t="str">
        <f>IFERROR(VLOOKUP("Country",'Company 1'!$B:$C,2,0),"")</f>
        <v>Belgium</v>
      </c>
      <c r="H4" s="85">
        <f>IFERROR(VLOOKUP("B1_INTEREST",'Company 1'!$B:$E,4,0),"")</f>
        <v>7</v>
      </c>
      <c r="I4" s="85">
        <f>IFERROR(VLOOKUP("B2_SHARING",'Company 1'!$B:$E,4,0),"")</f>
        <v>1</v>
      </c>
      <c r="J4" s="85">
        <f>IFERROR(VLOOKUP("B3_MONETIZE",'Company 1'!$B:$E,4,0),"")</f>
        <v>1</v>
      </c>
      <c r="K4" s="85">
        <f>IFERROR(VLOOKUP("B4_STRATEGIC",'Company 1'!$B:$E,4,0),"")</f>
        <v>0</v>
      </c>
      <c r="L4" s="85">
        <f>IFERROR(VLOOKUP("M1_AUTOMATED",'Company 1'!$B:$E,4,0),"")</f>
        <v>3</v>
      </c>
      <c r="M4" s="85">
        <f>IFERROR(VLOOKUP("M2_REALTIME",'Company 1'!$B:$E,4,0),"")</f>
        <v>2</v>
      </c>
      <c r="N4" s="85">
        <f>IFERROR(VLOOKUP("M3_STRATEGIC",'Company 1'!$B:$E,4,0),"")</f>
        <v>2</v>
      </c>
      <c r="O4" s="85">
        <f>IFERROR(VLOOKUP("M4_BREADTH",'Company 1'!$B:$E,4,0),"")</f>
        <v>2</v>
      </c>
      <c r="P4" s="85">
        <f>IFERROR(VLOOKUP("M5_DATATYPES",'Company 1'!$B:$E,4,0),"")</f>
        <v>2</v>
      </c>
      <c r="Q4" s="85">
        <f>IFERROR(VLOOKUP("M6_TRUST",'Company 1'!$B:$E,4,0),"")</f>
        <v>4</v>
      </c>
      <c r="R4" s="85">
        <f>IFERROR(VLOOKUP("M7_BARRIERS",'Company 1'!$B:$E,4,0),"")</f>
        <v>3</v>
      </c>
      <c r="S4" s="85">
        <f>IFERROR(VLOOKUP("M8_IMPACT",'Company 1'!$B:$E,4,0),"")</f>
        <v>0</v>
      </c>
      <c r="T4" s="85">
        <f>IFERROR(VLOOKUP("M9_WILLINGNESS",'Company 1'!$B:$E,4,0),"")</f>
        <v>6</v>
      </c>
      <c r="U4" s="85">
        <f>IFERROR(VLOOKUP("SV1_PRICING",'Company 1'!$B:$E,4,0),"")</f>
        <v>0</v>
      </c>
      <c r="V4" s="85">
        <f>IFERROR(VLOOKUP("SV2_PROMOTIONS",'Company 1'!$B:$E,4,0),"")</f>
        <v>0</v>
      </c>
      <c r="W4" s="85">
        <f>IFERROR(VLOOKUP("SV3_SUPPLYCHAIN",'Company 1'!$B:$E,4,0),"")</f>
        <v>0</v>
      </c>
      <c r="X4" s="85">
        <f>IFERROR(VLOOKUP("SV4_CATEGORY",'Company 1'!$B:$E,4,0),"")</f>
        <v>1</v>
      </c>
      <c r="Y4" s="85">
        <f>IFERROR(VLOOKUP("SV5_DEMAND",'Company 1'!$B:$E,4,0),"")</f>
        <v>0</v>
      </c>
      <c r="Z4" s="85">
        <f>IFERROR(VLOOKUP("SV6_ACCOUNT",'Company 1'!$B:$E,4,0),"")</f>
        <v>0</v>
      </c>
      <c r="AA4" s="85">
        <f>IFERROR(VLOOKUP("SV7_OPS",'Company 1'!$B:$E,4,0),"")</f>
        <v>0</v>
      </c>
      <c r="AB4" s="85">
        <f>IFERROR(VLOOKUP("SC1_DATASENS",'Company 1'!$B:$E,4,0),"")</f>
        <v>1</v>
      </c>
      <c r="AC4" s="85">
        <f>IFERROR(VLOOKUP("SC2_COMPLIANCE",'Company 1'!$B:$E,4,0),"")</f>
        <v>0</v>
      </c>
      <c r="AD4" s="85">
        <f>IFERROR(VLOOKUP("SC3_TRUST",'Company 1'!$B:$E,4,0),"")</f>
        <v>0</v>
      </c>
      <c r="AE4" s="85">
        <f>IFERROR(VLOOKUP("SC4_DATAPROC",'Company 1'!$B:$E,4,0),"")</f>
        <v>0</v>
      </c>
      <c r="AF4" s="85">
        <f>IFERROR(VLOOKUP("SF1_REALTIME",'Company 1'!$B:$E,4,0),"")</f>
        <v>0</v>
      </c>
      <c r="AG4" s="85">
        <f>IFERROR(VLOOKUP("SF2_ACCESS",'Company 1'!$B:$E,4,0),"")</f>
        <v>0</v>
      </c>
      <c r="AH4" s="85">
        <f>IFERROR(VLOOKUP("SF3_UX",'Company 1'!$B:$E,4,0),"")</f>
        <v>0</v>
      </c>
      <c r="AI4" s="85">
        <f>IFERROR(VLOOKUP("SF4_DECISION",'Company 1'!$B:$E,4,0),"")</f>
        <v>0</v>
      </c>
      <c r="AJ4" s="85">
        <f>IFERROR(VLOOKUP("SF5_MASKING",'Company 1'!$B:$E,4,0),"")</f>
        <v>1</v>
      </c>
      <c r="AK4" s="85">
        <f>IFERROR(VLOOKUP("SD1_TRENDS",'Company 1'!$B:$E,4,0),"")</f>
        <v>1</v>
      </c>
      <c r="AL4" s="85">
        <f>IFERROR(VLOOKUP("SD2_MARKET",'Company 1'!$B:$E,4,0),"")</f>
        <v>1</v>
      </c>
      <c r="AM4" s="85">
        <f>IFERROR(VLOOKUP("SD3_CATEGORY",'Company 1'!$B:$E,4,0),"")</f>
        <v>1</v>
      </c>
      <c r="AN4" s="85">
        <f>IFERROR(VLOOKUP("SD4_SHIPMENT",'Company 1'!$B:$E,4,0),"")</f>
        <v>0</v>
      </c>
      <c r="AO4" s="85">
        <f>IFERROR(VLOOKUP("SD5_LEAD",'Company 1'!$B:$E,4,0),"")</f>
        <v>0</v>
      </c>
      <c r="AP4" s="85">
        <f>IFERROR(VLOOKUP("SD6_CONJOINT",'Company 1'!$B:$E,4,0),"")</f>
        <v>0</v>
      </c>
    </row>
    <row r="5" spans="2:42" ht="20.100000000000001" customHeight="1">
      <c r="B5" s="83" t="s">
        <v>168</v>
      </c>
      <c r="C5" s="84" t="str">
        <f>IFERROR(VLOOKUP("Interviewee Position",'Company 2'!$B:$C,2,0),"")</f>
        <v>President and Managing Director Belgian Shell</v>
      </c>
      <c r="D5" s="84" t="str">
        <f>IFERROR(VLOOKUP("Company Industry",'Company 2'!$B:$C,2,0),"")</f>
        <v>Oil &amp; Gas</v>
      </c>
      <c r="E5" s="84" t="str">
        <f>IFERROR(VLOOKUP("Company Sub-Industry",'Company 2'!$B:$C,2,0),"")</f>
        <v>Specialty Retail</v>
      </c>
      <c r="F5" s="3">
        <f>IFERROR(VLOOKUP("Company Size (Turnover)",'Company 2'!$B:$C,2,0),"")</f>
        <v>2000000000</v>
      </c>
      <c r="G5" s="84" t="str">
        <f>IFERROR(VLOOKUP("Country",'Company 2'!$B:$C,2,0),"")</f>
        <v>UK</v>
      </c>
      <c r="H5" s="85">
        <f>IFERROR(VLOOKUP("B1_INTEREST",'Company 2'!$B:$E,4,0),"")</f>
        <v>2</v>
      </c>
      <c r="I5" s="85">
        <f>IFERROR(VLOOKUP("B2_SHARING",'Company 2'!$B:$E,4,0),"")</f>
        <v>1</v>
      </c>
      <c r="J5" s="85">
        <f>IFERROR(VLOOKUP("B3_MONETIZE",'Company 2'!$B:$E,4,0),"")</f>
        <v>0</v>
      </c>
      <c r="K5" s="85">
        <f>IFERROR(VLOOKUP("B4_STRATEGIC",'Company 2'!$B:$E,4,0),"")</f>
        <v>1</v>
      </c>
      <c r="L5" s="85">
        <f>IFERROR(VLOOKUP("M1_AUTOMATED",'Company 2'!$B:$E,4,0),"")</f>
        <v>0</v>
      </c>
      <c r="M5" s="85">
        <f>IFERROR(VLOOKUP("M2_REALTIME",'Company 2'!$B:$E,4,0),"")</f>
        <v>0</v>
      </c>
      <c r="N5" s="85">
        <f>IFERROR(VLOOKUP("M3_STRATEGIC",'Company 2'!$B:$E,4,0),"")</f>
        <v>1</v>
      </c>
      <c r="O5" s="85">
        <f>IFERROR(VLOOKUP("M4_BREADTH",'Company 2'!$B:$E,4,0),"")</f>
        <v>1</v>
      </c>
      <c r="P5" s="85">
        <f>IFERROR(VLOOKUP("M5_DATATYPES",'Company 2'!$B:$E,4,0),"")</f>
        <v>1</v>
      </c>
      <c r="Q5" s="85">
        <f>IFERROR(VLOOKUP("M6_TRUST",'Company 2'!$B:$E,4,0),"")</f>
        <v>0</v>
      </c>
      <c r="R5" s="85">
        <f>IFERROR(VLOOKUP("M7_BARRIERS",'Company 2'!$B:$E,4,0),"")</f>
        <v>5</v>
      </c>
      <c r="S5" s="85">
        <f>IFERROR(VLOOKUP("M8_IMPACT",'Company 2'!$B:$E,4,0),"")</f>
        <v>0</v>
      </c>
      <c r="T5" s="85">
        <f>IFERROR(VLOOKUP("M9_WILLINGNESS",'Company 2'!$B:$E,4,0),"")</f>
        <v>2</v>
      </c>
      <c r="U5" s="85">
        <f>IFERROR(VLOOKUP("SV1_PRICING",'Company 2'!$B:$E,4,0),"")</f>
        <v>0</v>
      </c>
      <c r="V5" s="85">
        <f>IFERROR(VLOOKUP("SV2_PROMOTIONS",'Company 2'!$B:$E,4,0),"")</f>
        <v>0</v>
      </c>
      <c r="W5" s="85">
        <f>IFERROR(VLOOKUP("SV3_SUPPLYCHAIN",'Company 2'!$B:$E,4,0),"")</f>
        <v>1</v>
      </c>
      <c r="X5" s="85">
        <f>IFERROR(VLOOKUP("SV4_CATEGORY",'Company 2'!$B:$E,4,0),"")</f>
        <v>0</v>
      </c>
      <c r="Y5" s="85">
        <f>IFERROR(VLOOKUP("SV5_DEMAND",'Company 2'!$B:$E,4,0),"")</f>
        <v>0</v>
      </c>
      <c r="Z5" s="85">
        <f>IFERROR(VLOOKUP("SV6_ACCOUNT",'Company 2'!$B:$E,4,0),"")</f>
        <v>0</v>
      </c>
      <c r="AA5" s="85">
        <f>IFERROR(VLOOKUP("SV7_OPS",'Company 2'!$B:$E,4,0),"")</f>
        <v>0</v>
      </c>
      <c r="AB5" s="85">
        <f>IFERROR(VLOOKUP("SC1_DATASENS",'Company 2'!$B:$E,4,0),"")</f>
        <v>1</v>
      </c>
      <c r="AC5" s="85">
        <f>IFERROR(VLOOKUP("SC2_COMPLIANCE",'Company 2'!$B:$E,4,0),"")</f>
        <v>1</v>
      </c>
      <c r="AD5" s="85">
        <f>IFERROR(VLOOKUP("SC3_TRUST",'Company 2'!$B:$E,4,0),"")</f>
        <v>0</v>
      </c>
      <c r="AE5" s="85">
        <f>IFERROR(VLOOKUP("SC4_DATAPROC",'Company 2'!$B:$E,4,0),"")</f>
        <v>1</v>
      </c>
      <c r="AF5" s="85">
        <f>IFERROR(VLOOKUP("SF1_REALTIME",'Company 2'!$B:$E,4,0),"")</f>
        <v>0</v>
      </c>
      <c r="AG5" s="85">
        <f>IFERROR(VLOOKUP("SF2_ACCESS",'Company 2'!$B:$E,4,0),"")</f>
        <v>0</v>
      </c>
      <c r="AH5" s="85">
        <f>IFERROR(VLOOKUP("SF3_UX",'Company 2'!$B:$E,4,0),"")</f>
        <v>0</v>
      </c>
      <c r="AI5" s="85">
        <f>IFERROR(VLOOKUP("SF4_DECISION",'Company 2'!$B:$E,4,0),"")</f>
        <v>0</v>
      </c>
      <c r="AJ5" s="85">
        <f>IFERROR(VLOOKUP("SF5_MASKING",'Company 2'!$B:$E,4,0),"")</f>
        <v>1</v>
      </c>
      <c r="AK5" s="85">
        <f>IFERROR(VLOOKUP("SD1_TRENDS",'Company 2'!$B:$E,4,0),"")</f>
        <v>0</v>
      </c>
      <c r="AL5" s="85">
        <f>IFERROR(VLOOKUP("SD2_MARKET",'Company 2'!$B:$E,4,0),"")</f>
        <v>1</v>
      </c>
      <c r="AM5" s="85">
        <f>IFERROR(VLOOKUP("SD3_CATEGORY",'Company 2'!$B:$E,4,0),"")</f>
        <v>0</v>
      </c>
      <c r="AN5" s="85">
        <f>IFERROR(VLOOKUP("SD4_SHIPMENT",'Company 2'!$B:$E,4,0),"")</f>
        <v>0</v>
      </c>
      <c r="AO5" s="85">
        <f>IFERROR(VLOOKUP("SD5_LEAD",'Company 2'!$B:$E,4,0),"")</f>
        <v>0</v>
      </c>
      <c r="AP5" s="85">
        <f>IFERROR(VLOOKUP("SD6_CONJOINT",'Company 2'!$B:$E,4,0),"")</f>
        <v>0</v>
      </c>
    </row>
    <row r="6" spans="2:42" ht="20.100000000000001" customHeight="1">
      <c r="B6" s="83" t="s">
        <v>169</v>
      </c>
      <c r="C6" s="84" t="str">
        <f>IFERROR(VLOOKUP("Interviewee Position",'Company 3'!$B:$C,2,0),"")</f>
        <v>Business Development / Media Services Manager</v>
      </c>
      <c r="D6" s="84" t="str">
        <f>IFERROR(VLOOKUP("Company Industry",'Company 3'!$B:$C,2,0),"")</f>
        <v>B2B Food Service Distribution</v>
      </c>
      <c r="E6" s="84" t="str">
        <f>IFERROR(VLOOKUP("Company Sub-Industry",'Company 3'!$B:$C,2,0),"")</f>
        <v>Wholesaler</v>
      </c>
      <c r="F6" s="3">
        <f>IFERROR(VLOOKUP("Company Size (Turnover)",'Company 3'!$B:$C,2,0),"")</f>
        <v>332000000</v>
      </c>
      <c r="G6" s="84" t="str">
        <f>IFERROR(VLOOKUP("Country",'Company 3'!$B:$C,2,0),"")</f>
        <v>Belgium</v>
      </c>
      <c r="H6" s="85">
        <f>IFERROR(VLOOKUP("B1_INTEREST",'Company 3'!$B:$E,4,0),"")</f>
        <v>7</v>
      </c>
      <c r="I6" s="85">
        <f>IFERROR(VLOOKUP("B2_SHARING",'Company 3'!$B:$E,4,0),"")</f>
        <v>1</v>
      </c>
      <c r="J6" s="85">
        <f>IFERROR(VLOOKUP("B3_MONETIZE",'Company 3'!$B:$E,4,0),"")</f>
        <v>1</v>
      </c>
      <c r="K6" s="85">
        <f>IFERROR(VLOOKUP("B4_STRATEGIC",'Company 3'!$B:$E,4,0),"")</f>
        <v>1</v>
      </c>
      <c r="L6" s="85">
        <f>IFERROR(VLOOKUP("M1_AUTOMATED",'Company 3'!$B:$E,4,0),"")</f>
        <v>4</v>
      </c>
      <c r="M6" s="85">
        <f>IFERROR(VLOOKUP("M2_REALTIME",'Company 3'!$B:$E,4,0),"")</f>
        <v>4</v>
      </c>
      <c r="N6" s="85">
        <f>IFERROR(VLOOKUP("M3_STRATEGIC",'Company 3'!$B:$E,4,0),"")</f>
        <v>4</v>
      </c>
      <c r="O6" s="85">
        <f>IFERROR(VLOOKUP("M4_BREADTH",'Company 3'!$B:$E,4,0),"")</f>
        <v>5</v>
      </c>
      <c r="P6" s="85">
        <f>IFERROR(VLOOKUP("M5_DATATYPES",'Company 3'!$B:$E,4,0),"")</f>
        <v>4</v>
      </c>
      <c r="Q6" s="85">
        <f>IFERROR(VLOOKUP("M6_TRUST",'Company 3'!$B:$E,4,0),"")</f>
        <v>3</v>
      </c>
      <c r="R6" s="85">
        <f>IFERROR(VLOOKUP("M7_BARRIERS",'Company 3'!$B:$E,4,0),"")</f>
        <v>4</v>
      </c>
      <c r="S6" s="85">
        <f>IFERROR(VLOOKUP("M8_IMPACT",'Company 3'!$B:$E,4,0),"")</f>
        <v>3</v>
      </c>
      <c r="T6" s="85">
        <f>IFERROR(VLOOKUP("M9_WILLINGNESS",'Company 3'!$B:$E,4,0),"")</f>
        <v>8</v>
      </c>
      <c r="U6" s="85">
        <f>IFERROR(VLOOKUP("SV1_PRICING",'Company 3'!$B:$E,4,0),"")</f>
        <v>1</v>
      </c>
      <c r="V6" s="85">
        <f>IFERROR(VLOOKUP("SV2_PROMOTIONS",'Company 3'!$B:$E,4,0),"")</f>
        <v>1</v>
      </c>
      <c r="W6" s="85">
        <f>IFERROR(VLOOKUP("SV3_SUPPLYCHAIN",'Company 3'!$B:$E,4,0),"")</f>
        <v>0</v>
      </c>
      <c r="X6" s="85">
        <f>IFERROR(VLOOKUP("SV4_CATEGORY",'Company 3'!$B:$E,4,0),"")</f>
        <v>1</v>
      </c>
      <c r="Y6" s="85">
        <f>IFERROR(VLOOKUP("SV5_DEMAND",'Company 3'!$B:$E,4,0),"")</f>
        <v>0</v>
      </c>
      <c r="Z6" s="85">
        <f>IFERROR(VLOOKUP("SV6_ACCOUNT",'Company 3'!$B:$E,4,0),"")</f>
        <v>0</v>
      </c>
      <c r="AA6" s="85">
        <f>IFERROR(VLOOKUP("SV7_OPS",'Company 3'!$B:$E,4,0),"")</f>
        <v>0</v>
      </c>
      <c r="AB6" s="85">
        <f>IFERROR(VLOOKUP("SC1_DATASENS",'Company 3'!$B:$E,4,0),"")</f>
        <v>1</v>
      </c>
      <c r="AC6" s="85">
        <f>IFERROR(VLOOKUP("SC2_COMPLIANCE",'Company 3'!$B:$E,4,0),"")</f>
        <v>1</v>
      </c>
      <c r="AD6" s="85">
        <f>IFERROR(VLOOKUP("SC3_TRUST",'Company 3'!$B:$E,4,0),"")</f>
        <v>1</v>
      </c>
      <c r="AE6" s="85">
        <f>IFERROR(VLOOKUP("SC4_DATAPROC",'Company 3'!$B:$E,4,0),"")</f>
        <v>1</v>
      </c>
      <c r="AF6" s="85">
        <f>IFERROR(VLOOKUP("SF1_REALTIME",'Company 3'!$B:$E,4,0),"")</f>
        <v>1</v>
      </c>
      <c r="AG6" s="85">
        <f>IFERROR(VLOOKUP("SF2_ACCESS",'Company 3'!$B:$E,4,0),"")</f>
        <v>1</v>
      </c>
      <c r="AH6" s="85">
        <f>IFERROR(VLOOKUP("SF3_UX",'Company 3'!$B:$E,4,0),"")</f>
        <v>0</v>
      </c>
      <c r="AI6" s="85">
        <f>IFERROR(VLOOKUP("SF4_DECISION",'Company 3'!$B:$E,4,0),"")</f>
        <v>1</v>
      </c>
      <c r="AJ6" s="85">
        <f>IFERROR(VLOOKUP("SF5_MASKING",'Company 3'!$B:$E,4,0),"")</f>
        <v>0</v>
      </c>
      <c r="AK6" s="85">
        <f>IFERROR(VLOOKUP("SD1_TRENDS",'Company 3'!$B:$E,4,0),"")</f>
        <v>0</v>
      </c>
      <c r="AL6" s="85">
        <f>IFERROR(VLOOKUP("SD2_MARKET",'Company 3'!$B:$E,4,0),"")</f>
        <v>0</v>
      </c>
      <c r="AM6" s="85">
        <f>IFERROR(VLOOKUP("SD3_CATEGORY",'Company 3'!$B:$E,4,0),"")</f>
        <v>1</v>
      </c>
      <c r="AN6" s="85">
        <f>IFERROR(VLOOKUP("SD4_SHIPMENT",'Company 3'!$B:$E,4,0),"")</f>
        <v>0</v>
      </c>
      <c r="AO6" s="85">
        <f>IFERROR(VLOOKUP("SD5_LEAD",'Company 3'!$B:$E,4,0),"")</f>
        <v>0</v>
      </c>
      <c r="AP6" s="85">
        <f>IFERROR(VLOOKUP("SD6_CONJOINT",'Company 3'!$B:$E,4,0),"")</f>
        <v>0</v>
      </c>
    </row>
    <row r="7" spans="2:42" ht="20.100000000000001" customHeight="1">
      <c r="B7" s="83" t="s">
        <v>170</v>
      </c>
      <c r="C7" s="84" t="str">
        <f>IFERROR(VLOOKUP("Interviewee Position",'Company 4'!$B:$C,2,0),"")</f>
        <v>Data/Analytics role (formerly Department Head of Logistics)</v>
      </c>
      <c r="D7" s="84" t="str">
        <f>IFERROR(VLOOKUP("Company Industry",'Company 4'!$B:$C,2,0),"")</f>
        <v>Food Service</v>
      </c>
      <c r="E7" s="84" t="str">
        <f>IFERROR(VLOOKUP("Company Sub-Industry",'Company 4'!$B:$C,2,0),"")</f>
        <v>Wholesaler</v>
      </c>
      <c r="F7" s="3">
        <f>IFERROR(VLOOKUP("Company Size (Turnover)",'Company 4'!$B:$C,2,0),"")</f>
        <v>332000000</v>
      </c>
      <c r="G7" s="84" t="str">
        <f>IFERROR(VLOOKUP("Country",'Company 4'!$B:$C,2,0),"")</f>
        <v>Belgium</v>
      </c>
      <c r="H7" s="85">
        <f>IFERROR(VLOOKUP("B1_INTEREST",'Company 4'!$B:$E,4,0),"")</f>
        <v>7.5</v>
      </c>
      <c r="I7" s="85">
        <f>IFERROR(VLOOKUP("B2_SHARING",'Company 4'!$B:$E,4,0),"")</f>
        <v>1</v>
      </c>
      <c r="J7" s="85">
        <f>IFERROR(VLOOKUP("B3_MONETIZE",'Company 4'!$B:$E,4,0),"")</f>
        <v>0</v>
      </c>
      <c r="K7" s="85">
        <f>IFERROR(VLOOKUP("B4_STRATEGIC",'Company 4'!$B:$E,4,0),"")</f>
        <v>1</v>
      </c>
      <c r="L7" s="85">
        <f>IFERROR(VLOOKUP("M1_AUTOMATED",'Company 4'!$B:$E,4,0),"")</f>
        <v>3</v>
      </c>
      <c r="M7" s="85">
        <f>IFERROR(VLOOKUP("M2_REALTIME",'Company 4'!$B:$E,4,0),"")</f>
        <v>2</v>
      </c>
      <c r="N7" s="85">
        <f>IFERROR(VLOOKUP("M3_STRATEGIC",'Company 4'!$B:$E,4,0),"")</f>
        <v>4</v>
      </c>
      <c r="O7" s="85">
        <f>IFERROR(VLOOKUP("M4_BREADTH",'Company 4'!$B:$E,4,0),"")</f>
        <v>2</v>
      </c>
      <c r="P7" s="85">
        <f>IFERROR(VLOOKUP("M5_DATATYPES",'Company 4'!$B:$E,4,0),"")</f>
        <v>3</v>
      </c>
      <c r="Q7" s="85">
        <f>IFERROR(VLOOKUP("M6_TRUST",'Company 4'!$B:$E,4,0),"")</f>
        <v>2</v>
      </c>
      <c r="R7" s="85">
        <f>IFERROR(VLOOKUP("M7_BARRIERS",'Company 4'!$B:$E,4,0),"")</f>
        <v>3</v>
      </c>
      <c r="S7" s="85">
        <f>IFERROR(VLOOKUP("M8_IMPACT",'Company 4'!$B:$E,4,0),"")</f>
        <v>0</v>
      </c>
      <c r="T7" s="85">
        <f>IFERROR(VLOOKUP("M9_WILLINGNESS",'Company 4'!$B:$E,4,0),"")</f>
        <v>8</v>
      </c>
      <c r="U7" s="85">
        <f>IFERROR(VLOOKUP("SV1_PRICING",'Company 4'!$B:$E,4,0),"")</f>
        <v>1</v>
      </c>
      <c r="V7" s="85">
        <f>IFERROR(VLOOKUP("SV2_PROMOTIONS",'Company 4'!$B:$E,4,0),"")</f>
        <v>1</v>
      </c>
      <c r="W7" s="85">
        <f>IFERROR(VLOOKUP("SV3_SUPPLYCHAIN",'Company 4'!$B:$E,4,0),"")</f>
        <v>1</v>
      </c>
      <c r="X7" s="85">
        <f>IFERROR(VLOOKUP("SV4_CATEGORY",'Company 4'!$B:$E,4,0),"")</f>
        <v>1</v>
      </c>
      <c r="Y7" s="85">
        <f>IFERROR(VLOOKUP("SV5_DEMAND",'Company 4'!$B:$E,4,0),"")</f>
        <v>0</v>
      </c>
      <c r="Z7" s="85">
        <f>IFERROR(VLOOKUP("SV6_ACCOUNT",'Company 4'!$B:$E,4,0),"")</f>
        <v>1</v>
      </c>
      <c r="AA7" s="85">
        <f>IFERROR(VLOOKUP("SV7_OPS",'Company 4'!$B:$E,4,0),"")</f>
        <v>1</v>
      </c>
      <c r="AB7" s="85">
        <f>IFERROR(VLOOKUP("SC1_DATASENS",'Company 4'!$B:$E,4,0),"")</f>
        <v>1</v>
      </c>
      <c r="AC7" s="85">
        <f>IFERROR(VLOOKUP("SC2_COMPLIANCE",'Company 4'!$B:$E,4,0),"")</f>
        <v>1</v>
      </c>
      <c r="AD7" s="85">
        <f>IFERROR(VLOOKUP("SC3_TRUST",'Company 4'!$B:$E,4,0),"")</f>
        <v>1</v>
      </c>
      <c r="AE7" s="85">
        <f>IFERROR(VLOOKUP("SC4_DATAPROC",'Company 4'!$B:$E,4,0),"")</f>
        <v>1</v>
      </c>
      <c r="AF7" s="85">
        <f>IFERROR(VLOOKUP("SF1_REALTIME",'Company 4'!$B:$E,4,0),"")</f>
        <v>0</v>
      </c>
      <c r="AG7" s="85">
        <f>IFERROR(VLOOKUP("SF2_ACCESS",'Company 4'!$B:$E,4,0),"")</f>
        <v>0</v>
      </c>
      <c r="AH7" s="85">
        <f>IFERROR(VLOOKUP("SF3_UX",'Company 4'!$B:$E,4,0),"")</f>
        <v>1</v>
      </c>
      <c r="AI7" s="85">
        <f>IFERROR(VLOOKUP("SF4_DECISION",'Company 4'!$B:$E,4,0),"")</f>
        <v>0</v>
      </c>
      <c r="AJ7" s="85">
        <f>IFERROR(VLOOKUP("SF5_MASKING",'Company 4'!$B:$E,4,0),"")</f>
        <v>0</v>
      </c>
      <c r="AK7" s="85">
        <f>IFERROR(VLOOKUP("SD1_TRENDS",'Company 4'!$B:$E,4,0),"")</f>
        <v>0</v>
      </c>
      <c r="AL7" s="85">
        <f>IFERROR(VLOOKUP("SD2_MARKET",'Company 4'!$B:$E,4,0),"")</f>
        <v>1</v>
      </c>
      <c r="AM7" s="85">
        <f>IFERROR(VLOOKUP("SD3_CATEGORY",'Company 4'!$B:$E,4,0),"")</f>
        <v>1</v>
      </c>
      <c r="AN7" s="85">
        <f>IFERROR(VLOOKUP("SD4_SHIPMENT",'Company 4'!$B:$E,4,0),"")</f>
        <v>1</v>
      </c>
      <c r="AO7" s="85">
        <f>IFERROR(VLOOKUP("SD5_LEAD",'Company 4'!$B:$E,4,0),"")</f>
        <v>1</v>
      </c>
      <c r="AP7" s="85">
        <f>IFERROR(VLOOKUP("SD6_CONJOINT",'Company 4'!$B:$E,4,0),"")</f>
        <v>0</v>
      </c>
    </row>
    <row r="8" spans="2:42" ht="20.100000000000001" customHeight="1">
      <c r="B8" s="83" t="s">
        <v>171</v>
      </c>
      <c r="C8" s="84" t="str">
        <f>IFERROR(VLOOKUP("Interviewee Position",'Company 5'!$B:$C,2,0),"")</f>
        <v>Supply Chain Director</v>
      </c>
      <c r="D8" s="84" t="str">
        <f>IFERROR(VLOOKUP("Company Industry",'Company 5'!$B:$C,2,0),"")</f>
        <v>Food Manufacturing</v>
      </c>
      <c r="E8" s="84" t="str">
        <f>IFERROR(VLOOKUP("Company Sub-Industry",'Company 5'!$B:$C,2,0),"")</f>
        <v>Manufacturer</v>
      </c>
      <c r="F8" s="3">
        <f>IFERROR(VLOOKUP("Company Size (Turnover)",'Company 5'!$B:$C,2,0),"")</f>
        <v>134000000</v>
      </c>
      <c r="G8" s="84" t="str">
        <f>IFERROR(VLOOKUP("Country",'Company 5'!$B:$C,2,0),"")</f>
        <v>Belgium</v>
      </c>
      <c r="H8" s="85">
        <f>IFERROR(VLOOKUP("B1_INTEREST",'Company 5'!$B:$E,4,0),"")</f>
        <v>10</v>
      </c>
      <c r="I8" s="85">
        <f>IFERROR(VLOOKUP("B2_SHARING",'Company 5'!$B:$E,4,0),"")</f>
        <v>1</v>
      </c>
      <c r="J8" s="85">
        <f>IFERROR(VLOOKUP("B3_MONETIZE",'Company 5'!$B:$E,4,0),"")</f>
        <v>0</v>
      </c>
      <c r="K8" s="85">
        <f>IFERROR(VLOOKUP("B4_STRATEGIC",'Company 5'!$B:$E,4,0),"")</f>
        <v>1</v>
      </c>
      <c r="L8" s="85">
        <f>IFERROR(VLOOKUP("M1_AUTOMATED",'Company 5'!$B:$E,4,0),"")</f>
        <v>2</v>
      </c>
      <c r="M8" s="85">
        <f>IFERROR(VLOOKUP("M2_REALTIME",'Company 5'!$B:$E,4,0),"")</f>
        <v>2</v>
      </c>
      <c r="N8" s="85">
        <f>IFERROR(VLOOKUP("M3_STRATEGIC",'Company 5'!$B:$E,4,0),"")</f>
        <v>2</v>
      </c>
      <c r="O8" s="85">
        <f>IFERROR(VLOOKUP("M4_BREADTH",'Company 5'!$B:$E,4,0),"")</f>
        <v>4</v>
      </c>
      <c r="P8" s="85">
        <f>IFERROR(VLOOKUP("M5_DATATYPES",'Company 5'!$B:$E,4,0),"")</f>
        <v>2</v>
      </c>
      <c r="Q8" s="85">
        <f>IFERROR(VLOOKUP("M6_TRUST",'Company 5'!$B:$E,4,0),"")</f>
        <v>2</v>
      </c>
      <c r="R8" s="85">
        <f>IFERROR(VLOOKUP("M7_BARRIERS",'Company 5'!$B:$E,4,0),"")</f>
        <v>4</v>
      </c>
      <c r="S8" s="85">
        <f>IFERROR(VLOOKUP("M8_IMPACT",'Company 5'!$B:$E,4,0),"")</f>
        <v>2</v>
      </c>
      <c r="T8" s="85">
        <f>IFERROR(VLOOKUP("M9_WILLINGNESS",'Company 5'!$B:$E,4,0),"")</f>
        <v>10</v>
      </c>
      <c r="U8" s="85">
        <f>IFERROR(VLOOKUP("SV1_PRICING",'Company 5'!$B:$E,4,0),"")</f>
        <v>1</v>
      </c>
      <c r="V8" s="85">
        <f>IFERROR(VLOOKUP("SV2_PROMOTIONS",'Company 5'!$B:$E,4,0),"")</f>
        <v>1</v>
      </c>
      <c r="W8" s="85">
        <f>IFERROR(VLOOKUP("SV3_SUPPLYCHAIN",'Company 5'!$B:$E,4,0),"")</f>
        <v>1</v>
      </c>
      <c r="X8" s="85">
        <f>IFERROR(VLOOKUP("SV4_CATEGORY",'Company 5'!$B:$E,4,0),"")</f>
        <v>0</v>
      </c>
      <c r="Y8" s="85">
        <f>IFERROR(VLOOKUP("SV5_DEMAND",'Company 5'!$B:$E,4,0),"")</f>
        <v>1</v>
      </c>
      <c r="Z8" s="85">
        <f>IFERROR(VLOOKUP("SV6_ACCOUNT",'Company 5'!$B:$E,4,0),"")</f>
        <v>1</v>
      </c>
      <c r="AA8" s="85">
        <f>IFERROR(VLOOKUP("SV7_OPS",'Company 5'!$B:$E,4,0),"")</f>
        <v>1</v>
      </c>
      <c r="AB8" s="85">
        <f>IFERROR(VLOOKUP("SC1_DATASENS",'Company 5'!$B:$E,4,0),"")</f>
        <v>1</v>
      </c>
      <c r="AC8" s="85">
        <f>IFERROR(VLOOKUP("SC2_COMPLIANCE",'Company 5'!$B:$E,4,0),"")</f>
        <v>0</v>
      </c>
      <c r="AD8" s="85">
        <f>IFERROR(VLOOKUP("SC3_TRUST",'Company 5'!$B:$E,4,0),"")</f>
        <v>1</v>
      </c>
      <c r="AE8" s="85">
        <f>IFERROR(VLOOKUP("SC4_DATAPROC",'Company 5'!$B:$E,4,0),"")</f>
        <v>1</v>
      </c>
      <c r="AF8" s="85">
        <f>IFERROR(VLOOKUP("SF1_REALTIME",'Company 5'!$B:$E,4,0),"")</f>
        <v>1</v>
      </c>
      <c r="AG8" s="85">
        <f>IFERROR(VLOOKUP("SF2_ACCESS",'Company 5'!$B:$E,4,0),"")</f>
        <v>0</v>
      </c>
      <c r="AH8" s="85">
        <f>IFERROR(VLOOKUP("SF3_UX",'Company 5'!$B:$E,4,0),"")</f>
        <v>1</v>
      </c>
      <c r="AI8" s="85">
        <f>IFERROR(VLOOKUP("SF4_DECISION",'Company 5'!$B:$E,4,0),"")</f>
        <v>1</v>
      </c>
      <c r="AJ8" s="85">
        <f>IFERROR(VLOOKUP("SF5_MASKING",'Company 5'!$B:$E,4,0),"")</f>
        <v>0</v>
      </c>
      <c r="AK8" s="85">
        <f>IFERROR(VLOOKUP("SD1_TRENDS",'Company 5'!$B:$E,4,0),"")</f>
        <v>0</v>
      </c>
      <c r="AL8" s="85">
        <f>IFERROR(VLOOKUP("SD2_MARKET",'Company 5'!$B:$E,4,0),"")</f>
        <v>0</v>
      </c>
      <c r="AM8" s="85">
        <f>IFERROR(VLOOKUP("SD3_CATEGORY",'Company 5'!$B:$E,4,0),"")</f>
        <v>0</v>
      </c>
      <c r="AN8" s="85">
        <f>IFERROR(VLOOKUP("SD4_SHIPMENT",'Company 5'!$B:$E,4,0),"")</f>
        <v>1</v>
      </c>
      <c r="AO8" s="85">
        <f>IFERROR(VLOOKUP("SD5_LEAD",'Company 5'!$B:$E,4,0),"")</f>
        <v>1</v>
      </c>
      <c r="AP8" s="85">
        <f>IFERROR(VLOOKUP("SD6_CONJOINT",'Company 5'!$B:$E,4,0),"")</f>
        <v>0</v>
      </c>
    </row>
    <row r="9" spans="2:42" ht="20.100000000000001" customHeight="1">
      <c r="B9" s="83" t="s">
        <v>172</v>
      </c>
      <c r="C9" s="84" t="str">
        <f>IFERROR(VLOOKUP("Interviewee Position",'Company 6'!$B:$C,2,0),"")</f>
        <v>Sales Director</v>
      </c>
      <c r="D9" s="84" t="str">
        <f>IFERROR(VLOOKUP("Company Industry",'Company 6'!$B:$C,2,0),"")</f>
        <v>FMCG</v>
      </c>
      <c r="E9" s="84" t="str">
        <f>IFERROR(VLOOKUP("Company Sub-Industry",'Company 6'!$B:$C,2,0),"")</f>
        <v>Manufacturer</v>
      </c>
      <c r="F9" s="3">
        <f>IFERROR(VLOOKUP("Company Size (Turnover)",'Company 6'!$B:$C,2,0),"")</f>
        <v>380000000</v>
      </c>
      <c r="G9" s="84" t="str">
        <f>IFERROR(VLOOKUP("Country",'Company 6'!$B:$C,2,0),"")</f>
        <v>Belgium</v>
      </c>
      <c r="H9" s="85">
        <f>IFERROR(VLOOKUP("B1_INTEREST",'Company 6'!$B:$E,4,0),"")</f>
        <v>8</v>
      </c>
      <c r="I9" s="85">
        <f>IFERROR(VLOOKUP("B2_SHARING",'Company 6'!$B:$E,4,0),"")</f>
        <v>1</v>
      </c>
      <c r="J9" s="85">
        <f>IFERROR(VLOOKUP("B3_MONETIZE",'Company 6'!$B:$E,4,0),"")</f>
        <v>0</v>
      </c>
      <c r="K9" s="85">
        <f>IFERROR(VLOOKUP("B4_STRATEGIC",'Company 6'!$B:$E,4,0),"")</f>
        <v>1</v>
      </c>
      <c r="L9" s="85">
        <f>IFERROR(VLOOKUP("M1_AUTOMATED",'Company 6'!$B:$E,4,0),"")</f>
        <v>5</v>
      </c>
      <c r="M9" s="85">
        <f>IFERROR(VLOOKUP("M2_REALTIME",'Company 6'!$B:$E,4,0),"")</f>
        <v>4</v>
      </c>
      <c r="N9" s="85">
        <f>IFERROR(VLOOKUP("M3_STRATEGIC",'Company 6'!$B:$E,4,0),"")</f>
        <v>4</v>
      </c>
      <c r="O9" s="85">
        <f>IFERROR(VLOOKUP("M4_BREADTH",'Company 6'!$B:$E,4,0),"")</f>
        <v>3</v>
      </c>
      <c r="P9" s="85">
        <f>IFERROR(VLOOKUP("M5_DATATYPES",'Company 6'!$B:$E,4,0),"")</f>
        <v>5</v>
      </c>
      <c r="Q9" s="85">
        <f>IFERROR(VLOOKUP("M6_TRUST",'Company 6'!$B:$E,4,0),"")</f>
        <v>2</v>
      </c>
      <c r="R9" s="85">
        <f>IFERROR(VLOOKUP("M7_BARRIERS",'Company 6'!$B:$E,4,0),"")</f>
        <v>5</v>
      </c>
      <c r="S9" s="85">
        <f>IFERROR(VLOOKUP("M8_IMPACT",'Company 6'!$B:$E,4,0),"")</f>
        <v>5</v>
      </c>
      <c r="T9" s="85">
        <f>IFERROR(VLOOKUP("M9_WILLINGNESS",'Company 6'!$B:$E,4,0),"")</f>
        <v>6</v>
      </c>
      <c r="U9" s="85">
        <f>IFERROR(VLOOKUP("SV1_PRICING",'Company 6'!$B:$E,4,0),"")</f>
        <v>1</v>
      </c>
      <c r="V9" s="85">
        <f>IFERROR(VLOOKUP("SV2_PROMOTIONS",'Company 6'!$B:$E,4,0),"")</f>
        <v>1</v>
      </c>
      <c r="W9" s="85">
        <f>IFERROR(VLOOKUP("SV3_SUPPLYCHAIN",'Company 6'!$B:$E,4,0),"")</f>
        <v>1</v>
      </c>
      <c r="X9" s="85">
        <f>IFERROR(VLOOKUP("SV4_CATEGORY",'Company 6'!$B:$E,4,0),"")</f>
        <v>1</v>
      </c>
      <c r="Y9" s="85">
        <f>IFERROR(VLOOKUP("SV5_DEMAND",'Company 6'!$B:$E,4,0),"")</f>
        <v>1</v>
      </c>
      <c r="Z9" s="85">
        <f>IFERROR(VLOOKUP("SV6_ACCOUNT",'Company 6'!$B:$E,4,0),"")</f>
        <v>1</v>
      </c>
      <c r="AA9" s="85">
        <f>IFERROR(VLOOKUP("SV7_OPS",'Company 6'!$B:$E,4,0),"")</f>
        <v>1</v>
      </c>
      <c r="AB9" s="85">
        <f>IFERROR(VLOOKUP("SC1_DATASENS",'Company 6'!$B:$E,4,0),"")</f>
        <v>1</v>
      </c>
      <c r="AC9" s="85">
        <f>IFERROR(VLOOKUP("SC2_COMPLIANCE",'Company 6'!$B:$E,4,0),"")</f>
        <v>1</v>
      </c>
      <c r="AD9" s="85">
        <f>IFERROR(VLOOKUP("SC3_TRUST",'Company 6'!$B:$E,4,0),"")</f>
        <v>1</v>
      </c>
      <c r="AE9" s="85">
        <f>IFERROR(VLOOKUP("SC4_DATAPROC",'Company 6'!$B:$E,4,0),"")</f>
        <v>1</v>
      </c>
      <c r="AF9" s="85">
        <f>IFERROR(VLOOKUP("SF1_REALTIME",'Company 6'!$B:$E,4,0),"")</f>
        <v>1</v>
      </c>
      <c r="AG9" s="85">
        <f>IFERROR(VLOOKUP("SF2_ACCESS",'Company 6'!$B:$E,4,0),"")</f>
        <v>1</v>
      </c>
      <c r="AH9" s="85">
        <f>IFERROR(VLOOKUP("SF3_UX",'Company 6'!$B:$E,4,0),"")</f>
        <v>0</v>
      </c>
      <c r="AI9" s="85">
        <f>IFERROR(VLOOKUP("SF4_DECISION",'Company 6'!$B:$E,4,0),"")</f>
        <v>1</v>
      </c>
      <c r="AJ9" s="85">
        <f>IFERROR(VLOOKUP("SF5_MASKING",'Company 6'!$B:$E,4,0),"")</f>
        <v>0</v>
      </c>
      <c r="AK9" s="85">
        <f>IFERROR(VLOOKUP("SD1_TRENDS",'Company 6'!$B:$E,4,0),"")</f>
        <v>1</v>
      </c>
      <c r="AL9" s="85">
        <f>IFERROR(VLOOKUP("SD2_MARKET",'Company 6'!$B:$E,4,0),"")</f>
        <v>1</v>
      </c>
      <c r="AM9" s="85">
        <f>IFERROR(VLOOKUP("SD3_CATEGORY",'Company 6'!$B:$E,4,0),"")</f>
        <v>1</v>
      </c>
      <c r="AN9" s="85">
        <f>IFERROR(VLOOKUP("SD4_SHIPMENT",'Company 6'!$B:$E,4,0),"")</f>
        <v>1</v>
      </c>
      <c r="AO9" s="85">
        <f>IFERROR(VLOOKUP("SD5_LEAD",'Company 6'!$B:$E,4,0),"")</f>
        <v>0</v>
      </c>
      <c r="AP9" s="85">
        <f>IFERROR(VLOOKUP("SD6_CONJOINT",'Company 6'!$B:$E,4,0),"")</f>
        <v>0</v>
      </c>
    </row>
    <row r="10" spans="2:42" ht="20.100000000000001" customHeight="1">
      <c r="B10" s="83" t="s">
        <v>173</v>
      </c>
      <c r="C10" s="84" t="str">
        <f>IFERROR(VLOOKUP("Interviewee Position",'Company 7'!$B:$C,2,0),"")</f>
        <v>CEO</v>
      </c>
      <c r="D10" s="84" t="str">
        <f>IFERROR(VLOOKUP("Company Industry",'Company 7'!$B:$C,2,0),"")</f>
        <v>Food Service / Wholesale Distribution</v>
      </c>
      <c r="E10" s="84" t="str">
        <f>IFERROR(VLOOKUP("Company Sub-Industry",'Company 7'!$B:$C,2,0),"")</f>
        <v>Wholesaler</v>
      </c>
      <c r="F10" s="3">
        <f>IFERROR(VLOOKUP("Company Size (Turnover)",'Company 7'!$B:$C,2,0),"")</f>
        <v>7800000</v>
      </c>
      <c r="G10" s="84" t="str">
        <f>IFERROR(VLOOKUP("Country",'Company 7'!$B:$C,2,0),"")</f>
        <v>Belgium</v>
      </c>
      <c r="H10" s="85">
        <f>IFERROR(VLOOKUP("B1_INTEREST",'Company 7'!$B:$E,4,0),"")</f>
        <v>8</v>
      </c>
      <c r="I10" s="85">
        <f>IFERROR(VLOOKUP("B2_SHARING",'Company 7'!$B:$E,4,0),"")</f>
        <v>1</v>
      </c>
      <c r="J10" s="85">
        <f>IFERROR(VLOOKUP("B3_MONETIZE",'Company 7'!$B:$E,4,0),"")</f>
        <v>1</v>
      </c>
      <c r="K10" s="85">
        <f>IFERROR(VLOOKUP("B4_STRATEGIC",'Company 7'!$B:$E,4,0),"")</f>
        <v>0</v>
      </c>
      <c r="L10" s="85">
        <f>IFERROR(VLOOKUP("M1_AUTOMATED",'Company 7'!$B:$E,4,0),"")</f>
        <v>1</v>
      </c>
      <c r="M10" s="85">
        <f>IFERROR(VLOOKUP("M2_REALTIME",'Company 7'!$B:$E,4,0),"")</f>
        <v>2</v>
      </c>
      <c r="N10" s="85">
        <f>IFERROR(VLOOKUP("M3_STRATEGIC",'Company 7'!$B:$E,4,0),"")</f>
        <v>4</v>
      </c>
      <c r="O10" s="85">
        <f>IFERROR(VLOOKUP("M4_BREADTH",'Company 7'!$B:$E,4,0),"")</f>
        <v>3</v>
      </c>
      <c r="P10" s="85">
        <f>IFERROR(VLOOKUP("M5_DATATYPES",'Company 7'!$B:$E,4,0),"")</f>
        <v>3</v>
      </c>
      <c r="Q10" s="85">
        <f>IFERROR(VLOOKUP("M6_TRUST",'Company 7'!$B:$E,4,0),"")</f>
        <v>0</v>
      </c>
      <c r="R10" s="85">
        <f>IFERROR(VLOOKUP("M7_BARRIERS",'Company 7'!$B:$E,4,0),"")</f>
        <v>2</v>
      </c>
      <c r="S10" s="85">
        <f>IFERROR(VLOOKUP("M8_IMPACT",'Company 7'!$B:$E,4,0),"")</f>
        <v>3</v>
      </c>
      <c r="T10" s="85">
        <f>IFERROR(VLOOKUP("M9_WILLINGNESS",'Company 7'!$B:$E,4,0),"")</f>
        <v>8</v>
      </c>
      <c r="U10" s="85">
        <f>IFERROR(VLOOKUP("SV1_PRICING",'Company 7'!$B:$E,4,0),"")</f>
        <v>0</v>
      </c>
      <c r="V10" s="85">
        <f>IFERROR(VLOOKUP("SV2_PROMOTIONS",'Company 7'!$B:$E,4,0),"")</f>
        <v>0</v>
      </c>
      <c r="W10" s="85">
        <f>IFERROR(VLOOKUP("SV3_SUPPLYCHAIN",'Company 7'!$B:$E,4,0),"")</f>
        <v>0</v>
      </c>
      <c r="X10" s="85">
        <f>IFERROR(VLOOKUP("SV4_CATEGORY",'Company 7'!$B:$E,4,0),"")</f>
        <v>1</v>
      </c>
      <c r="Y10" s="85">
        <f>IFERROR(VLOOKUP("SV5_DEMAND",'Company 7'!$B:$E,4,0),"")</f>
        <v>0</v>
      </c>
      <c r="Z10" s="85">
        <f>IFERROR(VLOOKUP("SV6_ACCOUNT",'Company 7'!$B:$E,4,0),"")</f>
        <v>0</v>
      </c>
      <c r="AA10" s="85">
        <f>IFERROR(VLOOKUP("SV7_OPS",'Company 7'!$B:$E,4,0),"")</f>
        <v>1</v>
      </c>
      <c r="AB10" s="85">
        <f>IFERROR(VLOOKUP("SC1_DATASENS",'Company 7'!$B:$E,4,0),"")</f>
        <v>0</v>
      </c>
      <c r="AC10" s="85">
        <f>IFERROR(VLOOKUP("SC2_COMPLIANCE",'Company 7'!$B:$E,4,0),"")</f>
        <v>0</v>
      </c>
      <c r="AD10" s="85">
        <f>IFERROR(VLOOKUP("SC3_TRUST",'Company 7'!$B:$E,4,0),"")</f>
        <v>0</v>
      </c>
      <c r="AE10" s="85">
        <f>IFERROR(VLOOKUP("SC4_DATAPROC",'Company 7'!$B:$E,4,0),"")</f>
        <v>1</v>
      </c>
      <c r="AF10" s="85">
        <f>IFERROR(VLOOKUP("SF1_REALTIME",'Company 7'!$B:$E,4,0),"")</f>
        <v>1</v>
      </c>
      <c r="AG10" s="85">
        <f>IFERROR(VLOOKUP("SF2_ACCESS",'Company 7'!$B:$E,4,0),"")</f>
        <v>0</v>
      </c>
      <c r="AH10" s="85">
        <f>IFERROR(VLOOKUP("SF3_UX",'Company 7'!$B:$E,4,0),"")</f>
        <v>1</v>
      </c>
      <c r="AI10" s="85">
        <f>IFERROR(VLOOKUP("SF4_DECISION",'Company 7'!$B:$E,4,0),"")</f>
        <v>0</v>
      </c>
      <c r="AJ10" s="85">
        <f>IFERROR(VLOOKUP("SF5_MASKING",'Company 7'!$B:$E,4,0),"")</f>
        <v>0</v>
      </c>
      <c r="AK10" s="85">
        <f>IFERROR(VLOOKUP("SD1_TRENDS",'Company 7'!$B:$E,4,0),"")</f>
        <v>0</v>
      </c>
      <c r="AL10" s="85">
        <f>IFERROR(VLOOKUP("SD2_MARKET",'Company 7'!$B:$E,4,0),"")</f>
        <v>1</v>
      </c>
      <c r="AM10" s="85">
        <f>IFERROR(VLOOKUP("SD3_CATEGORY",'Company 7'!$B:$E,4,0),"")</f>
        <v>1</v>
      </c>
      <c r="AN10" s="85">
        <f>IFERROR(VLOOKUP("SD4_SHIPMENT",'Company 7'!$B:$E,4,0),"")</f>
        <v>0</v>
      </c>
      <c r="AO10" s="85">
        <f>IFERROR(VLOOKUP("SD5_LEAD",'Company 7'!$B:$E,4,0),"")</f>
        <v>0</v>
      </c>
      <c r="AP10" s="85">
        <f>IFERROR(VLOOKUP("SD6_CONJOINT",'Company 7'!$B:$E,4,0),"")</f>
        <v>0</v>
      </c>
    </row>
    <row r="11" spans="2:42" ht="20.100000000000001" customHeight="1">
      <c r="B11" s="83" t="s">
        <v>174</v>
      </c>
      <c r="C11" s="84" t="str">
        <f>IFERROR(VLOOKUP("Interviewee Position",'Company 8'!$B:$C,2,0),"")</f>
        <v>CFO / Finance Lead EMEA &amp; LATAM</v>
      </c>
      <c r="D11" s="84" t="str">
        <f>IFERROR(VLOOKUP("Company Industry",'Company 8'!$B:$C,2,0),"")</f>
        <v>Pet Food &amp; Products</v>
      </c>
      <c r="E11" s="84" t="str">
        <f>IFERROR(VLOOKUP("Company Sub-Industry",'Company 8'!$B:$C,2,0),"")</f>
        <v>Manufacturer</v>
      </c>
      <c r="F11" s="3">
        <f>IFERROR(VLOOKUP("Company Size (Turnover)",'Company 8'!$B:$C,2,0),"")</f>
        <v>90000000</v>
      </c>
      <c r="G11" s="84" t="str">
        <f>IFERROR(VLOOKUP("Country",'Company 8'!$B:$C,2,0),"")</f>
        <v>US</v>
      </c>
      <c r="H11" s="85">
        <f>IFERROR(VLOOKUP("B1_INTEREST",'Company 8'!$B:$E,4,0),"")</f>
        <v>8</v>
      </c>
      <c r="I11" s="85">
        <f>IFERROR(VLOOKUP("B2_SHARING",'Company 8'!$B:$E,4,0),"")</f>
        <v>1</v>
      </c>
      <c r="J11" s="85">
        <f>IFERROR(VLOOKUP("B3_MONETIZE",'Company 8'!$B:$E,4,0),"")</f>
        <v>0</v>
      </c>
      <c r="K11" s="85">
        <f>IFERROR(VLOOKUP("B4_STRATEGIC",'Company 8'!$B:$E,4,0),"")</f>
        <v>0</v>
      </c>
      <c r="L11" s="85">
        <f>IFERROR(VLOOKUP("M1_AUTOMATED",'Company 8'!$B:$E,4,0),"")</f>
        <v>3</v>
      </c>
      <c r="M11" s="85">
        <f>IFERROR(VLOOKUP("M2_REALTIME",'Company 8'!$B:$E,4,0),"")</f>
        <v>2</v>
      </c>
      <c r="N11" s="85">
        <f>IFERROR(VLOOKUP("M3_STRATEGIC",'Company 8'!$B:$E,4,0),"")</f>
        <v>4</v>
      </c>
      <c r="O11" s="85">
        <f>IFERROR(VLOOKUP("M4_BREADTH",'Company 8'!$B:$E,4,0),"")</f>
        <v>3</v>
      </c>
      <c r="P11" s="85">
        <f>IFERROR(VLOOKUP("M5_DATATYPES",'Company 8'!$B:$E,4,0),"")</f>
        <v>4</v>
      </c>
      <c r="Q11" s="85">
        <f>IFERROR(VLOOKUP("M6_TRUST",'Company 8'!$B:$E,4,0),"")</f>
        <v>4</v>
      </c>
      <c r="R11" s="85">
        <f>IFERROR(VLOOKUP("M7_BARRIERS",'Company 8'!$B:$E,4,0),"")</f>
        <v>4</v>
      </c>
      <c r="S11" s="85">
        <f>IFERROR(VLOOKUP("M8_IMPACT",'Company 8'!$B:$E,4,0),"")</f>
        <v>2</v>
      </c>
      <c r="T11" s="85">
        <f>IFERROR(VLOOKUP("M9_WILLINGNESS",'Company 8'!$B:$E,4,0),"")</f>
        <v>8</v>
      </c>
      <c r="U11" s="85">
        <f>IFERROR(VLOOKUP("SV1_PRICING",'Company 8'!$B:$E,4,0),"")</f>
        <v>1</v>
      </c>
      <c r="V11" s="85">
        <f>IFERROR(VLOOKUP("SV2_PROMOTIONS",'Company 8'!$B:$E,4,0),"")</f>
        <v>1</v>
      </c>
      <c r="W11" s="85">
        <f>IFERROR(VLOOKUP("SV3_SUPPLYCHAIN",'Company 8'!$B:$E,4,0),"")</f>
        <v>0</v>
      </c>
      <c r="X11" s="85">
        <f>IFERROR(VLOOKUP("SV4_CATEGORY",'Company 8'!$B:$E,4,0),"")</f>
        <v>1</v>
      </c>
      <c r="Y11" s="85">
        <f>IFERROR(VLOOKUP("SV5_DEMAND",'Company 8'!$B:$E,4,0),"")</f>
        <v>0</v>
      </c>
      <c r="Z11" s="85">
        <f>IFERROR(VLOOKUP("SV6_ACCOUNT",'Company 8'!$B:$E,4,0),"")</f>
        <v>0</v>
      </c>
      <c r="AA11" s="85">
        <f>IFERROR(VLOOKUP("SV7_OPS",'Company 8'!$B:$E,4,0),"")</f>
        <v>0</v>
      </c>
      <c r="AB11" s="85">
        <f>IFERROR(VLOOKUP("SC1_DATASENS",'Company 8'!$B:$E,4,0),"")</f>
        <v>1</v>
      </c>
      <c r="AC11" s="85">
        <f>IFERROR(VLOOKUP("SC2_COMPLIANCE",'Company 8'!$B:$E,4,0),"")</f>
        <v>1</v>
      </c>
      <c r="AD11" s="85">
        <f>IFERROR(VLOOKUP("SC3_TRUST",'Company 8'!$B:$E,4,0),"")</f>
        <v>0</v>
      </c>
      <c r="AE11" s="85">
        <f>IFERROR(VLOOKUP("SC4_DATAPROC",'Company 8'!$B:$E,4,0),"")</f>
        <v>0</v>
      </c>
      <c r="AF11" s="85">
        <f>IFERROR(VLOOKUP("SF1_REALTIME",'Company 8'!$B:$E,4,0),"")</f>
        <v>0</v>
      </c>
      <c r="AG11" s="85">
        <f>IFERROR(VLOOKUP("SF2_ACCESS",'Company 8'!$B:$E,4,0),"")</f>
        <v>0</v>
      </c>
      <c r="AH11" s="85">
        <f>IFERROR(VLOOKUP("SF3_UX",'Company 8'!$B:$E,4,0),"")</f>
        <v>0</v>
      </c>
      <c r="AI11" s="85">
        <f>IFERROR(VLOOKUP("SF4_DECISION",'Company 8'!$B:$E,4,0),"")</f>
        <v>0</v>
      </c>
      <c r="AJ11" s="85">
        <f>IFERROR(VLOOKUP("SF5_MASKING",'Company 8'!$B:$E,4,0),"")</f>
        <v>0</v>
      </c>
      <c r="AK11" s="85">
        <f>IFERROR(VLOOKUP("SD1_TRENDS",'Company 8'!$B:$E,4,0),"")</f>
        <v>1</v>
      </c>
      <c r="AL11" s="85">
        <f>IFERROR(VLOOKUP("SD2_MARKET",'Company 8'!$B:$E,4,0),"")</f>
        <v>1</v>
      </c>
      <c r="AM11" s="85">
        <f>IFERROR(VLOOKUP("SD3_CATEGORY",'Company 8'!$B:$E,4,0),"")</f>
        <v>1</v>
      </c>
      <c r="AN11" s="85">
        <f>IFERROR(VLOOKUP("SD4_SHIPMENT",'Company 8'!$B:$E,4,0),"")</f>
        <v>0</v>
      </c>
      <c r="AO11" s="85">
        <f>IFERROR(VLOOKUP("SD5_LEAD",'Company 8'!$B:$E,4,0),"")</f>
        <v>0</v>
      </c>
      <c r="AP11" s="85">
        <f>IFERROR(VLOOKUP("SD6_CONJOINT",'Company 8'!$B:$E,4,0),"")</f>
        <v>0</v>
      </c>
    </row>
    <row r="12" spans="2:42" ht="20.100000000000001" customHeight="1">
      <c r="B12" s="83" t="s">
        <v>175</v>
      </c>
      <c r="C12" s="84" t="str">
        <f>IFERROR(VLOOKUP("Interviewee Position",'Company 9'!$B:$C,2,0),"")</f>
        <v>Commercial Director</v>
      </c>
      <c r="D12" s="84" t="str">
        <f>IFERROR(VLOOKUP("Company Industry",'Company 9'!$B:$C,2,0),"")</f>
        <v>Wholesale</v>
      </c>
      <c r="E12" s="84" t="str">
        <f>IFERROR(VLOOKUP("Company Sub-Industry",'Company 9'!$B:$C,2,0),"")</f>
        <v>Wholesaler</v>
      </c>
      <c r="F12" s="3">
        <f>IFERROR(VLOOKUP("Company Size (Turnover)",'Company 9'!$B:$C,2,0),"")</f>
        <v>2000000000</v>
      </c>
      <c r="G12" s="84" t="str">
        <f>IFERROR(VLOOKUP("Country",'Company 9'!$B:$C,2,0),"")</f>
        <v>Belgium</v>
      </c>
      <c r="H12" s="85">
        <f>IFERROR(VLOOKUP("B1_INTEREST",'Company 9'!$B:$E,4,0),"")</f>
        <v>8</v>
      </c>
      <c r="I12" s="85">
        <f>IFERROR(VLOOKUP("B2_SHARING",'Company 9'!$B:$E,4,0),"")</f>
        <v>1</v>
      </c>
      <c r="J12" s="85">
        <f>IFERROR(VLOOKUP("B3_MONETIZE",'Company 9'!$B:$E,4,0),"")</f>
        <v>1</v>
      </c>
      <c r="K12" s="85">
        <f>IFERROR(VLOOKUP("B4_STRATEGIC",'Company 9'!$B:$E,4,0),"")</f>
        <v>0</v>
      </c>
      <c r="L12" s="85">
        <f>IFERROR(VLOOKUP("M1_AUTOMATED",'Company 9'!$B:$E,4,0),"")</f>
        <v>3</v>
      </c>
      <c r="M12" s="85">
        <f>IFERROR(VLOOKUP("M2_REALTIME",'Company 9'!$B:$E,4,0),"")</f>
        <v>2</v>
      </c>
      <c r="N12" s="85">
        <f>IFERROR(VLOOKUP("M3_STRATEGIC",'Company 9'!$B:$E,4,0),"")</f>
        <v>4</v>
      </c>
      <c r="O12" s="85">
        <f>IFERROR(VLOOKUP("M4_BREADTH",'Company 9'!$B:$E,4,0),"")</f>
        <v>2</v>
      </c>
      <c r="P12" s="85">
        <f>IFERROR(VLOOKUP("M5_DATATYPES",'Company 9'!$B:$E,4,0),"")</f>
        <v>5</v>
      </c>
      <c r="Q12" s="85">
        <f>IFERROR(VLOOKUP("M6_TRUST",'Company 9'!$B:$E,4,0),"")</f>
        <v>2</v>
      </c>
      <c r="R12" s="85">
        <f>IFERROR(VLOOKUP("M7_BARRIERS",'Company 9'!$B:$E,4,0),"")</f>
        <v>4</v>
      </c>
      <c r="S12" s="85">
        <f>IFERROR(VLOOKUP("M8_IMPACT",'Company 9'!$B:$E,4,0),"")</f>
        <v>4</v>
      </c>
      <c r="T12" s="85">
        <f>IFERROR(VLOOKUP("M9_WILLINGNESS",'Company 9'!$B:$E,4,0),"")</f>
        <v>6</v>
      </c>
      <c r="U12" s="85">
        <f>IFERROR(VLOOKUP("SV1_PRICING",'Company 9'!$B:$E,4,0),"")</f>
        <v>0</v>
      </c>
      <c r="V12" s="85">
        <f>IFERROR(VLOOKUP("SV2_PROMOTIONS",'Company 9'!$B:$E,4,0),"")</f>
        <v>0</v>
      </c>
      <c r="W12" s="85">
        <f>IFERROR(VLOOKUP("SV3_SUPPLYCHAIN",'Company 9'!$B:$E,4,0),"")</f>
        <v>0</v>
      </c>
      <c r="X12" s="85">
        <f>IFERROR(VLOOKUP("SV4_CATEGORY",'Company 9'!$B:$E,4,0),"")</f>
        <v>1</v>
      </c>
      <c r="Y12" s="85">
        <f>IFERROR(VLOOKUP("SV5_DEMAND",'Company 9'!$B:$E,4,0),"")</f>
        <v>1</v>
      </c>
      <c r="Z12" s="85">
        <f>IFERROR(VLOOKUP("SV6_ACCOUNT",'Company 9'!$B:$E,4,0),"")</f>
        <v>0</v>
      </c>
      <c r="AA12" s="85">
        <f>IFERROR(VLOOKUP("SV7_OPS",'Company 9'!$B:$E,4,0),"")</f>
        <v>0</v>
      </c>
      <c r="AB12" s="85">
        <f>IFERROR(VLOOKUP("SC1_DATASENS",'Company 9'!$B:$E,4,0),"")</f>
        <v>1</v>
      </c>
      <c r="AC12" s="85">
        <f>IFERROR(VLOOKUP("SC2_COMPLIANCE",'Company 9'!$B:$E,4,0),"")</f>
        <v>0</v>
      </c>
      <c r="AD12" s="85">
        <f>IFERROR(VLOOKUP("SC3_TRUST",'Company 9'!$B:$E,4,0),"")</f>
        <v>0</v>
      </c>
      <c r="AE12" s="85">
        <f>IFERROR(VLOOKUP("SC4_DATAPROC",'Company 9'!$B:$E,4,0),"")</f>
        <v>0</v>
      </c>
      <c r="AF12" s="85">
        <f>IFERROR(VLOOKUP("SF1_REALTIME",'Company 9'!$B:$E,4,0),"")</f>
        <v>0</v>
      </c>
      <c r="AG12" s="85">
        <f>IFERROR(VLOOKUP("SF2_ACCESS",'Company 9'!$B:$E,4,0),"")</f>
        <v>1</v>
      </c>
      <c r="AH12" s="85">
        <f>IFERROR(VLOOKUP("SF3_UX",'Company 9'!$B:$E,4,0),"")</f>
        <v>1</v>
      </c>
      <c r="AI12" s="85">
        <f>IFERROR(VLOOKUP("SF4_DECISION",'Company 9'!$B:$E,4,0),"")</f>
        <v>0</v>
      </c>
      <c r="AJ12" s="85">
        <f>IFERROR(VLOOKUP("SF5_MASKING",'Company 9'!$B:$E,4,0),"")</f>
        <v>0</v>
      </c>
      <c r="AK12" s="85">
        <f>IFERROR(VLOOKUP("SD1_TRENDS",'Company 9'!$B:$E,4,0),"")</f>
        <v>1</v>
      </c>
      <c r="AL12" s="85">
        <f>IFERROR(VLOOKUP("SD2_MARKET",'Company 9'!$B:$E,4,0),"")</f>
        <v>1</v>
      </c>
      <c r="AM12" s="85">
        <f>IFERROR(VLOOKUP("SD3_CATEGORY",'Company 9'!$B:$E,4,0),"")</f>
        <v>1</v>
      </c>
      <c r="AN12" s="85">
        <f>IFERROR(VLOOKUP("SD4_SHIPMENT",'Company 9'!$B:$E,4,0),"")</f>
        <v>1</v>
      </c>
      <c r="AO12" s="85">
        <f>IFERROR(VLOOKUP("SD5_LEAD",'Company 9'!$B:$E,4,0),"")</f>
        <v>0</v>
      </c>
      <c r="AP12" s="85">
        <f>IFERROR(VLOOKUP("SD6_CONJOINT",'Company 9'!$B:$E,4,0),"")</f>
        <v>0</v>
      </c>
    </row>
    <row r="13" spans="2:42" ht="20.100000000000001" customHeight="1">
      <c r="B13" s="83" t="s">
        <v>176</v>
      </c>
      <c r="C13" s="84" t="str">
        <f>IFERROR(VLOOKUP("Interviewee Position",'Company 10'!$B:$C,2,0),"")</f>
        <v>Data Insights Team</v>
      </c>
      <c r="D13" s="84" t="str">
        <f>IFERROR(VLOOKUP("Company Industry",'Company 10'!$B:$C,2,0),"")</f>
        <v>FMCG</v>
      </c>
      <c r="E13" s="84" t="str">
        <f>IFERROR(VLOOKUP("Company Sub-Industry",'Company 10'!$B:$C,2,0),"")</f>
        <v>Manufacturer</v>
      </c>
      <c r="F13" s="3">
        <f>IFERROR(VLOOKUP("Company Size (Turnover)",'Company 10'!$B:$C,2,0),"")</f>
        <v>52000000</v>
      </c>
      <c r="G13" s="84" t="str">
        <f>IFERROR(VLOOKUP("Country",'Company 10'!$B:$C,2,0),"")</f>
        <v>Denmark</v>
      </c>
      <c r="H13" s="85">
        <f>IFERROR(VLOOKUP("B1_INTEREST",'Company 10'!$B:$E,4,0),"")</f>
        <v>7</v>
      </c>
      <c r="I13" s="85">
        <f>IFERROR(VLOOKUP("B2_SHARING",'Company 10'!$B:$E,4,0),"")</f>
        <v>1</v>
      </c>
      <c r="J13" s="85">
        <f>IFERROR(VLOOKUP("B3_MONETIZE",'Company 10'!$B:$E,4,0),"")</f>
        <v>0</v>
      </c>
      <c r="K13" s="85">
        <f>IFERROR(VLOOKUP("B4_STRATEGIC",'Company 10'!$B:$E,4,0),"")</f>
        <v>1</v>
      </c>
      <c r="L13" s="85">
        <f>IFERROR(VLOOKUP("M1_AUTOMATED",'Company 10'!$B:$E,4,0),"")</f>
        <v>2</v>
      </c>
      <c r="M13" s="85">
        <f>IFERROR(VLOOKUP("M2_REALTIME",'Company 10'!$B:$E,4,0),"")</f>
        <v>2</v>
      </c>
      <c r="N13" s="85">
        <f>IFERROR(VLOOKUP("M3_STRATEGIC",'Company 10'!$B:$E,4,0),"")</f>
        <v>5</v>
      </c>
      <c r="O13" s="85">
        <f>IFERROR(VLOOKUP("M4_BREADTH",'Company 10'!$B:$E,4,0),"")</f>
        <v>3</v>
      </c>
      <c r="P13" s="85">
        <f>IFERROR(VLOOKUP("M5_DATATYPES",'Company 10'!$B:$E,4,0),"")</f>
        <v>5</v>
      </c>
      <c r="Q13" s="85">
        <f>IFERROR(VLOOKUP("M6_TRUST",'Company 10'!$B:$E,4,0),"")</f>
        <v>3</v>
      </c>
      <c r="R13" s="85">
        <f>IFERROR(VLOOKUP("M7_BARRIERS",'Company 10'!$B:$E,4,0),"")</f>
        <v>4</v>
      </c>
      <c r="S13" s="85">
        <f>IFERROR(VLOOKUP("M8_IMPACT",'Company 10'!$B:$E,4,0),"")</f>
        <v>4</v>
      </c>
      <c r="T13" s="85">
        <f>IFERROR(VLOOKUP("M9_WILLINGNESS",'Company 10'!$B:$E,4,0),"")</f>
        <v>7</v>
      </c>
      <c r="U13" s="85">
        <f>IFERROR(VLOOKUP("SV1_PRICING",'Company 10'!$B:$E,4,0),"")</f>
        <v>1</v>
      </c>
      <c r="V13" s="85">
        <f>IFERROR(VLOOKUP("SV2_PROMOTIONS",'Company 10'!$B:$E,4,0),"")</f>
        <v>0</v>
      </c>
      <c r="W13" s="85">
        <f>IFERROR(VLOOKUP("SV3_SUPPLYCHAIN",'Company 10'!$B:$E,4,0),"")</f>
        <v>1</v>
      </c>
      <c r="X13" s="85">
        <f>IFERROR(VLOOKUP("SV4_CATEGORY",'Company 10'!$B:$E,4,0),"")</f>
        <v>1</v>
      </c>
      <c r="Y13" s="85">
        <f>IFERROR(VLOOKUP("SV5_DEMAND",'Company 10'!$B:$E,4,0),"")</f>
        <v>0</v>
      </c>
      <c r="Z13" s="85">
        <f>IFERROR(VLOOKUP("SV6_ACCOUNT",'Company 10'!$B:$E,4,0),"")</f>
        <v>0</v>
      </c>
      <c r="AA13" s="85">
        <f>IFERROR(VLOOKUP("SV7_OPS",'Company 10'!$B:$E,4,0),"")</f>
        <v>0</v>
      </c>
      <c r="AB13" s="85">
        <f>IFERROR(VLOOKUP("SC1_DATASENS",'Company 10'!$B:$E,4,0),"")</f>
        <v>1</v>
      </c>
      <c r="AC13" s="85">
        <f>IFERROR(VLOOKUP("SC2_COMPLIANCE",'Company 10'!$B:$E,4,0),"")</f>
        <v>1</v>
      </c>
      <c r="AD13" s="85">
        <f>IFERROR(VLOOKUP("SC3_TRUST",'Company 10'!$B:$E,4,0),"")</f>
        <v>0</v>
      </c>
      <c r="AE13" s="85">
        <f>IFERROR(VLOOKUP("SC4_DATAPROC",'Company 10'!$B:$E,4,0),"")</f>
        <v>1</v>
      </c>
      <c r="AF13" s="85">
        <f>IFERROR(VLOOKUP("SF1_REALTIME",'Company 10'!$B:$E,4,0),"")</f>
        <v>1</v>
      </c>
      <c r="AG13" s="85">
        <f>IFERROR(VLOOKUP("SF2_ACCESS",'Company 10'!$B:$E,4,0),"")</f>
        <v>0</v>
      </c>
      <c r="AH13" s="85">
        <f>IFERROR(VLOOKUP("SF3_UX",'Company 10'!$B:$E,4,0),"")</f>
        <v>1</v>
      </c>
      <c r="AI13" s="85">
        <f>IFERROR(VLOOKUP("SF4_DECISION",'Company 10'!$B:$E,4,0),"")</f>
        <v>0</v>
      </c>
      <c r="AJ13" s="85">
        <f>IFERROR(VLOOKUP("SF5_MASKING",'Company 10'!$B:$E,4,0),"")</f>
        <v>0</v>
      </c>
      <c r="AK13" s="85">
        <f>IFERROR(VLOOKUP("SD1_TRENDS",'Company 10'!$B:$E,4,0),"")</f>
        <v>1</v>
      </c>
      <c r="AL13" s="85">
        <f>IFERROR(VLOOKUP("SD2_MARKET",'Company 10'!$B:$E,4,0),"")</f>
        <v>1</v>
      </c>
      <c r="AM13" s="85">
        <f>IFERROR(VLOOKUP("SD3_CATEGORY",'Company 10'!$B:$E,4,0),"")</f>
        <v>1</v>
      </c>
      <c r="AN13" s="85">
        <f>IFERROR(VLOOKUP("SD4_SHIPMENT",'Company 10'!$B:$E,4,0),"")</f>
        <v>0</v>
      </c>
      <c r="AO13" s="85">
        <f>IFERROR(VLOOKUP("SD5_LEAD",'Company 10'!$B:$E,4,0),"")</f>
        <v>0</v>
      </c>
      <c r="AP13" s="85">
        <f>IFERROR(VLOOKUP("SD6_CONJOINT",'Company 10'!$B:$E,4,0),"")</f>
        <v>0</v>
      </c>
    </row>
    <row r="14" spans="2:42" ht="20.100000000000001" customHeight="1">
      <c r="B14" s="83" t="s">
        <v>177</v>
      </c>
      <c r="C14" s="84" t="str">
        <f>IFERROR(VLOOKUP("Interviewee Position",'Company 11'!$B:$C,2,0),"")</f>
        <v>Marketing Strategic Role</v>
      </c>
      <c r="D14" s="84" t="str">
        <f>IFERROR(VLOOKUP("Company Industry",'Company 11'!$B:$C,2,0),"")</f>
        <v>Pharmacy/Healthcare Retail</v>
      </c>
      <c r="E14" s="84" t="str">
        <f>IFERROR(VLOOKUP("Company Sub-Industry",'Company 11'!$B:$C,2,0),"")</f>
        <v>Specialty Retail</v>
      </c>
      <c r="F14" s="3">
        <f>IFERROR(VLOOKUP("Company Size (Turnover)",'Company 11'!$B:$C,2,0),"")</f>
        <v>140000000</v>
      </c>
      <c r="G14" s="84" t="str">
        <f>IFERROR(VLOOKUP("Country",'Company 11'!$B:$C,2,0),"")</f>
        <v xml:space="preserve">Belgium </v>
      </c>
      <c r="H14" s="85">
        <f>IFERROR(VLOOKUP("B1_INTEREST",'Company 11'!$B:$E,4,0),"")</f>
        <v>9</v>
      </c>
      <c r="I14" s="85">
        <f>IFERROR(VLOOKUP("B2_SHARING",'Company 11'!$B:$E,4,0),"")</f>
        <v>1</v>
      </c>
      <c r="J14" s="85">
        <f>IFERROR(VLOOKUP("B3_MONETIZE",'Company 11'!$B:$E,4,0),"")</f>
        <v>0</v>
      </c>
      <c r="K14" s="85">
        <f>IFERROR(VLOOKUP("B4_STRATEGIC",'Company 11'!$B:$E,4,0),"")</f>
        <v>0</v>
      </c>
      <c r="L14" s="85">
        <f>IFERROR(VLOOKUP("M1_AUTOMATED",'Company 11'!$B:$E,4,0),"")</f>
        <v>1</v>
      </c>
      <c r="M14" s="85">
        <f>IFERROR(VLOOKUP("M2_REALTIME",'Company 11'!$B:$E,4,0),"")</f>
        <v>1</v>
      </c>
      <c r="N14" s="85">
        <f>IFERROR(VLOOKUP("M3_STRATEGIC",'Company 11'!$B:$E,4,0),"")</f>
        <v>2</v>
      </c>
      <c r="O14" s="85">
        <f>IFERROR(VLOOKUP("M4_BREADTH",'Company 11'!$B:$E,4,0),"")</f>
        <v>2</v>
      </c>
      <c r="P14" s="85">
        <f>IFERROR(VLOOKUP("M5_DATATYPES",'Company 11'!$B:$E,4,0),"")</f>
        <v>2</v>
      </c>
      <c r="Q14" s="85">
        <f>IFERROR(VLOOKUP("M6_TRUST",'Company 11'!$B:$E,4,0),"")</f>
        <v>0</v>
      </c>
      <c r="R14" s="85">
        <f>IFERROR(VLOOKUP("M7_BARRIERS",'Company 11'!$B:$E,4,0),"")</f>
        <v>2</v>
      </c>
      <c r="S14" s="85">
        <f>IFERROR(VLOOKUP("M8_IMPACT",'Company 11'!$B:$E,4,0),"")</f>
        <v>0</v>
      </c>
      <c r="T14" s="85">
        <f>IFERROR(VLOOKUP("M9_WILLINGNESS",'Company 11'!$B:$E,4,0),"")</f>
        <v>9</v>
      </c>
      <c r="U14" s="85">
        <f>IFERROR(VLOOKUP("SV1_PRICING",'Company 11'!$B:$E,4,0),"")</f>
        <v>1</v>
      </c>
      <c r="V14" s="85">
        <f>IFERROR(VLOOKUP("SV2_PROMOTIONS",'Company 11'!$B:$E,4,0),"")</f>
        <v>1</v>
      </c>
      <c r="W14" s="85">
        <f>IFERROR(VLOOKUP("SV3_SUPPLYCHAIN",'Company 11'!$B:$E,4,0),"")</f>
        <v>1</v>
      </c>
      <c r="X14" s="85">
        <f>IFERROR(VLOOKUP("SV4_CATEGORY",'Company 11'!$B:$E,4,0),"")</f>
        <v>1</v>
      </c>
      <c r="Y14" s="85">
        <f>IFERROR(VLOOKUP("SV5_DEMAND",'Company 11'!$B:$E,4,0),"")</f>
        <v>0</v>
      </c>
      <c r="Z14" s="85">
        <f>IFERROR(VLOOKUP("SV6_ACCOUNT",'Company 11'!$B:$E,4,0),"")</f>
        <v>0</v>
      </c>
      <c r="AA14" s="85">
        <f>IFERROR(VLOOKUP("SV7_OPS",'Company 11'!$B:$E,4,0),"")</f>
        <v>0</v>
      </c>
      <c r="AB14" s="85">
        <f>IFERROR(VLOOKUP("SC1_DATASENS",'Company 11'!$B:$E,4,0),"")</f>
        <v>1</v>
      </c>
      <c r="AC14" s="85">
        <f>IFERROR(VLOOKUP("SC2_COMPLIANCE",'Company 11'!$B:$E,4,0),"")</f>
        <v>0</v>
      </c>
      <c r="AD14" s="85">
        <f>IFERROR(VLOOKUP("SC3_TRUST",'Company 11'!$B:$E,4,0),"")</f>
        <v>0</v>
      </c>
      <c r="AE14" s="85">
        <f>IFERROR(VLOOKUP("SC4_DATAPROC",'Company 11'!$B:$E,4,0),"")</f>
        <v>1</v>
      </c>
      <c r="AF14" s="85">
        <f>IFERROR(VLOOKUP("SF1_REALTIME",'Company 11'!$B:$E,4,0),"")</f>
        <v>0</v>
      </c>
      <c r="AG14" s="85">
        <f>IFERROR(VLOOKUP("SF2_ACCESS",'Company 11'!$B:$E,4,0),"")</f>
        <v>0</v>
      </c>
      <c r="AH14" s="85">
        <f>IFERROR(VLOOKUP("SF3_UX",'Company 11'!$B:$E,4,0),"")</f>
        <v>1</v>
      </c>
      <c r="AI14" s="85">
        <f>IFERROR(VLOOKUP("SF4_DECISION",'Company 11'!$B:$E,4,0),"")</f>
        <v>0</v>
      </c>
      <c r="AJ14" s="85">
        <f>IFERROR(VLOOKUP("SF5_MASKING",'Company 11'!$B:$E,4,0),"")</f>
        <v>0</v>
      </c>
      <c r="AK14" s="85">
        <f>IFERROR(VLOOKUP("SD1_TRENDS",'Company 11'!$B:$E,4,0),"")</f>
        <v>1</v>
      </c>
      <c r="AL14" s="85">
        <f>IFERROR(VLOOKUP("SD2_MARKET",'Company 11'!$B:$E,4,0),"")</f>
        <v>1</v>
      </c>
      <c r="AM14" s="85">
        <f>IFERROR(VLOOKUP("SD3_CATEGORY",'Company 11'!$B:$E,4,0),"")</f>
        <v>1</v>
      </c>
      <c r="AN14" s="85">
        <f>IFERROR(VLOOKUP("SD4_SHIPMENT",'Company 11'!$B:$E,4,0),"")</f>
        <v>0</v>
      </c>
      <c r="AO14" s="85">
        <f>IFERROR(VLOOKUP("SD5_LEAD",'Company 11'!$B:$E,4,0),"")</f>
        <v>0</v>
      </c>
      <c r="AP14" s="85">
        <f>IFERROR(VLOOKUP("SD6_CONJOINT",'Company 11'!$B:$E,4,0),"")</f>
        <v>0</v>
      </c>
    </row>
    <row r="15" spans="2:42" ht="20.100000000000001" customHeight="1">
      <c r="B15" s="83" t="s">
        <v>178</v>
      </c>
      <c r="C15" s="84" t="str">
        <f>IFERROR(VLOOKUP("Interviewee Position",'Company 12'!$B:$C,2,0),"")</f>
        <v>Marketing / Commercial Director</v>
      </c>
      <c r="D15" s="84" t="str">
        <f>IFERROR(VLOOKUP("Company Industry",'Company 12'!$B:$C,2,0),"")</f>
        <v>Grocery Retail</v>
      </c>
      <c r="E15" s="84" t="str">
        <f>IFERROR(VLOOKUP("Company Sub-Industry",'Company 12'!$B:$C,2,0),"")</f>
        <v>Retailer</v>
      </c>
      <c r="F15" s="3">
        <f>IFERROR(VLOOKUP("Company Size (Turnover)",'Company 12'!$B:$C,2,0),"")</f>
        <v>3240000000</v>
      </c>
      <c r="G15" s="84" t="str">
        <f>IFERROR(VLOOKUP("Country",'Company 12'!$B:$C,2,0),"")</f>
        <v>Germany</v>
      </c>
      <c r="H15" s="85">
        <f>IFERROR(VLOOKUP("B1_INTEREST",'Company 12'!$B:$E,4,0),"")</f>
        <v>3</v>
      </c>
      <c r="I15" s="85">
        <f>IFERROR(VLOOKUP("B2_SHARING",'Company 12'!$B:$E,4,0),"")</f>
        <v>1</v>
      </c>
      <c r="J15" s="85">
        <f>IFERROR(VLOOKUP("B3_MONETIZE",'Company 12'!$B:$E,4,0),"")</f>
        <v>0</v>
      </c>
      <c r="K15" s="85">
        <f>IFERROR(VLOOKUP("B4_STRATEGIC",'Company 12'!$B:$E,4,0),"")</f>
        <v>1</v>
      </c>
      <c r="L15" s="85">
        <f>IFERROR(VLOOKUP("M1_AUTOMATED",'Company 12'!$B:$E,4,0),"")</f>
        <v>0</v>
      </c>
      <c r="M15" s="85">
        <f>IFERROR(VLOOKUP("M2_REALTIME",'Company 12'!$B:$E,4,0),"")</f>
        <v>0</v>
      </c>
      <c r="N15" s="85">
        <f>IFERROR(VLOOKUP("M3_STRATEGIC",'Company 12'!$B:$E,4,0),"")</f>
        <v>2</v>
      </c>
      <c r="O15" s="85">
        <f>IFERROR(VLOOKUP("M4_BREADTH",'Company 12'!$B:$E,4,0),"")</f>
        <v>1</v>
      </c>
      <c r="P15" s="85">
        <f>IFERROR(VLOOKUP("M5_DATATYPES",'Company 12'!$B:$E,4,0),"")</f>
        <v>2</v>
      </c>
      <c r="Q15" s="85">
        <f>IFERROR(VLOOKUP("M6_TRUST",'Company 12'!$B:$E,4,0),"")</f>
        <v>0</v>
      </c>
      <c r="R15" s="85">
        <f>IFERROR(VLOOKUP("M7_BARRIERS",'Company 12'!$B:$E,4,0),"")</f>
        <v>4</v>
      </c>
      <c r="S15" s="85">
        <f>IFERROR(VLOOKUP("M8_IMPACT",'Company 12'!$B:$E,4,0),"")</f>
        <v>4</v>
      </c>
      <c r="T15" s="85">
        <f>IFERROR(VLOOKUP("M9_WILLINGNESS",'Company 12'!$B:$E,4,0),"")</f>
        <v>3</v>
      </c>
      <c r="U15" s="85">
        <f>IFERROR(VLOOKUP("SV1_PRICING",'Company 12'!$B:$E,4,0),"")</f>
        <v>0</v>
      </c>
      <c r="V15" s="85">
        <f>IFERROR(VLOOKUP("SV2_PROMOTIONS",'Company 12'!$B:$E,4,0),"")</f>
        <v>1</v>
      </c>
      <c r="W15" s="85">
        <f>IFERROR(VLOOKUP("SV3_SUPPLYCHAIN",'Company 12'!$B:$E,4,0),"")</f>
        <v>1</v>
      </c>
      <c r="X15" s="85">
        <f>IFERROR(VLOOKUP("SV4_CATEGORY",'Company 12'!$B:$E,4,0),"")</f>
        <v>0</v>
      </c>
      <c r="Y15" s="85">
        <f>IFERROR(VLOOKUP("SV5_DEMAND",'Company 12'!$B:$E,4,0),"")</f>
        <v>1</v>
      </c>
      <c r="Z15" s="85">
        <f>IFERROR(VLOOKUP("SV6_ACCOUNT",'Company 12'!$B:$E,4,0),"")</f>
        <v>0</v>
      </c>
      <c r="AA15" s="85">
        <f>IFERROR(VLOOKUP("SV7_OPS",'Company 12'!$B:$E,4,0),"")</f>
        <v>0</v>
      </c>
      <c r="AB15" s="85">
        <f>IFERROR(VLOOKUP("SC1_DATASENS",'Company 12'!$B:$E,4,0),"")</f>
        <v>1</v>
      </c>
      <c r="AC15" s="85">
        <f>IFERROR(VLOOKUP("SC2_COMPLIANCE",'Company 12'!$B:$E,4,0),"")</f>
        <v>1</v>
      </c>
      <c r="AD15" s="85">
        <f>IFERROR(VLOOKUP("SC3_TRUST",'Company 12'!$B:$E,4,0),"")</f>
        <v>0</v>
      </c>
      <c r="AE15" s="85">
        <f>IFERROR(VLOOKUP("SC4_DATAPROC",'Company 12'!$B:$E,4,0),"")</f>
        <v>0</v>
      </c>
      <c r="AF15" s="85">
        <f>IFERROR(VLOOKUP("SF1_REALTIME",'Company 12'!$B:$E,4,0),"")</f>
        <v>0</v>
      </c>
      <c r="AG15" s="85">
        <f>IFERROR(VLOOKUP("SF2_ACCESS",'Company 12'!$B:$E,4,0),"")</f>
        <v>0</v>
      </c>
      <c r="AH15" s="85">
        <f>IFERROR(VLOOKUP("SF3_UX",'Company 12'!$B:$E,4,0),"")</f>
        <v>0</v>
      </c>
      <c r="AI15" s="85">
        <f>IFERROR(VLOOKUP("SF4_DECISION",'Company 12'!$B:$E,4,0),"")</f>
        <v>0</v>
      </c>
      <c r="AJ15" s="85">
        <f>IFERROR(VLOOKUP("SF5_MASKING",'Company 12'!$B:$E,4,0),"")</f>
        <v>1</v>
      </c>
      <c r="AK15" s="85">
        <f>IFERROR(VLOOKUP("SD1_TRENDS",'Company 12'!$B:$E,4,0),"")</f>
        <v>1</v>
      </c>
      <c r="AL15" s="85">
        <f>IFERROR(VLOOKUP("SD2_MARKET",'Company 12'!$B:$E,4,0),"")</f>
        <v>1</v>
      </c>
      <c r="AM15" s="85">
        <f>IFERROR(VLOOKUP("SD3_CATEGORY",'Company 12'!$B:$E,4,0),"")</f>
        <v>0</v>
      </c>
      <c r="AN15" s="85">
        <f>IFERROR(VLOOKUP("SD4_SHIPMENT",'Company 12'!$B:$E,4,0),"")</f>
        <v>1</v>
      </c>
      <c r="AO15" s="85">
        <f>IFERROR(VLOOKUP("SD5_LEAD",'Company 12'!$B:$E,4,0),"")</f>
        <v>0</v>
      </c>
      <c r="AP15" s="85">
        <f>IFERROR(VLOOKUP("SD6_CONJOINT",'Company 12'!$B:$E,4,0),"")</f>
        <v>0</v>
      </c>
    </row>
    <row r="16" spans="2:42" ht="20.100000000000001" customHeight="1">
      <c r="B16" s="83" t="s">
        <v>179</v>
      </c>
      <c r="C16" s="84" t="str">
        <f>IFERROR(VLOOKUP("Interviewee Position",'Company 13'!$B:$C,2,0),"")</f>
        <v>Data Lead / Head of IT &amp; ERP</v>
      </c>
      <c r="D16" s="84" t="str">
        <f>IFERROR(VLOOKUP("Company Industry",'Company 13'!$B:$C,2,0),"")</f>
        <v>Pet Food Manufacturing</v>
      </c>
      <c r="E16" s="84" t="str">
        <f>IFERROR(VLOOKUP("Company Sub-Industry",'Company 13'!$B:$C,2,0),"")</f>
        <v>Manufacturer</v>
      </c>
      <c r="F16" s="3">
        <f>IFERROR(VLOOKUP("Company Size (Turnover)",'Company 13'!$B:$C,2,0),"")</f>
        <v>140000000</v>
      </c>
      <c r="G16" s="84" t="str">
        <f>IFERROR(VLOOKUP("Country",'Company 13'!$B:$C,2,0),"")</f>
        <v>Belgium</v>
      </c>
      <c r="H16" s="85">
        <f>IFERROR(VLOOKUP("B1_INTEREST",'Company 13'!$B:$E,4,0),"")</f>
        <v>9</v>
      </c>
      <c r="I16" s="85">
        <f>IFERROR(VLOOKUP("B2_SHARING",'Company 13'!$B:$E,4,0),"")</f>
        <v>1</v>
      </c>
      <c r="J16" s="85">
        <f>IFERROR(VLOOKUP("B3_MONETIZE",'Company 13'!$B:$E,4,0),"")</f>
        <v>0</v>
      </c>
      <c r="K16" s="85">
        <f>IFERROR(VLOOKUP("B4_STRATEGIC",'Company 13'!$B:$E,4,0),"")</f>
        <v>0</v>
      </c>
      <c r="L16" s="85">
        <f>IFERROR(VLOOKUP("M1_AUTOMATED",'Company 13'!$B:$E,4,0),"")</f>
        <v>3</v>
      </c>
      <c r="M16" s="85">
        <f>IFERROR(VLOOKUP("M2_REALTIME",'Company 13'!$B:$E,4,0),"")</f>
        <v>3</v>
      </c>
      <c r="N16" s="85">
        <f>IFERROR(VLOOKUP("M3_STRATEGIC",'Company 13'!$B:$E,4,0),"")</f>
        <v>4</v>
      </c>
      <c r="O16" s="85">
        <f>IFERROR(VLOOKUP("M4_BREADTH",'Company 13'!$B:$E,4,0),"")</f>
        <v>3</v>
      </c>
      <c r="P16" s="85">
        <f>IFERROR(VLOOKUP("M5_DATATYPES",'Company 13'!$B:$E,4,0),"")</f>
        <v>4</v>
      </c>
      <c r="Q16" s="85">
        <f>IFERROR(VLOOKUP("M6_TRUST",'Company 13'!$B:$E,4,0),"")</f>
        <v>2</v>
      </c>
      <c r="R16" s="85">
        <f>IFERROR(VLOOKUP("M7_BARRIERS",'Company 13'!$B:$E,4,0),"")</f>
        <v>3</v>
      </c>
      <c r="S16" s="85">
        <f>IFERROR(VLOOKUP("M8_IMPACT",'Company 13'!$B:$E,4,0),"")</f>
        <v>3</v>
      </c>
      <c r="T16" s="85">
        <f>IFERROR(VLOOKUP("M9_WILLINGNESS",'Company 13'!$B:$E,4,0),"")</f>
        <v>9</v>
      </c>
      <c r="U16" s="85">
        <f>IFERROR(VLOOKUP("SV1_PRICING",'Company 13'!$B:$E,4,0),"")</f>
        <v>0</v>
      </c>
      <c r="V16" s="85">
        <f>IFERROR(VLOOKUP("SV2_PROMOTIONS",'Company 13'!$B:$E,4,0),"")</f>
        <v>1</v>
      </c>
      <c r="W16" s="85">
        <f>IFERROR(VLOOKUP("SV3_SUPPLYCHAIN",'Company 13'!$B:$E,4,0),"")</f>
        <v>1</v>
      </c>
      <c r="X16" s="85">
        <f>IFERROR(VLOOKUP("SV4_CATEGORY",'Company 13'!$B:$E,4,0),"")</f>
        <v>1</v>
      </c>
      <c r="Y16" s="85">
        <f>IFERROR(VLOOKUP("SV5_DEMAND",'Company 13'!$B:$E,4,0),"")</f>
        <v>0</v>
      </c>
      <c r="Z16" s="85">
        <f>IFERROR(VLOOKUP("SV6_ACCOUNT",'Company 13'!$B:$E,4,0),"")</f>
        <v>0</v>
      </c>
      <c r="AA16" s="85">
        <f>IFERROR(VLOOKUP("SV7_OPS",'Company 13'!$B:$E,4,0),"")</f>
        <v>1</v>
      </c>
      <c r="AB16" s="85">
        <f>IFERROR(VLOOKUP("SC1_DATASENS",'Company 13'!$B:$E,4,0),"")</f>
        <v>1</v>
      </c>
      <c r="AC16" s="85">
        <f>IFERROR(VLOOKUP("SC2_COMPLIANCE",'Company 13'!$B:$E,4,0),"")</f>
        <v>1</v>
      </c>
      <c r="AD16" s="85">
        <f>IFERROR(VLOOKUP("SC3_TRUST",'Company 13'!$B:$E,4,0),"")</f>
        <v>1</v>
      </c>
      <c r="AE16" s="85">
        <f>IFERROR(VLOOKUP("SC4_DATAPROC",'Company 13'!$B:$E,4,0),"")</f>
        <v>1</v>
      </c>
      <c r="AF16" s="85">
        <f>IFERROR(VLOOKUP("SF1_REALTIME",'Company 13'!$B:$E,4,0),"")</f>
        <v>0</v>
      </c>
      <c r="AG16" s="85">
        <f>IFERROR(VLOOKUP("SF2_ACCESS",'Company 13'!$B:$E,4,0),"")</f>
        <v>1</v>
      </c>
      <c r="AH16" s="85">
        <f>IFERROR(VLOOKUP("SF3_UX",'Company 13'!$B:$E,4,0),"")</f>
        <v>0</v>
      </c>
      <c r="AI16" s="85">
        <f>IFERROR(VLOOKUP("SF4_DECISION",'Company 13'!$B:$E,4,0),"")</f>
        <v>1</v>
      </c>
      <c r="AJ16" s="85">
        <f>IFERROR(VLOOKUP("SF5_MASKING",'Company 13'!$B:$E,4,0),"")</f>
        <v>1</v>
      </c>
      <c r="AK16" s="85">
        <f>IFERROR(VLOOKUP("SD1_TRENDS",'Company 13'!$B:$E,4,0),"")</f>
        <v>1</v>
      </c>
      <c r="AL16" s="85">
        <f>IFERROR(VLOOKUP("SD2_MARKET",'Company 13'!$B:$E,4,0),"")</f>
        <v>1</v>
      </c>
      <c r="AM16" s="85">
        <f>IFERROR(VLOOKUP("SD3_CATEGORY",'Company 13'!$B:$E,4,0),"")</f>
        <v>1</v>
      </c>
      <c r="AN16" s="85">
        <f>IFERROR(VLOOKUP("SD4_SHIPMENT",'Company 13'!$B:$E,4,0),"")</f>
        <v>1</v>
      </c>
      <c r="AO16" s="85">
        <f>IFERROR(VLOOKUP("SD5_LEAD",'Company 13'!$B:$E,4,0),"")</f>
        <v>1</v>
      </c>
      <c r="AP16" s="85">
        <f>IFERROR(VLOOKUP("SD6_CONJOINT",'Company 13'!$B:$E,4,0),"")</f>
        <v>0</v>
      </c>
    </row>
    <row r="17" spans="2:42" ht="20.100000000000001" customHeight="1">
      <c r="B17" s="83" t="s">
        <v>180</v>
      </c>
      <c r="C17" s="84" t="str">
        <f>IFERROR(VLOOKUP("Interviewee Position",#REF!,2,0),"")</f>
        <v/>
      </c>
      <c r="D17" s="84" t="str">
        <f>IFERROR(VLOOKUP("Company Industry",#REF!,2,0),"")</f>
        <v/>
      </c>
      <c r="E17" s="84" t="str">
        <f>IFERROR(VLOOKUP("Company Sub-Industry",#REF!,2,0),"")</f>
        <v/>
      </c>
      <c r="F17" s="3" t="str">
        <f>IFERROR(VLOOKUP("Company Size (Turnover)",#REF!,2,0),"")</f>
        <v/>
      </c>
      <c r="G17" s="84" t="str">
        <f>IFERROR(VLOOKUP("Country",#REF!,2,0),"")</f>
        <v/>
      </c>
      <c r="H17" s="85" t="str">
        <f>IFERROR(VLOOKUP("B1_INTEREST",#REF!,4,0),"")</f>
        <v/>
      </c>
      <c r="I17" s="85" t="str">
        <f>IFERROR(VLOOKUP("B2_SHARING",#REF!,4,0),"")</f>
        <v/>
      </c>
      <c r="J17" s="85" t="str">
        <f>IFERROR(VLOOKUP("B3_MONETIZE",#REF!,4,0),"")</f>
        <v/>
      </c>
      <c r="K17" s="85" t="str">
        <f>IFERROR(VLOOKUP("B4_STRATEGIC",#REF!,4,0),"")</f>
        <v/>
      </c>
      <c r="L17" s="85" t="str">
        <f>IFERROR(VLOOKUP("M1_AUTOMATED",#REF!,4,0),"")</f>
        <v/>
      </c>
      <c r="M17" s="85" t="str">
        <f>IFERROR(VLOOKUP("M2_REALTIME",#REF!,4,0),"")</f>
        <v/>
      </c>
      <c r="N17" s="85" t="str">
        <f>IFERROR(VLOOKUP("M3_STRATEGIC",#REF!,4,0),"")</f>
        <v/>
      </c>
      <c r="O17" s="85" t="str">
        <f>IFERROR(VLOOKUP("M4_BREADTH",#REF!,4,0),"")</f>
        <v/>
      </c>
      <c r="P17" s="85" t="str">
        <f>IFERROR(VLOOKUP("M5_DATATYPES",#REF!,4,0),"")</f>
        <v/>
      </c>
      <c r="Q17" s="85" t="str">
        <f>IFERROR(VLOOKUP("M6_TRUST",#REF!,4,0),"")</f>
        <v/>
      </c>
      <c r="R17" s="85" t="str">
        <f>IFERROR(VLOOKUP("M7_BARRIERS",#REF!,4,0),"")</f>
        <v/>
      </c>
      <c r="S17" s="85" t="str">
        <f>IFERROR(VLOOKUP("M8_IMPACT",#REF!,4,0),"")</f>
        <v/>
      </c>
      <c r="T17" s="85" t="str">
        <f>IFERROR(VLOOKUP("M9_WILLINGNESS",#REF!,4,0),"")</f>
        <v/>
      </c>
      <c r="U17" s="85" t="str">
        <f>IFERROR(VLOOKUP("SV1_PRICING",#REF!,4,0),"")</f>
        <v/>
      </c>
      <c r="V17" s="85" t="str">
        <f>IFERROR(VLOOKUP("SV2_PROMOTIONS",#REF!,4,0),"")</f>
        <v/>
      </c>
      <c r="W17" s="85" t="str">
        <f>IFERROR(VLOOKUP("SV3_SUPPLYCHAIN",#REF!,4,0),"")</f>
        <v/>
      </c>
      <c r="X17" s="85" t="str">
        <f>IFERROR(VLOOKUP("SV4_CATEGORY",#REF!,4,0),"")</f>
        <v/>
      </c>
      <c r="Y17" s="85" t="str">
        <f>IFERROR(VLOOKUP("SV5_DEMAND",#REF!,4,0),"")</f>
        <v/>
      </c>
      <c r="Z17" s="85" t="str">
        <f>IFERROR(VLOOKUP("SV6_ACCOUNT",#REF!,4,0),"")</f>
        <v/>
      </c>
      <c r="AA17" s="85" t="str">
        <f>IFERROR(VLOOKUP("SV7_OPS",#REF!,4,0),"")</f>
        <v/>
      </c>
      <c r="AB17" s="85" t="str">
        <f>IFERROR(VLOOKUP("SC1_DATASENS",#REF!,4,0),"")</f>
        <v/>
      </c>
      <c r="AC17" s="85" t="str">
        <f>IFERROR(VLOOKUP("SC2_COMPLIANCE",#REF!,4,0),"")</f>
        <v/>
      </c>
      <c r="AD17" s="85" t="str">
        <f>IFERROR(VLOOKUP("SC3_TRUST",#REF!,4,0),"")</f>
        <v/>
      </c>
      <c r="AE17" s="85" t="str">
        <f>IFERROR(VLOOKUP("SC4_DATAPROC",#REF!,4,0),"")</f>
        <v/>
      </c>
      <c r="AF17" s="85" t="str">
        <f>IFERROR(VLOOKUP("SF1_REALTIME",#REF!,4,0),"")</f>
        <v/>
      </c>
      <c r="AG17" s="85" t="str">
        <f>IFERROR(VLOOKUP("SF2_ACCESS",#REF!,4,0),"")</f>
        <v/>
      </c>
      <c r="AH17" s="85" t="str">
        <f>IFERROR(VLOOKUP("SF3_UX",#REF!,4,0),"")</f>
        <v/>
      </c>
      <c r="AI17" s="85" t="str">
        <f>IFERROR(VLOOKUP("SF4_DECISION",#REF!,4,0),"")</f>
        <v/>
      </c>
      <c r="AJ17" s="85" t="str">
        <f>IFERROR(VLOOKUP("SF5_MASKING",#REF!,4,0),"")</f>
        <v/>
      </c>
      <c r="AK17" s="85" t="str">
        <f>IFERROR(VLOOKUP("SD1_TRENDS",#REF!,4,0),"")</f>
        <v/>
      </c>
      <c r="AL17" s="85" t="str">
        <f>IFERROR(VLOOKUP("SD2_MARKET",#REF!,4,0),"")</f>
        <v/>
      </c>
      <c r="AM17" s="85" t="str">
        <f>IFERROR(VLOOKUP("SD3_CATEGORY",#REF!,4,0),"")</f>
        <v/>
      </c>
      <c r="AN17" s="85" t="str">
        <f>IFERROR(VLOOKUP("SD4_SHIPMENT",#REF!,4,0),"")</f>
        <v/>
      </c>
      <c r="AO17" s="85" t="str">
        <f>IFERROR(VLOOKUP("SD5_LEAD",#REF!,4,0),"")</f>
        <v/>
      </c>
      <c r="AP17" s="85" t="str">
        <f>IFERROR(VLOOKUP("SD6_CONJOINT",#REF!,4,0),"")</f>
        <v/>
      </c>
    </row>
    <row r="18" spans="2:42" ht="20.100000000000001" customHeight="1">
      <c r="B18" s="83" t="s">
        <v>181</v>
      </c>
      <c r="C18" s="84" t="str">
        <f>IFERROR(VLOOKUP("Interviewee Position",#REF!,2,0),"")</f>
        <v/>
      </c>
      <c r="D18" s="84" t="str">
        <f>IFERROR(VLOOKUP("Company Industry",#REF!,2,0),"")</f>
        <v/>
      </c>
      <c r="E18" s="84" t="str">
        <f>IFERROR(VLOOKUP("Company Sub-Industry",#REF!,2,0),"")</f>
        <v/>
      </c>
      <c r="F18" s="3" t="str">
        <f>IFERROR(VLOOKUP("Company Size (Turnover)",#REF!,2,0),"")</f>
        <v/>
      </c>
      <c r="G18" s="84" t="str">
        <f>IFERROR(VLOOKUP("Country",#REF!,2,0),"")</f>
        <v/>
      </c>
      <c r="H18" s="85" t="str">
        <f>IFERROR(VLOOKUP("B1_INTEREST",#REF!,4,0),"")</f>
        <v/>
      </c>
      <c r="I18" s="85" t="str">
        <f>IFERROR(VLOOKUP("B2_SHARING",#REF!,4,0),"")</f>
        <v/>
      </c>
      <c r="J18" s="85" t="str">
        <f>IFERROR(VLOOKUP("B3_MONETIZE",#REF!,4,0),"")</f>
        <v/>
      </c>
      <c r="K18" s="85" t="str">
        <f>IFERROR(VLOOKUP("B4_STRATEGIC",#REF!,4,0),"")</f>
        <v/>
      </c>
      <c r="L18" s="85" t="str">
        <f>IFERROR(VLOOKUP("M1_AUTOMATED",#REF!,4,0),"")</f>
        <v/>
      </c>
      <c r="M18" s="85" t="str">
        <f>IFERROR(VLOOKUP("M2_REALTIME",#REF!,4,0),"")</f>
        <v/>
      </c>
      <c r="N18" s="85" t="str">
        <f>IFERROR(VLOOKUP("M3_STRATEGIC",#REF!,4,0),"")</f>
        <v/>
      </c>
      <c r="O18" s="85" t="str">
        <f>IFERROR(VLOOKUP("M4_BREADTH",#REF!,4,0),"")</f>
        <v/>
      </c>
      <c r="P18" s="85" t="str">
        <f>IFERROR(VLOOKUP("M5_DATATYPES",#REF!,4,0),"")</f>
        <v/>
      </c>
      <c r="Q18" s="85" t="str">
        <f>IFERROR(VLOOKUP("M6_TRUST",#REF!,4,0),"")</f>
        <v/>
      </c>
      <c r="R18" s="85" t="str">
        <f>IFERROR(VLOOKUP("M7_BARRIERS",#REF!,4,0),"")</f>
        <v/>
      </c>
      <c r="S18" s="85" t="str">
        <f>IFERROR(VLOOKUP("M8_IMPACT",#REF!,4,0),"")</f>
        <v/>
      </c>
      <c r="T18" s="85" t="str">
        <f>IFERROR(VLOOKUP("M9_WILLINGNESS",#REF!,4,0),"")</f>
        <v/>
      </c>
      <c r="U18" s="85" t="str">
        <f>IFERROR(VLOOKUP("SV1_PRICING",#REF!,4,0),"")</f>
        <v/>
      </c>
      <c r="V18" s="85" t="str">
        <f>IFERROR(VLOOKUP("SV2_PROMOTIONS",#REF!,4,0),"")</f>
        <v/>
      </c>
      <c r="W18" s="85" t="str">
        <f>IFERROR(VLOOKUP("SV3_SUPPLYCHAIN",#REF!,4,0),"")</f>
        <v/>
      </c>
      <c r="X18" s="85" t="str">
        <f>IFERROR(VLOOKUP("SV4_CATEGORY",#REF!,4,0),"")</f>
        <v/>
      </c>
      <c r="Y18" s="85" t="str">
        <f>IFERROR(VLOOKUP("SV5_DEMAND",#REF!,4,0),"")</f>
        <v/>
      </c>
      <c r="Z18" s="85" t="str">
        <f>IFERROR(VLOOKUP("SV6_ACCOUNT",#REF!,4,0),"")</f>
        <v/>
      </c>
      <c r="AA18" s="85" t="str">
        <f>IFERROR(VLOOKUP("SV7_OPS",#REF!,4,0),"")</f>
        <v/>
      </c>
      <c r="AB18" s="85" t="str">
        <f>IFERROR(VLOOKUP("SC1_DATASENS",#REF!,4,0),"")</f>
        <v/>
      </c>
      <c r="AC18" s="85" t="str">
        <f>IFERROR(VLOOKUP("SC2_COMPLIANCE",#REF!,4,0),"")</f>
        <v/>
      </c>
      <c r="AD18" s="85" t="str">
        <f>IFERROR(VLOOKUP("SC3_TRUST",#REF!,4,0),"")</f>
        <v/>
      </c>
      <c r="AE18" s="85" t="str">
        <f>IFERROR(VLOOKUP("SC4_DATAPROC",#REF!,4,0),"")</f>
        <v/>
      </c>
      <c r="AF18" s="85" t="str">
        <f>IFERROR(VLOOKUP("SF1_REALTIME",#REF!,4,0),"")</f>
        <v/>
      </c>
      <c r="AG18" s="85" t="str">
        <f>IFERROR(VLOOKUP("SF2_ACCESS",#REF!,4,0),"")</f>
        <v/>
      </c>
      <c r="AH18" s="85" t="str">
        <f>IFERROR(VLOOKUP("SF3_UX",#REF!,4,0),"")</f>
        <v/>
      </c>
      <c r="AI18" s="85" t="str">
        <f>IFERROR(VLOOKUP("SF4_DECISION",#REF!,4,0),"")</f>
        <v/>
      </c>
      <c r="AJ18" s="85" t="str">
        <f>IFERROR(VLOOKUP("SF5_MASKING",#REF!,4,0),"")</f>
        <v/>
      </c>
      <c r="AK18" s="85" t="str">
        <f>IFERROR(VLOOKUP("SD1_TRENDS",#REF!,4,0),"")</f>
        <v/>
      </c>
      <c r="AL18" s="85" t="str">
        <f>IFERROR(VLOOKUP("SD2_MARKET",#REF!,4,0),"")</f>
        <v/>
      </c>
      <c r="AM18" s="85" t="str">
        <f>IFERROR(VLOOKUP("SD3_CATEGORY",#REF!,4,0),"")</f>
        <v/>
      </c>
      <c r="AN18" s="85" t="str">
        <f>IFERROR(VLOOKUP("SD4_SHIPMENT",#REF!,4,0),"")</f>
        <v/>
      </c>
      <c r="AO18" s="85" t="str">
        <f>IFERROR(VLOOKUP("SD5_LEAD",#REF!,4,0),"")</f>
        <v/>
      </c>
      <c r="AP18" s="85" t="str">
        <f>IFERROR(VLOOKUP("SD6_CONJOINT",#REF!,4,0),"")</f>
        <v/>
      </c>
    </row>
    <row r="19" spans="2:42" ht="20.100000000000001" customHeight="1">
      <c r="B19" s="83" t="s">
        <v>182</v>
      </c>
      <c r="C19" s="84" t="str">
        <f>IFERROR(VLOOKUP("Interviewee Position",#REF!,2,0),"")</f>
        <v/>
      </c>
      <c r="D19" s="84" t="str">
        <f>IFERROR(VLOOKUP("Company Industry",#REF!,2,0),"")</f>
        <v/>
      </c>
      <c r="E19" s="84" t="str">
        <f>IFERROR(VLOOKUP("Company Sub-Industry",#REF!,2,0),"")</f>
        <v/>
      </c>
      <c r="F19" s="3" t="str">
        <f>IFERROR(VLOOKUP("Company Size (Turnover)",#REF!,2,0),"")</f>
        <v/>
      </c>
      <c r="G19" s="84" t="str">
        <f>IFERROR(VLOOKUP("Country",#REF!,2,0),"")</f>
        <v/>
      </c>
      <c r="H19" s="85" t="str">
        <f>IFERROR(VLOOKUP("B1_INTEREST",#REF!,4,0),"")</f>
        <v/>
      </c>
      <c r="I19" s="85" t="str">
        <f>IFERROR(VLOOKUP("B2_SHARING",#REF!,4,0),"")</f>
        <v/>
      </c>
      <c r="J19" s="85" t="str">
        <f>IFERROR(VLOOKUP("B3_MONETIZE",#REF!,4,0),"")</f>
        <v/>
      </c>
      <c r="K19" s="85" t="str">
        <f>IFERROR(VLOOKUP("B4_STRATEGIC",#REF!,4,0),"")</f>
        <v/>
      </c>
      <c r="L19" s="85" t="str">
        <f>IFERROR(VLOOKUP("M1_AUTOMATED",#REF!,4,0),"")</f>
        <v/>
      </c>
      <c r="M19" s="85" t="str">
        <f>IFERROR(VLOOKUP("M2_REALTIME",#REF!,4,0),"")</f>
        <v/>
      </c>
      <c r="N19" s="85" t="str">
        <f>IFERROR(VLOOKUP("M3_STRATEGIC",#REF!,4,0),"")</f>
        <v/>
      </c>
      <c r="O19" s="85" t="str">
        <f>IFERROR(VLOOKUP("M4_BREADTH",#REF!,4,0),"")</f>
        <v/>
      </c>
      <c r="P19" s="85" t="str">
        <f>IFERROR(VLOOKUP("M5_DATATYPES",#REF!,4,0),"")</f>
        <v/>
      </c>
      <c r="Q19" s="85" t="str">
        <f>IFERROR(VLOOKUP("M6_TRUST",#REF!,4,0),"")</f>
        <v/>
      </c>
      <c r="R19" s="85" t="str">
        <f>IFERROR(VLOOKUP("M7_BARRIERS",#REF!,4,0),"")</f>
        <v/>
      </c>
      <c r="S19" s="85" t="str">
        <f>IFERROR(VLOOKUP("M8_IMPACT",#REF!,4,0),"")</f>
        <v/>
      </c>
      <c r="T19" s="85" t="str">
        <f>IFERROR(VLOOKUP("M9_WILLINGNESS",#REF!,4,0),"")</f>
        <v/>
      </c>
      <c r="U19" s="85" t="str">
        <f>IFERROR(VLOOKUP("SV1_PRICING",#REF!,4,0),"")</f>
        <v/>
      </c>
      <c r="V19" s="85" t="str">
        <f>IFERROR(VLOOKUP("SV2_PROMOTIONS",#REF!,4,0),"")</f>
        <v/>
      </c>
      <c r="W19" s="85" t="str">
        <f>IFERROR(VLOOKUP("SV3_SUPPLYCHAIN",#REF!,4,0),"")</f>
        <v/>
      </c>
      <c r="X19" s="85" t="str">
        <f>IFERROR(VLOOKUP("SV4_CATEGORY",#REF!,4,0),"")</f>
        <v/>
      </c>
      <c r="Y19" s="85" t="str">
        <f>IFERROR(VLOOKUP("SV5_DEMAND",#REF!,4,0),"")</f>
        <v/>
      </c>
      <c r="Z19" s="85" t="str">
        <f>IFERROR(VLOOKUP("SV6_ACCOUNT",#REF!,4,0),"")</f>
        <v/>
      </c>
      <c r="AA19" s="85" t="str">
        <f>IFERROR(VLOOKUP("SV7_OPS",#REF!,4,0),"")</f>
        <v/>
      </c>
      <c r="AB19" s="85" t="str">
        <f>IFERROR(VLOOKUP("SC1_DATASENS",#REF!,4,0),"")</f>
        <v/>
      </c>
      <c r="AC19" s="85" t="str">
        <f>IFERROR(VLOOKUP("SC2_COMPLIANCE",#REF!,4,0),"")</f>
        <v/>
      </c>
      <c r="AD19" s="85" t="str">
        <f>IFERROR(VLOOKUP("SC3_TRUST",#REF!,4,0),"")</f>
        <v/>
      </c>
      <c r="AE19" s="85" t="str">
        <f>IFERROR(VLOOKUP("SC4_DATAPROC",#REF!,4,0),"")</f>
        <v/>
      </c>
      <c r="AF19" s="85" t="str">
        <f>IFERROR(VLOOKUP("SF1_REALTIME",#REF!,4,0),"")</f>
        <v/>
      </c>
      <c r="AG19" s="85" t="str">
        <f>IFERROR(VLOOKUP("SF2_ACCESS",#REF!,4,0),"")</f>
        <v/>
      </c>
      <c r="AH19" s="85" t="str">
        <f>IFERROR(VLOOKUP("SF3_UX",#REF!,4,0),"")</f>
        <v/>
      </c>
      <c r="AI19" s="85" t="str">
        <f>IFERROR(VLOOKUP("SF4_DECISION",#REF!,4,0),"")</f>
        <v/>
      </c>
      <c r="AJ19" s="85" t="str">
        <f>IFERROR(VLOOKUP("SF5_MASKING",#REF!,4,0),"")</f>
        <v/>
      </c>
      <c r="AK19" s="85" t="str">
        <f>IFERROR(VLOOKUP("SD1_TRENDS",#REF!,4,0),"")</f>
        <v/>
      </c>
      <c r="AL19" s="85" t="str">
        <f>IFERROR(VLOOKUP("SD2_MARKET",#REF!,4,0),"")</f>
        <v/>
      </c>
      <c r="AM19" s="85" t="str">
        <f>IFERROR(VLOOKUP("SD3_CATEGORY",#REF!,4,0),"")</f>
        <v/>
      </c>
      <c r="AN19" s="85" t="str">
        <f>IFERROR(VLOOKUP("SD4_SHIPMENT",#REF!,4,0),"")</f>
        <v/>
      </c>
      <c r="AO19" s="85" t="str">
        <f>IFERROR(VLOOKUP("SD5_LEAD",#REF!,4,0),"")</f>
        <v/>
      </c>
      <c r="AP19" s="85" t="str">
        <f>IFERROR(VLOOKUP("SD6_CONJOINT",#REF!,4,0),"")</f>
        <v/>
      </c>
    </row>
    <row r="20" spans="2:42" ht="20.100000000000001" customHeight="1">
      <c r="B20" s="83" t="s">
        <v>183</v>
      </c>
      <c r="C20" s="84" t="str">
        <f>IFERROR(VLOOKUP("Interviewee Position",#REF!,2,0),"")</f>
        <v/>
      </c>
      <c r="D20" s="84" t="str">
        <f>IFERROR(VLOOKUP("Company Industry",#REF!,2,0),"")</f>
        <v/>
      </c>
      <c r="E20" s="84" t="str">
        <f>IFERROR(VLOOKUP("Company Sub-Industry",#REF!,2,0),"")</f>
        <v/>
      </c>
      <c r="F20" s="3" t="str">
        <f>IFERROR(VLOOKUP("Company Size (Turnover)",#REF!,2,0),"")</f>
        <v/>
      </c>
      <c r="G20" s="84" t="str">
        <f>IFERROR(VLOOKUP("Country",#REF!,2,0),"")</f>
        <v/>
      </c>
      <c r="H20" s="85" t="str">
        <f>IFERROR(VLOOKUP("B1_INTEREST",#REF!,4,0),"")</f>
        <v/>
      </c>
      <c r="I20" s="85" t="str">
        <f>IFERROR(VLOOKUP("B2_SHARING",#REF!,4,0),"")</f>
        <v/>
      </c>
      <c r="J20" s="85" t="str">
        <f>IFERROR(VLOOKUP("B3_MONETIZE",#REF!,4,0),"")</f>
        <v/>
      </c>
      <c r="K20" s="85" t="str">
        <f>IFERROR(VLOOKUP("B4_STRATEGIC",#REF!,4,0),"")</f>
        <v/>
      </c>
      <c r="L20" s="85" t="str">
        <f>IFERROR(VLOOKUP("M1_AUTOMATED",#REF!,4,0),"")</f>
        <v/>
      </c>
      <c r="M20" s="85" t="str">
        <f>IFERROR(VLOOKUP("M2_REALTIME",#REF!,4,0),"")</f>
        <v/>
      </c>
      <c r="N20" s="85" t="str">
        <f>IFERROR(VLOOKUP("M3_STRATEGIC",#REF!,4,0),"")</f>
        <v/>
      </c>
      <c r="O20" s="85" t="str">
        <f>IFERROR(VLOOKUP("M4_BREADTH",#REF!,4,0),"")</f>
        <v/>
      </c>
      <c r="P20" s="85" t="str">
        <f>IFERROR(VLOOKUP("M5_DATATYPES",#REF!,4,0),"")</f>
        <v/>
      </c>
      <c r="Q20" s="85" t="str">
        <f>IFERROR(VLOOKUP("M6_TRUST",#REF!,4,0),"")</f>
        <v/>
      </c>
      <c r="R20" s="85" t="str">
        <f>IFERROR(VLOOKUP("M7_BARRIERS",#REF!,4,0),"")</f>
        <v/>
      </c>
      <c r="S20" s="85" t="str">
        <f>IFERROR(VLOOKUP("M8_IMPACT",#REF!,4,0),"")</f>
        <v/>
      </c>
      <c r="T20" s="85" t="str">
        <f>IFERROR(VLOOKUP("M9_WILLINGNESS",#REF!,4,0),"")</f>
        <v/>
      </c>
      <c r="U20" s="85" t="str">
        <f>IFERROR(VLOOKUP("SV1_PRICING",#REF!,4,0),"")</f>
        <v/>
      </c>
      <c r="V20" s="85" t="str">
        <f>IFERROR(VLOOKUP("SV2_PROMOTIONS",#REF!,4,0),"")</f>
        <v/>
      </c>
      <c r="W20" s="85" t="str">
        <f>IFERROR(VLOOKUP("SV3_SUPPLYCHAIN",#REF!,4,0),"")</f>
        <v/>
      </c>
      <c r="X20" s="85" t="str">
        <f>IFERROR(VLOOKUP("SV4_CATEGORY",#REF!,4,0),"")</f>
        <v/>
      </c>
      <c r="Y20" s="85" t="str">
        <f>IFERROR(VLOOKUP("SV5_DEMAND",#REF!,4,0),"")</f>
        <v/>
      </c>
      <c r="Z20" s="85" t="str">
        <f>IFERROR(VLOOKUP("SV6_ACCOUNT",#REF!,4,0),"")</f>
        <v/>
      </c>
      <c r="AA20" s="85" t="str">
        <f>IFERROR(VLOOKUP("SV7_OPS",#REF!,4,0),"")</f>
        <v/>
      </c>
      <c r="AB20" s="85" t="str">
        <f>IFERROR(VLOOKUP("SC1_DATASENS",#REF!,4,0),"")</f>
        <v/>
      </c>
      <c r="AC20" s="85" t="str">
        <f>IFERROR(VLOOKUP("SC2_COMPLIANCE",#REF!,4,0),"")</f>
        <v/>
      </c>
      <c r="AD20" s="85" t="str">
        <f>IFERROR(VLOOKUP("SC3_TRUST",#REF!,4,0),"")</f>
        <v/>
      </c>
      <c r="AE20" s="85" t="str">
        <f>IFERROR(VLOOKUP("SC4_DATAPROC",#REF!,4,0),"")</f>
        <v/>
      </c>
      <c r="AF20" s="85" t="str">
        <f>IFERROR(VLOOKUP("SF1_REALTIME",#REF!,4,0),"")</f>
        <v/>
      </c>
      <c r="AG20" s="85" t="str">
        <f>IFERROR(VLOOKUP("SF2_ACCESS",#REF!,4,0),"")</f>
        <v/>
      </c>
      <c r="AH20" s="85" t="str">
        <f>IFERROR(VLOOKUP("SF3_UX",#REF!,4,0),"")</f>
        <v/>
      </c>
      <c r="AI20" s="85" t="str">
        <f>IFERROR(VLOOKUP("SF4_DECISION",#REF!,4,0),"")</f>
        <v/>
      </c>
      <c r="AJ20" s="85" t="str">
        <f>IFERROR(VLOOKUP("SF5_MASKING",#REF!,4,0),"")</f>
        <v/>
      </c>
      <c r="AK20" s="85" t="str">
        <f>IFERROR(VLOOKUP("SD1_TRENDS",#REF!,4,0),"")</f>
        <v/>
      </c>
      <c r="AL20" s="85" t="str">
        <f>IFERROR(VLOOKUP("SD2_MARKET",#REF!,4,0),"")</f>
        <v/>
      </c>
      <c r="AM20" s="85" t="str">
        <f>IFERROR(VLOOKUP("SD3_CATEGORY",#REF!,4,0),"")</f>
        <v/>
      </c>
      <c r="AN20" s="85" t="str">
        <f>IFERROR(VLOOKUP("SD4_SHIPMENT",#REF!,4,0),"")</f>
        <v/>
      </c>
      <c r="AO20" s="85" t="str">
        <f>IFERROR(VLOOKUP("SD5_LEAD",#REF!,4,0),"")</f>
        <v/>
      </c>
      <c r="AP20" s="85" t="str">
        <f>IFERROR(VLOOKUP("SD6_CONJOINT",#REF!,4,0),"")</f>
        <v/>
      </c>
    </row>
    <row r="21" spans="2:42" ht="20.100000000000001" customHeight="1">
      <c r="B21" s="83" t="s">
        <v>184</v>
      </c>
      <c r="C21" s="84">
        <f>IFERROR(VLOOKUP("Interviewee Position",'Company 18'!$B:$C,2,0),"")</f>
        <v>0</v>
      </c>
      <c r="D21" s="84">
        <f>IFERROR(VLOOKUP("Company Industry",'Company 18'!$B:$C,2,0),"")</f>
        <v>0</v>
      </c>
      <c r="E21" s="84">
        <f>IFERROR(VLOOKUP("Company Sub-Industry",'Company 18'!$B:$C,2,0),"")</f>
        <v>0</v>
      </c>
      <c r="F21" s="3">
        <f>IFERROR(VLOOKUP("Company Size (Turnover)",'Company 18'!$B:$C,2,0),"")</f>
        <v>0</v>
      </c>
      <c r="G21" s="84">
        <f>IFERROR(VLOOKUP("Country",'Company 18'!$B:$C,2,0),"")</f>
        <v>0</v>
      </c>
      <c r="H21" s="85">
        <f>IFERROR(VLOOKUP("B1_INTEREST",'Company 18'!$B:$E,4,0),"")</f>
        <v>0</v>
      </c>
      <c r="I21" s="85">
        <f>IFERROR(VLOOKUP("B2_SHARING",'Company 18'!$B:$E,4,0),"")</f>
        <v>0</v>
      </c>
      <c r="J21" s="85">
        <f>IFERROR(VLOOKUP("B3_MONETIZE",'Company 18'!$B:$E,4,0),"")</f>
        <v>0</v>
      </c>
      <c r="K21" s="85">
        <f>IFERROR(VLOOKUP("B4_STRATEGIC",'Company 18'!$B:$E,4,0),"")</f>
        <v>0</v>
      </c>
      <c r="L21" s="85">
        <f>IFERROR(VLOOKUP("M1_AUTOMATED",'Company 18'!$B:$E,4,0),"")</f>
        <v>0</v>
      </c>
      <c r="M21" s="85">
        <f>IFERROR(VLOOKUP("M2_REALTIME",'Company 18'!$B:$E,4,0),"")</f>
        <v>0</v>
      </c>
      <c r="N21" s="85">
        <f>IFERROR(VLOOKUP("M3_STRATEGIC",'Company 18'!$B:$E,4,0),"")</f>
        <v>0</v>
      </c>
      <c r="O21" s="85">
        <f>IFERROR(VLOOKUP("M4_BREADTH",'Company 18'!$B:$E,4,0),"")</f>
        <v>0</v>
      </c>
      <c r="P21" s="85">
        <f>IFERROR(VLOOKUP("M5_DATATYPES",'Company 18'!$B:$E,4,0),"")</f>
        <v>0</v>
      </c>
      <c r="Q21" s="85">
        <f>IFERROR(VLOOKUP("M6_TRUST",'Company 18'!$B:$E,4,0),"")</f>
        <v>0</v>
      </c>
      <c r="R21" s="85">
        <f>IFERROR(VLOOKUP("M7_BARRIERS",'Company 18'!$B:$E,4,0),"")</f>
        <v>0</v>
      </c>
      <c r="S21" s="85">
        <f>IFERROR(VLOOKUP("M8_IMPACT",'Company 18'!$B:$E,4,0),"")</f>
        <v>0</v>
      </c>
      <c r="T21" s="85">
        <f>IFERROR(VLOOKUP("M9_WILLINGNESS",'Company 18'!$B:$E,4,0),"")</f>
        <v>0</v>
      </c>
      <c r="U21" s="85">
        <f>IFERROR(VLOOKUP("SV1_PRICING",'Company 18'!$B:$E,4,0),"")</f>
        <v>0</v>
      </c>
      <c r="V21" s="85">
        <f>IFERROR(VLOOKUP("SV2_PROMOTIONS",'Company 18'!$B:$E,4,0),"")</f>
        <v>0</v>
      </c>
      <c r="W21" s="85">
        <f>IFERROR(VLOOKUP("SV3_SUPPLYCHAIN",'Company 18'!$B:$E,4,0),"")</f>
        <v>0</v>
      </c>
      <c r="X21" s="85">
        <f>IFERROR(VLOOKUP("SV4_CATEGORY",'Company 18'!$B:$E,4,0),"")</f>
        <v>0</v>
      </c>
      <c r="Y21" s="85">
        <f>IFERROR(VLOOKUP("SV5_DEMAND",'Company 18'!$B:$E,4,0),"")</f>
        <v>0</v>
      </c>
      <c r="Z21" s="85">
        <f>IFERROR(VLOOKUP("SV6_ACCOUNT",'Company 18'!$B:$E,4,0),"")</f>
        <v>0</v>
      </c>
      <c r="AA21" s="85">
        <f>IFERROR(VLOOKUP("SV7_OPS",'Company 18'!$B:$E,4,0),"")</f>
        <v>0</v>
      </c>
      <c r="AB21" s="85">
        <f>IFERROR(VLOOKUP("SC1_DATASENS",'Company 18'!$B:$E,4,0),"")</f>
        <v>0</v>
      </c>
      <c r="AC21" s="85">
        <f>IFERROR(VLOOKUP("SC2_COMPLIANCE",'Company 18'!$B:$E,4,0),"")</f>
        <v>0</v>
      </c>
      <c r="AD21" s="85">
        <f>IFERROR(VLOOKUP("SC3_TRUST",'Company 18'!$B:$E,4,0),"")</f>
        <v>0</v>
      </c>
      <c r="AE21" s="85">
        <f>IFERROR(VLOOKUP("SC4_DATAPROC",'Company 18'!$B:$E,4,0),"")</f>
        <v>0</v>
      </c>
      <c r="AF21" s="85">
        <f>IFERROR(VLOOKUP("SF1_REALTIME",'Company 18'!$B:$E,4,0),"")</f>
        <v>0</v>
      </c>
      <c r="AG21" s="85">
        <f>IFERROR(VLOOKUP("SF2_ACCESS",'Company 18'!$B:$E,4,0),"")</f>
        <v>0</v>
      </c>
      <c r="AH21" s="85">
        <f>IFERROR(VLOOKUP("SF3_UX",'Company 18'!$B:$E,4,0),"")</f>
        <v>0</v>
      </c>
      <c r="AI21" s="85">
        <f>IFERROR(VLOOKUP("SF4_DECISION",'Company 18'!$B:$E,4,0),"")</f>
        <v>0</v>
      </c>
      <c r="AJ21" s="85">
        <f>IFERROR(VLOOKUP("SF5_MASKING",'Company 18'!$B:$E,4,0),"")</f>
        <v>0</v>
      </c>
      <c r="AK21" s="85">
        <f>IFERROR(VLOOKUP("SD1_TRENDS",'Company 18'!$B:$E,4,0),"")</f>
        <v>0</v>
      </c>
      <c r="AL21" s="85">
        <f>IFERROR(VLOOKUP("SD2_MARKET",'Company 18'!$B:$E,4,0),"")</f>
        <v>0</v>
      </c>
      <c r="AM21" s="85">
        <f>IFERROR(VLOOKUP("SD3_CATEGORY",'Company 18'!$B:$E,4,0),"")</f>
        <v>0</v>
      </c>
      <c r="AN21" s="85">
        <f>IFERROR(VLOOKUP("SD4_SHIPMENT",'Company 18'!$B:$E,4,0),"")</f>
        <v>0</v>
      </c>
      <c r="AO21" s="85">
        <f>IFERROR(VLOOKUP("SD5_LEAD",'Company 18'!$B:$E,4,0),"")</f>
        <v>0</v>
      </c>
      <c r="AP21" s="85">
        <f>IFERROR(VLOOKUP("SD6_CONJOINT",'Company 18'!$B:$E,4,0),"")</f>
        <v>0</v>
      </c>
    </row>
    <row r="22" spans="2:42" ht="20.100000000000001" customHeight="1">
      <c r="B22" s="83" t="s">
        <v>185</v>
      </c>
      <c r="C22" s="84">
        <f>IFERROR(VLOOKUP("Interviewee Position",'Company 19'!$B:$C,2,0),"")</f>
        <v>0</v>
      </c>
      <c r="D22" s="84">
        <f>IFERROR(VLOOKUP("Company Industry",'Company 19'!$B:$C,2,0),"")</f>
        <v>0</v>
      </c>
      <c r="E22" s="84">
        <f>IFERROR(VLOOKUP("Company Sub-Industry",'Company 19'!$B:$C,2,0),"")</f>
        <v>0</v>
      </c>
      <c r="F22" s="3">
        <f>IFERROR(VLOOKUP("Company Size (Turnover)",'Company 19'!$B:$C,2,0),"")</f>
        <v>0</v>
      </c>
      <c r="G22" s="84">
        <f>IFERROR(VLOOKUP("Country",'Company 19'!$B:$C,2,0),"")</f>
        <v>0</v>
      </c>
      <c r="H22" s="85">
        <f>IFERROR(VLOOKUP("B1_INTEREST",'Company 19'!$B:$E,4,0),"")</f>
        <v>0</v>
      </c>
      <c r="I22" s="85">
        <f>IFERROR(VLOOKUP("B2_SHARING",'Company 19'!$B:$E,4,0),"")</f>
        <v>0</v>
      </c>
      <c r="J22" s="85">
        <f>IFERROR(VLOOKUP("B3_MONETIZE",'Company 19'!$B:$E,4,0),"")</f>
        <v>0</v>
      </c>
      <c r="K22" s="85">
        <f>IFERROR(VLOOKUP("B4_STRATEGIC",'Company 19'!$B:$E,4,0),"")</f>
        <v>0</v>
      </c>
      <c r="L22" s="85">
        <f>IFERROR(VLOOKUP("M1_AUTOMATED",'Company 19'!$B:$E,4,0),"")</f>
        <v>0</v>
      </c>
      <c r="M22" s="85">
        <f>IFERROR(VLOOKUP("M2_REALTIME",'Company 19'!$B:$E,4,0),"")</f>
        <v>0</v>
      </c>
      <c r="N22" s="85">
        <f>IFERROR(VLOOKUP("M3_STRATEGIC",'Company 19'!$B:$E,4,0),"")</f>
        <v>0</v>
      </c>
      <c r="O22" s="85">
        <f>IFERROR(VLOOKUP("M4_BREADTH",'Company 19'!$B:$E,4,0),"")</f>
        <v>0</v>
      </c>
      <c r="P22" s="85">
        <f>IFERROR(VLOOKUP("M5_DATATYPES",'Company 19'!$B:$E,4,0),"")</f>
        <v>0</v>
      </c>
      <c r="Q22" s="85">
        <f>IFERROR(VLOOKUP("M6_TRUST",'Company 19'!$B:$E,4,0),"")</f>
        <v>0</v>
      </c>
      <c r="R22" s="85">
        <f>IFERROR(VLOOKUP("M7_BARRIERS",'Company 19'!$B:$E,4,0),"")</f>
        <v>0</v>
      </c>
      <c r="S22" s="85">
        <f>IFERROR(VLOOKUP("M8_IMPACT",'Company 19'!$B:$E,4,0),"")</f>
        <v>0</v>
      </c>
      <c r="T22" s="85">
        <f>IFERROR(VLOOKUP("M9_WILLINGNESS",'Company 19'!$B:$E,4,0),"")</f>
        <v>0</v>
      </c>
      <c r="U22" s="85">
        <f>IFERROR(VLOOKUP("SV1_PRICING",'Company 19'!$B:$E,4,0),"")</f>
        <v>0</v>
      </c>
      <c r="V22" s="85">
        <f>IFERROR(VLOOKUP("SV2_PROMOTIONS",'Company 19'!$B:$E,4,0),"")</f>
        <v>0</v>
      </c>
      <c r="W22" s="85">
        <f>IFERROR(VLOOKUP("SV3_SUPPLYCHAIN",'Company 19'!$B:$E,4,0),"")</f>
        <v>0</v>
      </c>
      <c r="X22" s="85">
        <f>IFERROR(VLOOKUP("SV4_CATEGORY",'Company 19'!$B:$E,4,0),"")</f>
        <v>0</v>
      </c>
      <c r="Y22" s="85">
        <f>IFERROR(VLOOKUP("SV5_DEMAND",'Company 19'!$B:$E,4,0),"")</f>
        <v>0</v>
      </c>
      <c r="Z22" s="85">
        <f>IFERROR(VLOOKUP("SV6_ACCOUNT",'Company 19'!$B:$E,4,0),"")</f>
        <v>0</v>
      </c>
      <c r="AA22" s="85">
        <f>IFERROR(VLOOKUP("SV7_OPS",'Company 19'!$B:$E,4,0),"")</f>
        <v>0</v>
      </c>
      <c r="AB22" s="85">
        <f>IFERROR(VLOOKUP("SC1_DATASENS",'Company 19'!$B:$E,4,0),"")</f>
        <v>0</v>
      </c>
      <c r="AC22" s="85">
        <f>IFERROR(VLOOKUP("SC2_COMPLIANCE",'Company 19'!$B:$E,4,0),"")</f>
        <v>0</v>
      </c>
      <c r="AD22" s="85">
        <f>IFERROR(VLOOKUP("SC3_TRUST",'Company 19'!$B:$E,4,0),"")</f>
        <v>0</v>
      </c>
      <c r="AE22" s="85">
        <f>IFERROR(VLOOKUP("SC4_DATAPROC",'Company 19'!$B:$E,4,0),"")</f>
        <v>0</v>
      </c>
      <c r="AF22" s="85">
        <f>IFERROR(VLOOKUP("SF1_REALTIME",'Company 19'!$B:$E,4,0),"")</f>
        <v>0</v>
      </c>
      <c r="AG22" s="85">
        <f>IFERROR(VLOOKUP("SF2_ACCESS",'Company 19'!$B:$E,4,0),"")</f>
        <v>0</v>
      </c>
      <c r="AH22" s="85">
        <f>IFERROR(VLOOKUP("SF3_UX",'Company 19'!$B:$E,4,0),"")</f>
        <v>0</v>
      </c>
      <c r="AI22" s="85">
        <f>IFERROR(VLOOKUP("SF4_DECISION",'Company 19'!$B:$E,4,0),"")</f>
        <v>0</v>
      </c>
      <c r="AJ22" s="85">
        <f>IFERROR(VLOOKUP("SF5_MASKING",'Company 19'!$B:$E,4,0),"")</f>
        <v>0</v>
      </c>
      <c r="AK22" s="85">
        <f>IFERROR(VLOOKUP("SD1_TRENDS",'Company 19'!$B:$E,4,0),"")</f>
        <v>0</v>
      </c>
      <c r="AL22" s="85">
        <f>IFERROR(VLOOKUP("SD2_MARKET",'Company 19'!$B:$E,4,0),"")</f>
        <v>0</v>
      </c>
      <c r="AM22" s="85">
        <f>IFERROR(VLOOKUP("SD3_CATEGORY",'Company 19'!$B:$E,4,0),"")</f>
        <v>0</v>
      </c>
      <c r="AN22" s="85">
        <f>IFERROR(VLOOKUP("SD4_SHIPMENT",'Company 19'!$B:$E,4,0),"")</f>
        <v>0</v>
      </c>
      <c r="AO22" s="85">
        <f>IFERROR(VLOOKUP("SD5_LEAD",'Company 19'!$B:$E,4,0),"")</f>
        <v>0</v>
      </c>
      <c r="AP22" s="85">
        <f>IFERROR(VLOOKUP("SD6_CONJOINT",'Company 19'!$B:$E,4,0),"")</f>
        <v>0</v>
      </c>
    </row>
    <row r="23" spans="2:42" ht="20.100000000000001" customHeight="1">
      <c r="B23" s="83" t="s">
        <v>186</v>
      </c>
      <c r="C23" s="84">
        <f>IFERROR(VLOOKUP("Interviewee Position",'Company 20'!$B:$C,2,0),"")</f>
        <v>0</v>
      </c>
      <c r="D23" s="84">
        <f>IFERROR(VLOOKUP("Company Industry",'Company 20'!$B:$C,2,0),"")</f>
        <v>0</v>
      </c>
      <c r="E23" s="84">
        <f>IFERROR(VLOOKUP("Company Sub-Industry",'Company 20'!$B:$C,2,0),"")</f>
        <v>0</v>
      </c>
      <c r="F23" s="3">
        <f>IFERROR(VLOOKUP("Company Size (Turnover)",'Company 20'!$B:$C,2,0),"")</f>
        <v>0</v>
      </c>
      <c r="G23" s="84">
        <f>IFERROR(VLOOKUP("Country",'Company 20'!$B:$C,2,0),"")</f>
        <v>0</v>
      </c>
      <c r="H23" s="85">
        <f>IFERROR(VLOOKUP("B1_INTEREST",'Company 20'!$B:$E,4,0),"")</f>
        <v>0</v>
      </c>
      <c r="I23" s="85">
        <f>IFERROR(VLOOKUP("B2_SHARING",'Company 20'!$B:$E,4,0),"")</f>
        <v>0</v>
      </c>
      <c r="J23" s="85">
        <f>IFERROR(VLOOKUP("B3_MONETIZE",'Company 20'!$B:$E,4,0),"")</f>
        <v>0</v>
      </c>
      <c r="K23" s="85">
        <f>IFERROR(VLOOKUP("B4_STRATEGIC",'Company 20'!$B:$E,4,0),"")</f>
        <v>0</v>
      </c>
      <c r="L23" s="85">
        <f>IFERROR(VLOOKUP("M1_AUTOMATED",'Company 20'!$B:$E,4,0),"")</f>
        <v>0</v>
      </c>
      <c r="M23" s="85">
        <f>IFERROR(VLOOKUP("M2_REALTIME",'Company 20'!$B:$E,4,0),"")</f>
        <v>0</v>
      </c>
      <c r="N23" s="85">
        <f>IFERROR(VLOOKUP("M3_STRATEGIC",'Company 20'!$B:$E,4,0),"")</f>
        <v>0</v>
      </c>
      <c r="O23" s="85">
        <f>IFERROR(VLOOKUP("M4_BREADTH",'Company 20'!$B:$E,4,0),"")</f>
        <v>0</v>
      </c>
      <c r="P23" s="85">
        <f>IFERROR(VLOOKUP("M5_DATATYPES",'Company 20'!$B:$E,4,0),"")</f>
        <v>0</v>
      </c>
      <c r="Q23" s="85">
        <f>IFERROR(VLOOKUP("M6_TRUST",'Company 20'!$B:$E,4,0),"")</f>
        <v>0</v>
      </c>
      <c r="R23" s="85">
        <f>IFERROR(VLOOKUP("M7_BARRIERS",'Company 20'!$B:$E,4,0),"")</f>
        <v>0</v>
      </c>
      <c r="S23" s="85">
        <f>IFERROR(VLOOKUP("M8_IMPACT",'Company 20'!$B:$E,4,0),"")</f>
        <v>0</v>
      </c>
      <c r="T23" s="85">
        <f>IFERROR(VLOOKUP("M9_WILLINGNESS",'Company 20'!$B:$E,4,0),"")</f>
        <v>0</v>
      </c>
      <c r="U23" s="85">
        <f>IFERROR(VLOOKUP("SV1_PRICING",'Company 20'!$B:$E,4,0),"")</f>
        <v>0</v>
      </c>
      <c r="V23" s="85">
        <f>IFERROR(VLOOKUP("SV2_PROMOTIONS",'Company 20'!$B:$E,4,0),"")</f>
        <v>0</v>
      </c>
      <c r="W23" s="85">
        <f>IFERROR(VLOOKUP("SV3_SUPPLYCHAIN",'Company 20'!$B:$E,4,0),"")</f>
        <v>0</v>
      </c>
      <c r="X23" s="85">
        <f>IFERROR(VLOOKUP("SV4_CATEGORY",'Company 20'!$B:$E,4,0),"")</f>
        <v>0</v>
      </c>
      <c r="Y23" s="85">
        <f>IFERROR(VLOOKUP("SV5_DEMAND",'Company 20'!$B:$E,4,0),"")</f>
        <v>0</v>
      </c>
      <c r="Z23" s="85">
        <f>IFERROR(VLOOKUP("SV6_ACCOUNT",'Company 20'!$B:$E,4,0),"")</f>
        <v>0</v>
      </c>
      <c r="AA23" s="85">
        <f>IFERROR(VLOOKUP("SV7_OPS",'Company 20'!$B:$E,4,0),"")</f>
        <v>0</v>
      </c>
      <c r="AB23" s="85">
        <f>IFERROR(VLOOKUP("SC1_DATASENS",'Company 20'!$B:$E,4,0),"")</f>
        <v>0</v>
      </c>
      <c r="AC23" s="85">
        <f>IFERROR(VLOOKUP("SC2_COMPLIANCE",'Company 20'!$B:$E,4,0),"")</f>
        <v>0</v>
      </c>
      <c r="AD23" s="85">
        <f>IFERROR(VLOOKUP("SC3_TRUST",'Company 20'!$B:$E,4,0),"")</f>
        <v>0</v>
      </c>
      <c r="AE23" s="85">
        <f>IFERROR(VLOOKUP("SC4_DATAPROC",'Company 20'!$B:$E,4,0),"")</f>
        <v>0</v>
      </c>
      <c r="AF23" s="85">
        <f>IFERROR(VLOOKUP("SF1_REALTIME",'Company 20'!$B:$E,4,0),"")</f>
        <v>0</v>
      </c>
      <c r="AG23" s="85">
        <f>IFERROR(VLOOKUP("SF2_ACCESS",'Company 20'!$B:$E,4,0),"")</f>
        <v>0</v>
      </c>
      <c r="AH23" s="85">
        <f>IFERROR(VLOOKUP("SF3_UX",'Company 20'!$B:$E,4,0),"")</f>
        <v>0</v>
      </c>
      <c r="AI23" s="85">
        <f>IFERROR(VLOOKUP("SF4_DECISION",'Company 20'!$B:$E,4,0),"")</f>
        <v>0</v>
      </c>
      <c r="AJ23" s="85">
        <f>IFERROR(VLOOKUP("SF5_MASKING",'Company 20'!$B:$E,4,0),"")</f>
        <v>0</v>
      </c>
      <c r="AK23" s="85">
        <f>IFERROR(VLOOKUP("SD1_TRENDS",'Company 20'!$B:$E,4,0),"")</f>
        <v>0</v>
      </c>
      <c r="AL23" s="85">
        <f>IFERROR(VLOOKUP("SD2_MARKET",'Company 20'!$B:$E,4,0),"")</f>
        <v>0</v>
      </c>
      <c r="AM23" s="85">
        <f>IFERROR(VLOOKUP("SD3_CATEGORY",'Company 20'!$B:$E,4,0),"")</f>
        <v>0</v>
      </c>
      <c r="AN23" s="85">
        <f>IFERROR(VLOOKUP("SD4_SHIPMENT",'Company 20'!$B:$E,4,0),"")</f>
        <v>0</v>
      </c>
      <c r="AO23" s="85">
        <f>IFERROR(VLOOKUP("SD5_LEAD",'Company 20'!$B:$E,4,0),"")</f>
        <v>0</v>
      </c>
      <c r="AP23" s="85">
        <f>IFERROR(VLOOKUP("SD6_CONJOINT",'Company 20'!$B:$E,4,0),"")</f>
        <v>0</v>
      </c>
    </row>
    <row r="24" spans="2:42" ht="20.100000000000001" customHeight="1">
      <c r="B24" s="83" t="s">
        <v>187</v>
      </c>
      <c r="C24" s="84">
        <f>IFERROR(VLOOKUP("Interviewee Position",'Company 21'!$B:$C,2,0),"")</f>
        <v>0</v>
      </c>
      <c r="D24" s="84">
        <f>IFERROR(VLOOKUP("Company Industry",'Company 21'!$B:$C,2,0),"")</f>
        <v>0</v>
      </c>
      <c r="E24" s="84">
        <f>IFERROR(VLOOKUP("Company Sub-Industry",'Company 21'!$B:$C,2,0),"")</f>
        <v>0</v>
      </c>
      <c r="F24" s="3">
        <f>IFERROR(VLOOKUP("Company Size (Turnover)",'Company 21'!$B:$C,2,0),"")</f>
        <v>0</v>
      </c>
      <c r="G24" s="84">
        <f>IFERROR(VLOOKUP("Country",'Company 21'!$B:$C,2,0),"")</f>
        <v>0</v>
      </c>
      <c r="H24" s="85">
        <f>IFERROR(VLOOKUP("B1_INTEREST",'Company 21'!$B:$E,4,0),"")</f>
        <v>0</v>
      </c>
      <c r="I24" s="85">
        <f>IFERROR(VLOOKUP("B2_SHARING",'Company 21'!$B:$E,4,0),"")</f>
        <v>0</v>
      </c>
      <c r="J24" s="85">
        <f>IFERROR(VLOOKUP("B3_MONETIZE",'Company 21'!$B:$E,4,0),"")</f>
        <v>0</v>
      </c>
      <c r="K24" s="85">
        <f>IFERROR(VLOOKUP("B4_STRATEGIC",'Company 21'!$B:$E,4,0),"")</f>
        <v>0</v>
      </c>
      <c r="L24" s="85">
        <f>IFERROR(VLOOKUP("M1_AUTOMATED",'Company 21'!$B:$E,4,0),"")</f>
        <v>0</v>
      </c>
      <c r="M24" s="85">
        <f>IFERROR(VLOOKUP("M2_REALTIME",'Company 21'!$B:$E,4,0),"")</f>
        <v>0</v>
      </c>
      <c r="N24" s="85">
        <f>IFERROR(VLOOKUP("M3_STRATEGIC",'Company 21'!$B:$E,4,0),"")</f>
        <v>0</v>
      </c>
      <c r="O24" s="85">
        <f>IFERROR(VLOOKUP("M4_BREADTH",'Company 21'!$B:$E,4,0),"")</f>
        <v>0</v>
      </c>
      <c r="P24" s="85">
        <f>IFERROR(VLOOKUP("M5_DATATYPES",'Company 21'!$B:$E,4,0),"")</f>
        <v>0</v>
      </c>
      <c r="Q24" s="85">
        <f>IFERROR(VLOOKUP("M6_TRUST",'Company 21'!$B:$E,4,0),"")</f>
        <v>0</v>
      </c>
      <c r="R24" s="85">
        <f>IFERROR(VLOOKUP("M7_BARRIERS",'Company 21'!$B:$E,4,0),"")</f>
        <v>0</v>
      </c>
      <c r="S24" s="85">
        <f>IFERROR(VLOOKUP("M8_IMPACT",'Company 21'!$B:$E,4,0),"")</f>
        <v>0</v>
      </c>
      <c r="T24" s="85">
        <f>IFERROR(VLOOKUP("M9_WILLINGNESS",'Company 21'!$B:$E,4,0),"")</f>
        <v>0</v>
      </c>
      <c r="U24" s="85">
        <f>IFERROR(VLOOKUP("SV1_PRICING",'Company 21'!$B:$E,4,0),"")</f>
        <v>0</v>
      </c>
      <c r="V24" s="85">
        <f>IFERROR(VLOOKUP("SV2_PROMOTIONS",'Company 21'!$B:$E,4,0),"")</f>
        <v>0</v>
      </c>
      <c r="W24" s="85">
        <f>IFERROR(VLOOKUP("SV3_SUPPLYCHAIN",'Company 21'!$B:$E,4,0),"")</f>
        <v>0</v>
      </c>
      <c r="X24" s="85">
        <f>IFERROR(VLOOKUP("SV4_CATEGORY",'Company 21'!$B:$E,4,0),"")</f>
        <v>0</v>
      </c>
      <c r="Y24" s="85">
        <f>IFERROR(VLOOKUP("SV5_DEMAND",'Company 21'!$B:$E,4,0),"")</f>
        <v>0</v>
      </c>
      <c r="Z24" s="85">
        <f>IFERROR(VLOOKUP("SV6_ACCOUNT",'Company 21'!$B:$E,4,0),"")</f>
        <v>0</v>
      </c>
      <c r="AA24" s="85">
        <f>IFERROR(VLOOKUP("SV7_OPS",'Company 21'!$B:$E,4,0),"")</f>
        <v>0</v>
      </c>
      <c r="AB24" s="85">
        <f>IFERROR(VLOOKUP("SC1_DATASENS",'Company 21'!$B:$E,4,0),"")</f>
        <v>0</v>
      </c>
      <c r="AC24" s="85">
        <f>IFERROR(VLOOKUP("SC2_COMPLIANCE",'Company 21'!$B:$E,4,0),"")</f>
        <v>0</v>
      </c>
      <c r="AD24" s="85">
        <f>IFERROR(VLOOKUP("SC3_TRUST",'Company 21'!$B:$E,4,0),"")</f>
        <v>0</v>
      </c>
      <c r="AE24" s="85">
        <f>IFERROR(VLOOKUP("SC4_DATAPROC",'Company 21'!$B:$E,4,0),"")</f>
        <v>0</v>
      </c>
      <c r="AF24" s="85">
        <f>IFERROR(VLOOKUP("SF1_REALTIME",'Company 21'!$B:$E,4,0),"")</f>
        <v>0</v>
      </c>
      <c r="AG24" s="85">
        <f>IFERROR(VLOOKUP("SF2_ACCESS",'Company 21'!$B:$E,4,0),"")</f>
        <v>0</v>
      </c>
      <c r="AH24" s="85">
        <f>IFERROR(VLOOKUP("SF3_UX",'Company 21'!$B:$E,4,0),"")</f>
        <v>0</v>
      </c>
      <c r="AI24" s="85">
        <f>IFERROR(VLOOKUP("SF4_DECISION",'Company 21'!$B:$E,4,0),"")</f>
        <v>0</v>
      </c>
      <c r="AJ24" s="85">
        <f>IFERROR(VLOOKUP("SF5_MASKING",'Company 21'!$B:$E,4,0),"")</f>
        <v>0</v>
      </c>
      <c r="AK24" s="85">
        <f>IFERROR(VLOOKUP("SD1_TRENDS",'Company 21'!$B:$E,4,0),"")</f>
        <v>0</v>
      </c>
      <c r="AL24" s="85">
        <f>IFERROR(VLOOKUP("SD2_MARKET",'Company 21'!$B:$E,4,0),"")</f>
        <v>0</v>
      </c>
      <c r="AM24" s="85">
        <f>IFERROR(VLOOKUP("SD3_CATEGORY",'Company 21'!$B:$E,4,0),"")</f>
        <v>0</v>
      </c>
      <c r="AN24" s="85">
        <f>IFERROR(VLOOKUP("SD4_SHIPMENT",'Company 21'!$B:$E,4,0),"")</f>
        <v>0</v>
      </c>
      <c r="AO24" s="85">
        <f>IFERROR(VLOOKUP("SD5_LEAD",'Company 21'!$B:$E,4,0),"")</f>
        <v>0</v>
      </c>
      <c r="AP24" s="85">
        <f>IFERROR(VLOOKUP("SD6_CONJOINT",'Company 21'!$B:$E,4,0),"")</f>
        <v>0</v>
      </c>
    </row>
    <row r="25" spans="2:42" ht="20.100000000000001" customHeight="1">
      <c r="B25" s="83" t="s">
        <v>188</v>
      </c>
      <c r="C25" s="84">
        <f>IFERROR(VLOOKUP("Interviewee Position",'Company 22'!$B:$C,2,0),"")</f>
        <v>0</v>
      </c>
      <c r="D25" s="84">
        <f>IFERROR(VLOOKUP("Company Industry",'Company 22'!$B:$C,2,0),"")</f>
        <v>0</v>
      </c>
      <c r="E25" s="84">
        <f>IFERROR(VLOOKUP("Company Sub-Industry",'Company 22'!$B:$C,2,0),"")</f>
        <v>0</v>
      </c>
      <c r="F25" s="3">
        <f>IFERROR(VLOOKUP("Company Size (Turnover)",'Company 22'!$B:$C,2,0),"")</f>
        <v>0</v>
      </c>
      <c r="G25" s="84">
        <f>IFERROR(VLOOKUP("Country",'Company 22'!$B:$C,2,0),"")</f>
        <v>0</v>
      </c>
      <c r="H25" s="85">
        <f>IFERROR(VLOOKUP("B1_INTEREST",'Company 22'!$B:$E,4,0),"")</f>
        <v>0</v>
      </c>
      <c r="I25" s="85">
        <f>IFERROR(VLOOKUP("B2_SHARING",'Company 22'!$B:$E,4,0),"")</f>
        <v>0</v>
      </c>
      <c r="J25" s="85">
        <f>IFERROR(VLOOKUP("B3_MONETIZE",'Company 22'!$B:$E,4,0),"")</f>
        <v>0</v>
      </c>
      <c r="K25" s="85">
        <f>IFERROR(VLOOKUP("B4_STRATEGIC",'Company 22'!$B:$E,4,0),"")</f>
        <v>0</v>
      </c>
      <c r="L25" s="85">
        <f>IFERROR(VLOOKUP("M1_AUTOMATED",'Company 22'!$B:$E,4,0),"")</f>
        <v>0</v>
      </c>
      <c r="M25" s="85">
        <f>IFERROR(VLOOKUP("M2_REALTIME",'Company 22'!$B:$E,4,0),"")</f>
        <v>0</v>
      </c>
      <c r="N25" s="85">
        <f>IFERROR(VLOOKUP("M3_STRATEGIC",'Company 22'!$B:$E,4,0),"")</f>
        <v>0</v>
      </c>
      <c r="O25" s="85">
        <f>IFERROR(VLOOKUP("M4_BREADTH",'Company 22'!$B:$E,4,0),"")</f>
        <v>0</v>
      </c>
      <c r="P25" s="85">
        <f>IFERROR(VLOOKUP("M5_DATATYPES",'Company 22'!$B:$E,4,0),"")</f>
        <v>0</v>
      </c>
      <c r="Q25" s="85">
        <f>IFERROR(VLOOKUP("M6_TRUST",'Company 22'!$B:$E,4,0),"")</f>
        <v>0</v>
      </c>
      <c r="R25" s="85">
        <f>IFERROR(VLOOKUP("M7_BARRIERS",'Company 22'!$B:$E,4,0),"")</f>
        <v>0</v>
      </c>
      <c r="S25" s="85">
        <f>IFERROR(VLOOKUP("M8_IMPACT",'Company 22'!$B:$E,4,0),"")</f>
        <v>0</v>
      </c>
      <c r="T25" s="85">
        <f>IFERROR(VLOOKUP("M9_WILLINGNESS",'Company 22'!$B:$E,4,0),"")</f>
        <v>0</v>
      </c>
      <c r="U25" s="85">
        <f>IFERROR(VLOOKUP("SV1_PRICING",'Company 22'!$B:$E,4,0),"")</f>
        <v>0</v>
      </c>
      <c r="V25" s="85">
        <f>IFERROR(VLOOKUP("SV2_PROMOTIONS",'Company 22'!$B:$E,4,0),"")</f>
        <v>0</v>
      </c>
      <c r="W25" s="85">
        <f>IFERROR(VLOOKUP("SV3_SUPPLYCHAIN",'Company 22'!$B:$E,4,0),"")</f>
        <v>0</v>
      </c>
      <c r="X25" s="85">
        <f>IFERROR(VLOOKUP("SV4_CATEGORY",'Company 22'!$B:$E,4,0),"")</f>
        <v>0</v>
      </c>
      <c r="Y25" s="85">
        <f>IFERROR(VLOOKUP("SV5_DEMAND",'Company 22'!$B:$E,4,0),"")</f>
        <v>0</v>
      </c>
      <c r="Z25" s="85">
        <f>IFERROR(VLOOKUP("SV6_ACCOUNT",'Company 22'!$B:$E,4,0),"")</f>
        <v>0</v>
      </c>
      <c r="AA25" s="85">
        <f>IFERROR(VLOOKUP("SV7_OPS",'Company 22'!$B:$E,4,0),"")</f>
        <v>0</v>
      </c>
      <c r="AB25" s="85">
        <f>IFERROR(VLOOKUP("SC1_DATASENS",'Company 22'!$B:$E,4,0),"")</f>
        <v>0</v>
      </c>
      <c r="AC25" s="85">
        <f>IFERROR(VLOOKUP("SC2_COMPLIANCE",'Company 22'!$B:$E,4,0),"")</f>
        <v>0</v>
      </c>
      <c r="AD25" s="85">
        <f>IFERROR(VLOOKUP("SC3_TRUST",'Company 22'!$B:$E,4,0),"")</f>
        <v>0</v>
      </c>
      <c r="AE25" s="85">
        <f>IFERROR(VLOOKUP("SC4_DATAPROC",'Company 22'!$B:$E,4,0),"")</f>
        <v>0</v>
      </c>
      <c r="AF25" s="85">
        <f>IFERROR(VLOOKUP("SF1_REALTIME",'Company 22'!$B:$E,4,0),"")</f>
        <v>0</v>
      </c>
      <c r="AG25" s="85">
        <f>IFERROR(VLOOKUP("SF2_ACCESS",'Company 22'!$B:$E,4,0),"")</f>
        <v>0</v>
      </c>
      <c r="AH25" s="85">
        <f>IFERROR(VLOOKUP("SF3_UX",'Company 22'!$B:$E,4,0),"")</f>
        <v>0</v>
      </c>
      <c r="AI25" s="85">
        <f>IFERROR(VLOOKUP("SF4_DECISION",'Company 22'!$B:$E,4,0),"")</f>
        <v>0</v>
      </c>
      <c r="AJ25" s="85">
        <f>IFERROR(VLOOKUP("SF5_MASKING",'Company 22'!$B:$E,4,0),"")</f>
        <v>0</v>
      </c>
      <c r="AK25" s="85">
        <f>IFERROR(VLOOKUP("SD1_TRENDS",'Company 22'!$B:$E,4,0),"")</f>
        <v>0</v>
      </c>
      <c r="AL25" s="85">
        <f>IFERROR(VLOOKUP("SD2_MARKET",'Company 22'!$B:$E,4,0),"")</f>
        <v>0</v>
      </c>
      <c r="AM25" s="85">
        <f>IFERROR(VLOOKUP("SD3_CATEGORY",'Company 22'!$B:$E,4,0),"")</f>
        <v>0</v>
      </c>
      <c r="AN25" s="85">
        <f>IFERROR(VLOOKUP("SD4_SHIPMENT",'Company 22'!$B:$E,4,0),"")</f>
        <v>0</v>
      </c>
      <c r="AO25" s="85">
        <f>IFERROR(VLOOKUP("SD5_LEAD",'Company 22'!$B:$E,4,0),"")</f>
        <v>0</v>
      </c>
      <c r="AP25" s="85">
        <f>IFERROR(VLOOKUP("SD6_CONJOINT",'Company 22'!$B:$E,4,0),"")</f>
        <v>0</v>
      </c>
    </row>
    <row r="26" spans="2:42" ht="20.100000000000001" customHeight="1">
      <c r="B26" s="83" t="s">
        <v>189</v>
      </c>
      <c r="C26" s="84">
        <f>IFERROR(VLOOKUP("Interviewee Position",'Company 23'!$B:$C,2,0),"")</f>
        <v>0</v>
      </c>
      <c r="D26" s="84">
        <f>IFERROR(VLOOKUP("Company Industry",'Company 23'!$B:$C,2,0),"")</f>
        <v>0</v>
      </c>
      <c r="E26" s="84">
        <f>IFERROR(VLOOKUP("Company Sub-Industry",'Company 23'!$B:$C,2,0),"")</f>
        <v>0</v>
      </c>
      <c r="F26" s="3">
        <f>IFERROR(VLOOKUP("Company Size (Turnover)",'Company 23'!$B:$C,2,0),"")</f>
        <v>0</v>
      </c>
      <c r="G26" s="84">
        <f>IFERROR(VLOOKUP("Country",'Company 23'!$B:$C,2,0),"")</f>
        <v>0</v>
      </c>
      <c r="H26" s="85">
        <f>IFERROR(VLOOKUP("B1_INTEREST",'Company 23'!$B:$E,4,0),"")</f>
        <v>0</v>
      </c>
      <c r="I26" s="85">
        <f>IFERROR(VLOOKUP("B2_SHARING",'Company 23'!$B:$E,4,0),"")</f>
        <v>0</v>
      </c>
      <c r="J26" s="85">
        <f>IFERROR(VLOOKUP("B3_MONETIZE",'Company 23'!$B:$E,4,0),"")</f>
        <v>0</v>
      </c>
      <c r="K26" s="85">
        <f>IFERROR(VLOOKUP("B4_STRATEGIC",'Company 23'!$B:$E,4,0),"")</f>
        <v>0</v>
      </c>
      <c r="L26" s="85">
        <f>IFERROR(VLOOKUP("M1_AUTOMATED",'Company 23'!$B:$E,4,0),"")</f>
        <v>0</v>
      </c>
      <c r="M26" s="85">
        <f>IFERROR(VLOOKUP("M2_REALTIME",'Company 23'!$B:$E,4,0),"")</f>
        <v>0</v>
      </c>
      <c r="N26" s="85">
        <f>IFERROR(VLOOKUP("M3_STRATEGIC",'Company 23'!$B:$E,4,0),"")</f>
        <v>0</v>
      </c>
      <c r="O26" s="85">
        <f>IFERROR(VLOOKUP("M4_BREADTH",'Company 23'!$B:$E,4,0),"")</f>
        <v>0</v>
      </c>
      <c r="P26" s="85">
        <f>IFERROR(VLOOKUP("M5_DATATYPES",'Company 23'!$B:$E,4,0),"")</f>
        <v>0</v>
      </c>
      <c r="Q26" s="85">
        <f>IFERROR(VLOOKUP("M6_TRUST",'Company 23'!$B:$E,4,0),"")</f>
        <v>0</v>
      </c>
      <c r="R26" s="85">
        <f>IFERROR(VLOOKUP("M7_BARRIERS",'Company 23'!$B:$E,4,0),"")</f>
        <v>0</v>
      </c>
      <c r="S26" s="85">
        <f>IFERROR(VLOOKUP("M8_IMPACT",'Company 23'!$B:$E,4,0),"")</f>
        <v>0</v>
      </c>
      <c r="T26" s="85">
        <f>IFERROR(VLOOKUP("M9_WILLINGNESS",'Company 23'!$B:$E,4,0),"")</f>
        <v>0</v>
      </c>
      <c r="U26" s="85">
        <f>IFERROR(VLOOKUP("SV1_PRICING",'Company 23'!$B:$E,4,0),"")</f>
        <v>0</v>
      </c>
      <c r="V26" s="85">
        <f>IFERROR(VLOOKUP("SV2_PROMOTIONS",'Company 23'!$B:$E,4,0),"")</f>
        <v>0</v>
      </c>
      <c r="W26" s="85">
        <f>IFERROR(VLOOKUP("SV3_SUPPLYCHAIN",'Company 23'!$B:$E,4,0),"")</f>
        <v>0</v>
      </c>
      <c r="X26" s="85">
        <f>IFERROR(VLOOKUP("SV4_CATEGORY",'Company 23'!$B:$E,4,0),"")</f>
        <v>0</v>
      </c>
      <c r="Y26" s="85">
        <f>IFERROR(VLOOKUP("SV5_DEMAND",'Company 23'!$B:$E,4,0),"")</f>
        <v>0</v>
      </c>
      <c r="Z26" s="85">
        <f>IFERROR(VLOOKUP("SV6_ACCOUNT",'Company 23'!$B:$E,4,0),"")</f>
        <v>0</v>
      </c>
      <c r="AA26" s="85">
        <f>IFERROR(VLOOKUP("SV7_OPS",'Company 23'!$B:$E,4,0),"")</f>
        <v>0</v>
      </c>
      <c r="AB26" s="85">
        <f>IFERROR(VLOOKUP("SC1_DATASENS",'Company 23'!$B:$E,4,0),"")</f>
        <v>0</v>
      </c>
      <c r="AC26" s="85">
        <f>IFERROR(VLOOKUP("SC2_COMPLIANCE",'Company 23'!$B:$E,4,0),"")</f>
        <v>0</v>
      </c>
      <c r="AD26" s="85">
        <f>IFERROR(VLOOKUP("SC3_TRUST",'Company 23'!$B:$E,4,0),"")</f>
        <v>0</v>
      </c>
      <c r="AE26" s="85">
        <f>IFERROR(VLOOKUP("SC4_DATAPROC",'Company 23'!$B:$E,4,0),"")</f>
        <v>0</v>
      </c>
      <c r="AF26" s="85">
        <f>IFERROR(VLOOKUP("SF1_REALTIME",'Company 23'!$B:$E,4,0),"")</f>
        <v>0</v>
      </c>
      <c r="AG26" s="85">
        <f>IFERROR(VLOOKUP("SF2_ACCESS",'Company 23'!$B:$E,4,0),"")</f>
        <v>0</v>
      </c>
      <c r="AH26" s="85">
        <f>IFERROR(VLOOKUP("SF3_UX",'Company 23'!$B:$E,4,0),"")</f>
        <v>0</v>
      </c>
      <c r="AI26" s="85">
        <f>IFERROR(VLOOKUP("SF4_DECISION",'Company 23'!$B:$E,4,0),"")</f>
        <v>0</v>
      </c>
      <c r="AJ26" s="85">
        <f>IFERROR(VLOOKUP("SF5_MASKING",'Company 23'!$B:$E,4,0),"")</f>
        <v>0</v>
      </c>
      <c r="AK26" s="85">
        <f>IFERROR(VLOOKUP("SD1_TRENDS",'Company 23'!$B:$E,4,0),"")</f>
        <v>0</v>
      </c>
      <c r="AL26" s="85">
        <f>IFERROR(VLOOKUP("SD2_MARKET",'Company 23'!$B:$E,4,0),"")</f>
        <v>0</v>
      </c>
      <c r="AM26" s="85">
        <f>IFERROR(VLOOKUP("SD3_CATEGORY",'Company 23'!$B:$E,4,0),"")</f>
        <v>0</v>
      </c>
      <c r="AN26" s="85">
        <f>IFERROR(VLOOKUP("SD4_SHIPMENT",'Company 23'!$B:$E,4,0),"")</f>
        <v>0</v>
      </c>
      <c r="AO26" s="85">
        <f>IFERROR(VLOOKUP("SD5_LEAD",'Company 23'!$B:$E,4,0),"")</f>
        <v>0</v>
      </c>
      <c r="AP26" s="85">
        <f>IFERROR(VLOOKUP("SD6_CONJOINT",'Company 23'!$B:$E,4,0),"")</f>
        <v>0</v>
      </c>
    </row>
    <row r="27" spans="2:42" ht="20.100000000000001" customHeight="1">
      <c r="B27" s="83" t="s">
        <v>190</v>
      </c>
      <c r="C27" s="84">
        <f>IFERROR(VLOOKUP("Interviewee Position",'Company 24'!$B:$C,2,0),"")</f>
        <v>0</v>
      </c>
      <c r="D27" s="84">
        <f>IFERROR(VLOOKUP("Company Industry",'Company 24'!$B:$C,2,0),"")</f>
        <v>0</v>
      </c>
      <c r="E27" s="84">
        <f>IFERROR(VLOOKUP("Company Sub-Industry",'Company 24'!$B:$C,2,0),"")</f>
        <v>0</v>
      </c>
      <c r="F27" s="3">
        <f>IFERROR(VLOOKUP("Company Size (Turnover)",'Company 24'!$B:$C,2,0),"")</f>
        <v>0</v>
      </c>
      <c r="G27" s="84">
        <f>IFERROR(VLOOKUP("Country",'Company 24'!$B:$C,2,0),"")</f>
        <v>0</v>
      </c>
      <c r="H27" s="85">
        <f>IFERROR(VLOOKUP("B1_INTEREST",'Company 24'!$B:$E,4,0),"")</f>
        <v>0</v>
      </c>
      <c r="I27" s="85">
        <f>IFERROR(VLOOKUP("B2_SHARING",'Company 24'!$B:$E,4,0),"")</f>
        <v>0</v>
      </c>
      <c r="J27" s="85">
        <f>IFERROR(VLOOKUP("B3_MONETIZE",'Company 24'!$B:$E,4,0),"")</f>
        <v>0</v>
      </c>
      <c r="K27" s="85">
        <f>IFERROR(VLOOKUP("B4_STRATEGIC",'Company 24'!$B:$E,4,0),"")</f>
        <v>0</v>
      </c>
      <c r="L27" s="85">
        <f>IFERROR(VLOOKUP("M1_AUTOMATED",'Company 24'!$B:$E,4,0),"")</f>
        <v>0</v>
      </c>
      <c r="M27" s="85">
        <f>IFERROR(VLOOKUP("M2_REALTIME",'Company 24'!$B:$E,4,0),"")</f>
        <v>0</v>
      </c>
      <c r="N27" s="85">
        <f>IFERROR(VLOOKUP("M3_STRATEGIC",'Company 24'!$B:$E,4,0),"")</f>
        <v>0</v>
      </c>
      <c r="O27" s="85">
        <f>IFERROR(VLOOKUP("M4_BREADTH",'Company 24'!$B:$E,4,0),"")</f>
        <v>0</v>
      </c>
      <c r="P27" s="85">
        <f>IFERROR(VLOOKUP("M5_DATATYPES",'Company 24'!$B:$E,4,0),"")</f>
        <v>0</v>
      </c>
      <c r="Q27" s="85">
        <f>IFERROR(VLOOKUP("M6_TRUST",'Company 24'!$B:$E,4,0),"")</f>
        <v>0</v>
      </c>
      <c r="R27" s="85">
        <f>IFERROR(VLOOKUP("M7_BARRIERS",'Company 24'!$B:$E,4,0),"")</f>
        <v>0</v>
      </c>
      <c r="S27" s="85">
        <f>IFERROR(VLOOKUP("M8_IMPACT",'Company 24'!$B:$E,4,0),"")</f>
        <v>0</v>
      </c>
      <c r="T27" s="85">
        <f>IFERROR(VLOOKUP("M9_WILLINGNESS",'Company 24'!$B:$E,4,0),"")</f>
        <v>0</v>
      </c>
      <c r="U27" s="85">
        <f>IFERROR(VLOOKUP("SV1_PRICING",'Company 24'!$B:$E,4,0),"")</f>
        <v>0</v>
      </c>
      <c r="V27" s="85">
        <f>IFERROR(VLOOKUP("SV2_PROMOTIONS",'Company 24'!$B:$E,4,0),"")</f>
        <v>0</v>
      </c>
      <c r="W27" s="85">
        <f>IFERROR(VLOOKUP("SV3_SUPPLYCHAIN",'Company 24'!$B:$E,4,0),"")</f>
        <v>0</v>
      </c>
      <c r="X27" s="85">
        <f>IFERROR(VLOOKUP("SV4_CATEGORY",'Company 24'!$B:$E,4,0),"")</f>
        <v>0</v>
      </c>
      <c r="Y27" s="85">
        <f>IFERROR(VLOOKUP("SV5_DEMAND",'Company 24'!$B:$E,4,0),"")</f>
        <v>0</v>
      </c>
      <c r="Z27" s="85">
        <f>IFERROR(VLOOKUP("SV6_ACCOUNT",'Company 24'!$B:$E,4,0),"")</f>
        <v>0</v>
      </c>
      <c r="AA27" s="85">
        <f>IFERROR(VLOOKUP("SV7_OPS",'Company 24'!$B:$E,4,0),"")</f>
        <v>0</v>
      </c>
      <c r="AB27" s="85">
        <f>IFERROR(VLOOKUP("SC1_DATASENS",'Company 24'!$B:$E,4,0),"")</f>
        <v>0</v>
      </c>
      <c r="AC27" s="85">
        <f>IFERROR(VLOOKUP("SC2_COMPLIANCE",'Company 24'!$B:$E,4,0),"")</f>
        <v>0</v>
      </c>
      <c r="AD27" s="85">
        <f>IFERROR(VLOOKUP("SC3_TRUST",'Company 24'!$B:$E,4,0),"")</f>
        <v>0</v>
      </c>
      <c r="AE27" s="85">
        <f>IFERROR(VLOOKUP("SC4_DATAPROC",'Company 24'!$B:$E,4,0),"")</f>
        <v>0</v>
      </c>
      <c r="AF27" s="85">
        <f>IFERROR(VLOOKUP("SF1_REALTIME",'Company 24'!$B:$E,4,0),"")</f>
        <v>0</v>
      </c>
      <c r="AG27" s="85">
        <f>IFERROR(VLOOKUP("SF2_ACCESS",'Company 24'!$B:$E,4,0),"")</f>
        <v>0</v>
      </c>
      <c r="AH27" s="85">
        <f>IFERROR(VLOOKUP("SF3_UX",'Company 24'!$B:$E,4,0),"")</f>
        <v>0</v>
      </c>
      <c r="AI27" s="85">
        <f>IFERROR(VLOOKUP("SF4_DECISION",'Company 24'!$B:$E,4,0),"")</f>
        <v>0</v>
      </c>
      <c r="AJ27" s="85">
        <f>IFERROR(VLOOKUP("SF5_MASKING",'Company 24'!$B:$E,4,0),"")</f>
        <v>0</v>
      </c>
      <c r="AK27" s="85">
        <f>IFERROR(VLOOKUP("SD1_TRENDS",'Company 24'!$B:$E,4,0),"")</f>
        <v>0</v>
      </c>
      <c r="AL27" s="85">
        <f>IFERROR(VLOOKUP("SD2_MARKET",'Company 24'!$B:$E,4,0),"")</f>
        <v>0</v>
      </c>
      <c r="AM27" s="85">
        <f>IFERROR(VLOOKUP("SD3_CATEGORY",'Company 24'!$B:$E,4,0),"")</f>
        <v>0</v>
      </c>
      <c r="AN27" s="85">
        <f>IFERROR(VLOOKUP("SD4_SHIPMENT",'Company 24'!$B:$E,4,0),"")</f>
        <v>0</v>
      </c>
      <c r="AO27" s="85">
        <f>IFERROR(VLOOKUP("SD5_LEAD",'Company 24'!$B:$E,4,0),"")</f>
        <v>0</v>
      </c>
      <c r="AP27" s="85">
        <f>IFERROR(VLOOKUP("SD6_CONJOINT",'Company 24'!$B:$E,4,0),"")</f>
        <v>0</v>
      </c>
    </row>
    <row r="28" spans="2:42" ht="20.100000000000001" customHeight="1">
      <c r="B28" s="83" t="s">
        <v>191</v>
      </c>
      <c r="C28" s="84">
        <f>IFERROR(VLOOKUP("Interviewee Position",'Company 25'!$B:$C,2,0),"")</f>
        <v>0</v>
      </c>
      <c r="D28" s="84">
        <f>IFERROR(VLOOKUP("Company Industry",'Company 25'!$B:$C,2,0),"")</f>
        <v>0</v>
      </c>
      <c r="E28" s="84">
        <f>IFERROR(VLOOKUP("Company Sub-Industry",'Company 25'!$B:$C,2,0),"")</f>
        <v>0</v>
      </c>
      <c r="F28" s="3">
        <f>IFERROR(VLOOKUP("Company Size (Turnover)",'Company 25'!$B:$C,2,0),"")</f>
        <v>0</v>
      </c>
      <c r="G28" s="84">
        <f>IFERROR(VLOOKUP("Country",'Company 25'!$B:$C,2,0),"")</f>
        <v>0</v>
      </c>
      <c r="H28" s="85">
        <f>IFERROR(VLOOKUP("B1_INTEREST",'Company 25'!$B:$E,4,0),"")</f>
        <v>0</v>
      </c>
      <c r="I28" s="85">
        <f>IFERROR(VLOOKUP("B2_SHARING",'Company 25'!$B:$E,4,0),"")</f>
        <v>0</v>
      </c>
      <c r="J28" s="85">
        <f>IFERROR(VLOOKUP("B3_MONETIZE",'Company 25'!$B:$E,4,0),"")</f>
        <v>0</v>
      </c>
      <c r="K28" s="85">
        <f>IFERROR(VLOOKUP("B4_STRATEGIC",'Company 25'!$B:$E,4,0),"")</f>
        <v>0</v>
      </c>
      <c r="L28" s="85">
        <f>IFERROR(VLOOKUP("M1_AUTOMATED",'Company 25'!$B:$E,4,0),"")</f>
        <v>0</v>
      </c>
      <c r="M28" s="85">
        <f>IFERROR(VLOOKUP("M2_REALTIME",'Company 25'!$B:$E,4,0),"")</f>
        <v>0</v>
      </c>
      <c r="N28" s="85">
        <f>IFERROR(VLOOKUP("M3_STRATEGIC",'Company 25'!$B:$E,4,0),"")</f>
        <v>0</v>
      </c>
      <c r="O28" s="85">
        <f>IFERROR(VLOOKUP("M4_BREADTH",'Company 25'!$B:$E,4,0),"")</f>
        <v>0</v>
      </c>
      <c r="P28" s="85">
        <f>IFERROR(VLOOKUP("M5_DATATYPES",'Company 25'!$B:$E,4,0),"")</f>
        <v>0</v>
      </c>
      <c r="Q28" s="85">
        <f>IFERROR(VLOOKUP("M6_TRUST",'Company 25'!$B:$E,4,0),"")</f>
        <v>0</v>
      </c>
      <c r="R28" s="85">
        <f>IFERROR(VLOOKUP("M7_BARRIERS",'Company 25'!$B:$E,4,0),"")</f>
        <v>0</v>
      </c>
      <c r="S28" s="85">
        <f>IFERROR(VLOOKUP("M8_IMPACT",'Company 25'!$B:$E,4,0),"")</f>
        <v>0</v>
      </c>
      <c r="T28" s="85">
        <f>IFERROR(VLOOKUP("M9_WILLINGNESS",'Company 25'!$B:$E,4,0),"")</f>
        <v>0</v>
      </c>
      <c r="U28" s="85">
        <f>IFERROR(VLOOKUP("SV1_PRICING",'Company 25'!$B:$E,4,0),"")</f>
        <v>0</v>
      </c>
      <c r="V28" s="85">
        <f>IFERROR(VLOOKUP("SV2_PROMOTIONS",'Company 25'!$B:$E,4,0),"")</f>
        <v>0</v>
      </c>
      <c r="W28" s="85">
        <f>IFERROR(VLOOKUP("SV3_SUPPLYCHAIN",'Company 25'!$B:$E,4,0),"")</f>
        <v>0</v>
      </c>
      <c r="X28" s="85">
        <f>IFERROR(VLOOKUP("SV4_CATEGORY",'Company 25'!$B:$E,4,0),"")</f>
        <v>0</v>
      </c>
      <c r="Y28" s="85">
        <f>IFERROR(VLOOKUP("SV5_DEMAND",'Company 25'!$B:$E,4,0),"")</f>
        <v>0</v>
      </c>
      <c r="Z28" s="85">
        <f>IFERROR(VLOOKUP("SV6_ACCOUNT",'Company 25'!$B:$E,4,0),"")</f>
        <v>0</v>
      </c>
      <c r="AA28" s="85">
        <f>IFERROR(VLOOKUP("SV7_OPS",'Company 25'!$B:$E,4,0),"")</f>
        <v>0</v>
      </c>
      <c r="AB28" s="85">
        <f>IFERROR(VLOOKUP("SC1_DATASENS",'Company 25'!$B:$E,4,0),"")</f>
        <v>0</v>
      </c>
      <c r="AC28" s="85">
        <f>IFERROR(VLOOKUP("SC2_COMPLIANCE",'Company 25'!$B:$E,4,0),"")</f>
        <v>0</v>
      </c>
      <c r="AD28" s="85">
        <f>IFERROR(VLOOKUP("SC3_TRUST",'Company 25'!$B:$E,4,0),"")</f>
        <v>0</v>
      </c>
      <c r="AE28" s="85">
        <f>IFERROR(VLOOKUP("SC4_DATAPROC",'Company 25'!$B:$E,4,0),"")</f>
        <v>0</v>
      </c>
      <c r="AF28" s="85">
        <f>IFERROR(VLOOKUP("SF1_REALTIME",'Company 25'!$B:$E,4,0),"")</f>
        <v>0</v>
      </c>
      <c r="AG28" s="85">
        <f>IFERROR(VLOOKUP("SF2_ACCESS",'Company 25'!$B:$E,4,0),"")</f>
        <v>0</v>
      </c>
      <c r="AH28" s="85">
        <f>IFERROR(VLOOKUP("SF3_UX",'Company 25'!$B:$E,4,0),"")</f>
        <v>0</v>
      </c>
      <c r="AI28" s="85">
        <f>IFERROR(VLOOKUP("SF4_DECISION",'Company 25'!$B:$E,4,0),"")</f>
        <v>0</v>
      </c>
      <c r="AJ28" s="85">
        <f>IFERROR(VLOOKUP("SF5_MASKING",'Company 25'!$B:$E,4,0),"")</f>
        <v>0</v>
      </c>
      <c r="AK28" s="85">
        <f>IFERROR(VLOOKUP("SD1_TRENDS",'Company 25'!$B:$E,4,0),"")</f>
        <v>0</v>
      </c>
      <c r="AL28" s="85">
        <f>IFERROR(VLOOKUP("SD2_MARKET",'Company 25'!$B:$E,4,0),"")</f>
        <v>0</v>
      </c>
      <c r="AM28" s="85">
        <f>IFERROR(VLOOKUP("SD3_CATEGORY",'Company 25'!$B:$E,4,0),"")</f>
        <v>0</v>
      </c>
      <c r="AN28" s="85">
        <f>IFERROR(VLOOKUP("SD4_SHIPMENT",'Company 25'!$B:$E,4,0),"")</f>
        <v>0</v>
      </c>
      <c r="AO28" s="85">
        <f>IFERROR(VLOOKUP("SD5_LEAD",'Company 25'!$B:$E,4,0),"")</f>
        <v>0</v>
      </c>
      <c r="AP28" s="85">
        <f>IFERROR(VLOOKUP("SD6_CONJOINT",'Company 25'!$B:$E,4,0),"")</f>
        <v>0</v>
      </c>
    </row>
    <row r="29" spans="2:42" ht="20.100000000000001" customHeight="1">
      <c r="B29" s="83" t="s">
        <v>192</v>
      </c>
      <c r="C29" s="84">
        <f>IFERROR(VLOOKUP("Interviewee Position",'Company 26'!$B:$C,2,0),"")</f>
        <v>0</v>
      </c>
      <c r="D29" s="84">
        <f>IFERROR(VLOOKUP("Company Industry",'Company 26'!$B:$C,2,0),"")</f>
        <v>0</v>
      </c>
      <c r="E29" s="84">
        <f>IFERROR(VLOOKUP("Company Sub-Industry",'Company 26'!$B:$C,2,0),"")</f>
        <v>0</v>
      </c>
      <c r="F29" s="3">
        <f>IFERROR(VLOOKUP("Company Size (Turnover)",'Company 26'!$B:$C,2,0),"")</f>
        <v>0</v>
      </c>
      <c r="G29" s="84">
        <f>IFERROR(VLOOKUP("Country",'Company 26'!$B:$C,2,0),"")</f>
        <v>0</v>
      </c>
      <c r="H29" s="85">
        <f>IFERROR(VLOOKUP("B1_INTEREST",'Company 26'!$B:$E,4,0),"")</f>
        <v>0</v>
      </c>
      <c r="I29" s="85">
        <f>IFERROR(VLOOKUP("B2_SHARING",'Company 26'!$B:$E,4,0),"")</f>
        <v>0</v>
      </c>
      <c r="J29" s="85">
        <f>IFERROR(VLOOKUP("B3_MONETIZE",'Company 26'!$B:$E,4,0),"")</f>
        <v>0</v>
      </c>
      <c r="K29" s="85">
        <f>IFERROR(VLOOKUP("B4_STRATEGIC",'Company 26'!$B:$E,4,0),"")</f>
        <v>0</v>
      </c>
      <c r="L29" s="85">
        <f>IFERROR(VLOOKUP("M1_AUTOMATED",'Company 26'!$B:$E,4,0),"")</f>
        <v>0</v>
      </c>
      <c r="M29" s="85">
        <f>IFERROR(VLOOKUP("M2_REALTIME",'Company 26'!$B:$E,4,0),"")</f>
        <v>0</v>
      </c>
      <c r="N29" s="85">
        <f>IFERROR(VLOOKUP("M3_STRATEGIC",'Company 26'!$B:$E,4,0),"")</f>
        <v>0</v>
      </c>
      <c r="O29" s="85">
        <f>IFERROR(VLOOKUP("M4_BREADTH",'Company 26'!$B:$E,4,0),"")</f>
        <v>0</v>
      </c>
      <c r="P29" s="85">
        <f>IFERROR(VLOOKUP("M5_DATATYPES",'Company 26'!$B:$E,4,0),"")</f>
        <v>0</v>
      </c>
      <c r="Q29" s="85">
        <f>IFERROR(VLOOKUP("M6_TRUST",'Company 26'!$B:$E,4,0),"")</f>
        <v>0</v>
      </c>
      <c r="R29" s="85">
        <f>IFERROR(VLOOKUP("M7_BARRIERS",'Company 26'!$B:$E,4,0),"")</f>
        <v>0</v>
      </c>
      <c r="S29" s="85">
        <f>IFERROR(VLOOKUP("M8_IMPACT",'Company 26'!$B:$E,4,0),"")</f>
        <v>0</v>
      </c>
      <c r="T29" s="85">
        <f>IFERROR(VLOOKUP("M9_WILLINGNESS",'Company 26'!$B:$E,4,0),"")</f>
        <v>0</v>
      </c>
      <c r="U29" s="85">
        <f>IFERROR(VLOOKUP("SV1_PRICING",'Company 26'!$B:$E,4,0),"")</f>
        <v>0</v>
      </c>
      <c r="V29" s="85">
        <f>IFERROR(VLOOKUP("SV2_PROMOTIONS",'Company 26'!$B:$E,4,0),"")</f>
        <v>0</v>
      </c>
      <c r="W29" s="85">
        <f>IFERROR(VLOOKUP("SV3_SUPPLYCHAIN",'Company 26'!$B:$E,4,0),"")</f>
        <v>0</v>
      </c>
      <c r="X29" s="85">
        <f>IFERROR(VLOOKUP("SV4_CATEGORY",'Company 26'!$B:$E,4,0),"")</f>
        <v>0</v>
      </c>
      <c r="Y29" s="85">
        <f>IFERROR(VLOOKUP("SV5_DEMAND",'Company 26'!$B:$E,4,0),"")</f>
        <v>0</v>
      </c>
      <c r="Z29" s="85">
        <f>IFERROR(VLOOKUP("SV6_ACCOUNT",'Company 26'!$B:$E,4,0),"")</f>
        <v>0</v>
      </c>
      <c r="AA29" s="85">
        <f>IFERROR(VLOOKUP("SV7_OPS",'Company 26'!$B:$E,4,0),"")</f>
        <v>0</v>
      </c>
      <c r="AB29" s="85">
        <f>IFERROR(VLOOKUP("SC1_DATASENS",'Company 26'!$B:$E,4,0),"")</f>
        <v>0</v>
      </c>
      <c r="AC29" s="85">
        <f>IFERROR(VLOOKUP("SC2_COMPLIANCE",'Company 26'!$B:$E,4,0),"")</f>
        <v>0</v>
      </c>
      <c r="AD29" s="85">
        <f>IFERROR(VLOOKUP("SC3_TRUST",'Company 26'!$B:$E,4,0),"")</f>
        <v>0</v>
      </c>
      <c r="AE29" s="85">
        <f>IFERROR(VLOOKUP("SC4_DATAPROC",'Company 26'!$B:$E,4,0),"")</f>
        <v>0</v>
      </c>
      <c r="AF29" s="85">
        <f>IFERROR(VLOOKUP("SF1_REALTIME",'Company 26'!$B:$E,4,0),"")</f>
        <v>0</v>
      </c>
      <c r="AG29" s="85">
        <f>IFERROR(VLOOKUP("SF2_ACCESS",'Company 26'!$B:$E,4,0),"")</f>
        <v>0</v>
      </c>
      <c r="AH29" s="85">
        <f>IFERROR(VLOOKUP("SF3_UX",'Company 26'!$B:$E,4,0),"")</f>
        <v>0</v>
      </c>
      <c r="AI29" s="85">
        <f>IFERROR(VLOOKUP("SF4_DECISION",'Company 26'!$B:$E,4,0),"")</f>
        <v>0</v>
      </c>
      <c r="AJ29" s="85">
        <f>IFERROR(VLOOKUP("SF5_MASKING",'Company 26'!$B:$E,4,0),"")</f>
        <v>0</v>
      </c>
      <c r="AK29" s="85">
        <f>IFERROR(VLOOKUP("SD1_TRENDS",'Company 26'!$B:$E,4,0),"")</f>
        <v>0</v>
      </c>
      <c r="AL29" s="85">
        <f>IFERROR(VLOOKUP("SD2_MARKET",'Company 26'!$B:$E,4,0),"")</f>
        <v>0</v>
      </c>
      <c r="AM29" s="85">
        <f>IFERROR(VLOOKUP("SD3_CATEGORY",'Company 26'!$B:$E,4,0),"")</f>
        <v>0</v>
      </c>
      <c r="AN29" s="85">
        <f>IFERROR(VLOOKUP("SD4_SHIPMENT",'Company 26'!$B:$E,4,0),"")</f>
        <v>0</v>
      </c>
      <c r="AO29" s="85">
        <f>IFERROR(VLOOKUP("SD5_LEAD",'Company 26'!$B:$E,4,0),"")</f>
        <v>0</v>
      </c>
      <c r="AP29" s="85">
        <f>IFERROR(VLOOKUP("SD6_CONJOINT",'Company 26'!$B:$E,4,0),"")</f>
        <v>0</v>
      </c>
    </row>
    <row r="30" spans="2:42" ht="20.100000000000001" customHeight="1">
      <c r="B30" s="83" t="s">
        <v>193</v>
      </c>
      <c r="C30" s="84">
        <f>IFERROR(VLOOKUP("Interviewee Position",'Company 27'!$B:$C,2,0),"")</f>
        <v>0</v>
      </c>
      <c r="D30" s="84">
        <f>IFERROR(VLOOKUP("Company Industry",'Company 27'!$B:$C,2,0),"")</f>
        <v>0</v>
      </c>
      <c r="E30" s="84">
        <f>IFERROR(VLOOKUP("Company Sub-Industry",'Company 27'!$B:$C,2,0),"")</f>
        <v>0</v>
      </c>
      <c r="F30" s="3">
        <f>IFERROR(VLOOKUP("Company Size (Turnover)",'Company 27'!$B:$C,2,0),"")</f>
        <v>0</v>
      </c>
      <c r="G30" s="84">
        <f>IFERROR(VLOOKUP("Country",'Company 27'!$B:$C,2,0),"")</f>
        <v>0</v>
      </c>
      <c r="H30" s="85">
        <f>IFERROR(VLOOKUP("B1_INTEREST",'Company 27'!$B:$E,4,0),"")</f>
        <v>0</v>
      </c>
      <c r="I30" s="85">
        <f>IFERROR(VLOOKUP("B2_SHARING",'Company 27'!$B:$E,4,0),"")</f>
        <v>0</v>
      </c>
      <c r="J30" s="85">
        <f>IFERROR(VLOOKUP("B3_MONETIZE",'Company 27'!$B:$E,4,0),"")</f>
        <v>0</v>
      </c>
      <c r="K30" s="85">
        <f>IFERROR(VLOOKUP("B4_STRATEGIC",'Company 27'!$B:$E,4,0),"")</f>
        <v>0</v>
      </c>
      <c r="L30" s="85">
        <f>IFERROR(VLOOKUP("M1_AUTOMATED",'Company 27'!$B:$E,4,0),"")</f>
        <v>0</v>
      </c>
      <c r="M30" s="85">
        <f>IFERROR(VLOOKUP("M2_REALTIME",'Company 27'!$B:$E,4,0),"")</f>
        <v>0</v>
      </c>
      <c r="N30" s="85">
        <f>IFERROR(VLOOKUP("M3_STRATEGIC",'Company 27'!$B:$E,4,0),"")</f>
        <v>0</v>
      </c>
      <c r="O30" s="85">
        <f>IFERROR(VLOOKUP("M4_BREADTH",'Company 27'!$B:$E,4,0),"")</f>
        <v>0</v>
      </c>
      <c r="P30" s="85">
        <f>IFERROR(VLOOKUP("M5_DATATYPES",'Company 27'!$B:$E,4,0),"")</f>
        <v>0</v>
      </c>
      <c r="Q30" s="85">
        <f>IFERROR(VLOOKUP("M6_TRUST",'Company 27'!$B:$E,4,0),"")</f>
        <v>0</v>
      </c>
      <c r="R30" s="85">
        <f>IFERROR(VLOOKUP("M7_BARRIERS",'Company 27'!$B:$E,4,0),"")</f>
        <v>0</v>
      </c>
      <c r="S30" s="85">
        <f>IFERROR(VLOOKUP("M8_IMPACT",'Company 27'!$B:$E,4,0),"")</f>
        <v>0</v>
      </c>
      <c r="T30" s="85">
        <f>IFERROR(VLOOKUP("M9_WILLINGNESS",'Company 27'!$B:$E,4,0),"")</f>
        <v>0</v>
      </c>
      <c r="U30" s="85">
        <f>IFERROR(VLOOKUP("SV1_PRICING",'Company 27'!$B:$E,4,0),"")</f>
        <v>0</v>
      </c>
      <c r="V30" s="85">
        <f>IFERROR(VLOOKUP("SV2_PROMOTIONS",'Company 27'!$B:$E,4,0),"")</f>
        <v>0</v>
      </c>
      <c r="W30" s="85">
        <f>IFERROR(VLOOKUP("SV3_SUPPLYCHAIN",'Company 27'!$B:$E,4,0),"")</f>
        <v>0</v>
      </c>
      <c r="X30" s="85">
        <f>IFERROR(VLOOKUP("SV4_CATEGORY",'Company 27'!$B:$E,4,0),"")</f>
        <v>0</v>
      </c>
      <c r="Y30" s="85">
        <f>IFERROR(VLOOKUP("SV5_DEMAND",'Company 27'!$B:$E,4,0),"")</f>
        <v>0</v>
      </c>
      <c r="Z30" s="85">
        <f>IFERROR(VLOOKUP("SV6_ACCOUNT",'Company 27'!$B:$E,4,0),"")</f>
        <v>0</v>
      </c>
      <c r="AA30" s="85">
        <f>IFERROR(VLOOKUP("SV7_OPS",'Company 27'!$B:$E,4,0),"")</f>
        <v>0</v>
      </c>
      <c r="AB30" s="85">
        <f>IFERROR(VLOOKUP("SC1_DATASENS",'Company 27'!$B:$E,4,0),"")</f>
        <v>0</v>
      </c>
      <c r="AC30" s="85">
        <f>IFERROR(VLOOKUP("SC2_COMPLIANCE",'Company 27'!$B:$E,4,0),"")</f>
        <v>0</v>
      </c>
      <c r="AD30" s="85">
        <f>IFERROR(VLOOKUP("SC3_TRUST",'Company 27'!$B:$E,4,0),"")</f>
        <v>0</v>
      </c>
      <c r="AE30" s="85">
        <f>IFERROR(VLOOKUP("SC4_DATAPROC",'Company 27'!$B:$E,4,0),"")</f>
        <v>0</v>
      </c>
      <c r="AF30" s="85">
        <f>IFERROR(VLOOKUP("SF1_REALTIME",'Company 27'!$B:$E,4,0),"")</f>
        <v>0</v>
      </c>
      <c r="AG30" s="85">
        <f>IFERROR(VLOOKUP("SF2_ACCESS",'Company 27'!$B:$E,4,0),"")</f>
        <v>0</v>
      </c>
      <c r="AH30" s="85">
        <f>IFERROR(VLOOKUP("SF3_UX",'Company 27'!$B:$E,4,0),"")</f>
        <v>0</v>
      </c>
      <c r="AI30" s="85">
        <f>IFERROR(VLOOKUP("SF4_DECISION",'Company 27'!$B:$E,4,0),"")</f>
        <v>0</v>
      </c>
      <c r="AJ30" s="85">
        <f>IFERROR(VLOOKUP("SF5_MASKING",'Company 27'!$B:$E,4,0),"")</f>
        <v>0</v>
      </c>
      <c r="AK30" s="85">
        <f>IFERROR(VLOOKUP("SD1_TRENDS",'Company 27'!$B:$E,4,0),"")</f>
        <v>0</v>
      </c>
      <c r="AL30" s="85">
        <f>IFERROR(VLOOKUP("SD2_MARKET",'Company 27'!$B:$E,4,0),"")</f>
        <v>0</v>
      </c>
      <c r="AM30" s="85">
        <f>IFERROR(VLOOKUP("SD3_CATEGORY",'Company 27'!$B:$E,4,0),"")</f>
        <v>0</v>
      </c>
      <c r="AN30" s="85">
        <f>IFERROR(VLOOKUP("SD4_SHIPMENT",'Company 27'!$B:$E,4,0),"")</f>
        <v>0</v>
      </c>
      <c r="AO30" s="85">
        <f>IFERROR(VLOOKUP("SD5_LEAD",'Company 27'!$B:$E,4,0),"")</f>
        <v>0</v>
      </c>
      <c r="AP30" s="85">
        <f>IFERROR(VLOOKUP("SD6_CONJOINT",'Company 27'!$B:$E,4,0),"")</f>
        <v>0</v>
      </c>
    </row>
    <row r="31" spans="2:42" ht="20.100000000000001" customHeight="1">
      <c r="B31" s="83" t="s">
        <v>194</v>
      </c>
      <c r="C31" s="84">
        <f>IFERROR(VLOOKUP("Interviewee Position",'Company 28'!$B:$C,2,0),"")</f>
        <v>0</v>
      </c>
      <c r="D31" s="84">
        <f>IFERROR(VLOOKUP("Company Industry",'Company 28'!$B:$C,2,0),"")</f>
        <v>0</v>
      </c>
      <c r="E31" s="84">
        <f>IFERROR(VLOOKUP("Company Sub-Industry",'Company 28'!$B:$C,2,0),"")</f>
        <v>0</v>
      </c>
      <c r="F31" s="3">
        <f>IFERROR(VLOOKUP("Company Size (Turnover)",'Company 28'!$B:$C,2,0),"")</f>
        <v>0</v>
      </c>
      <c r="G31" s="84">
        <f>IFERROR(VLOOKUP("Country",'Company 28'!$B:$C,2,0),"")</f>
        <v>0</v>
      </c>
      <c r="H31" s="85">
        <f>IFERROR(VLOOKUP("B1_INTEREST",'Company 28'!$B:$E,4,0),"")</f>
        <v>0</v>
      </c>
      <c r="I31" s="85">
        <f>IFERROR(VLOOKUP("B2_SHARING",'Company 28'!$B:$E,4,0),"")</f>
        <v>0</v>
      </c>
      <c r="J31" s="85">
        <f>IFERROR(VLOOKUP("B3_MONETIZE",'Company 28'!$B:$E,4,0),"")</f>
        <v>0</v>
      </c>
      <c r="K31" s="85">
        <f>IFERROR(VLOOKUP("B4_STRATEGIC",'Company 28'!$B:$E,4,0),"")</f>
        <v>0</v>
      </c>
      <c r="L31" s="85">
        <f>IFERROR(VLOOKUP("M1_AUTOMATED",'Company 28'!$B:$E,4,0),"")</f>
        <v>0</v>
      </c>
      <c r="M31" s="85">
        <f>IFERROR(VLOOKUP("M2_REALTIME",'Company 28'!$B:$E,4,0),"")</f>
        <v>0</v>
      </c>
      <c r="N31" s="85">
        <f>IFERROR(VLOOKUP("M3_STRATEGIC",'Company 28'!$B:$E,4,0),"")</f>
        <v>0</v>
      </c>
      <c r="O31" s="85">
        <f>IFERROR(VLOOKUP("M4_BREADTH",'Company 28'!$B:$E,4,0),"")</f>
        <v>0</v>
      </c>
      <c r="P31" s="85">
        <f>IFERROR(VLOOKUP("M5_DATATYPES",'Company 28'!$B:$E,4,0),"")</f>
        <v>0</v>
      </c>
      <c r="Q31" s="85">
        <f>IFERROR(VLOOKUP("M6_TRUST",'Company 28'!$B:$E,4,0),"")</f>
        <v>0</v>
      </c>
      <c r="R31" s="85">
        <f>IFERROR(VLOOKUP("M7_BARRIERS",'Company 28'!$B:$E,4,0),"")</f>
        <v>0</v>
      </c>
      <c r="S31" s="85">
        <f>IFERROR(VLOOKUP("M8_IMPACT",'Company 28'!$B:$E,4,0),"")</f>
        <v>0</v>
      </c>
      <c r="T31" s="85">
        <f>IFERROR(VLOOKUP("M9_WILLINGNESS",'Company 28'!$B:$E,4,0),"")</f>
        <v>0</v>
      </c>
      <c r="U31" s="85">
        <f>IFERROR(VLOOKUP("SV1_PRICING",'Company 28'!$B:$E,4,0),"")</f>
        <v>0</v>
      </c>
      <c r="V31" s="85">
        <f>IFERROR(VLOOKUP("SV2_PROMOTIONS",'Company 28'!$B:$E,4,0),"")</f>
        <v>0</v>
      </c>
      <c r="W31" s="85">
        <f>IFERROR(VLOOKUP("SV3_SUPPLYCHAIN",'Company 28'!$B:$E,4,0),"")</f>
        <v>0</v>
      </c>
      <c r="X31" s="85">
        <f>IFERROR(VLOOKUP("SV4_CATEGORY",'Company 28'!$B:$E,4,0),"")</f>
        <v>0</v>
      </c>
      <c r="Y31" s="85">
        <f>IFERROR(VLOOKUP("SV5_DEMAND",'Company 28'!$B:$E,4,0),"")</f>
        <v>0</v>
      </c>
      <c r="Z31" s="85">
        <f>IFERROR(VLOOKUP("SV6_ACCOUNT",'Company 28'!$B:$E,4,0),"")</f>
        <v>0</v>
      </c>
      <c r="AA31" s="85">
        <f>IFERROR(VLOOKUP("SV7_OPS",'Company 28'!$B:$E,4,0),"")</f>
        <v>0</v>
      </c>
      <c r="AB31" s="85">
        <f>IFERROR(VLOOKUP("SC1_DATASENS",'Company 28'!$B:$E,4,0),"")</f>
        <v>0</v>
      </c>
      <c r="AC31" s="85">
        <f>IFERROR(VLOOKUP("SC2_COMPLIANCE",'Company 28'!$B:$E,4,0),"")</f>
        <v>0</v>
      </c>
      <c r="AD31" s="85">
        <f>IFERROR(VLOOKUP("SC3_TRUST",'Company 28'!$B:$E,4,0),"")</f>
        <v>0</v>
      </c>
      <c r="AE31" s="85">
        <f>IFERROR(VLOOKUP("SC4_DATAPROC",'Company 28'!$B:$E,4,0),"")</f>
        <v>0</v>
      </c>
      <c r="AF31" s="85">
        <f>IFERROR(VLOOKUP("SF1_REALTIME",'Company 28'!$B:$E,4,0),"")</f>
        <v>0</v>
      </c>
      <c r="AG31" s="85">
        <f>IFERROR(VLOOKUP("SF2_ACCESS",'Company 28'!$B:$E,4,0),"")</f>
        <v>0</v>
      </c>
      <c r="AH31" s="85">
        <f>IFERROR(VLOOKUP("SF3_UX",'Company 28'!$B:$E,4,0),"")</f>
        <v>0</v>
      </c>
      <c r="AI31" s="85">
        <f>IFERROR(VLOOKUP("SF4_DECISION",'Company 28'!$B:$E,4,0),"")</f>
        <v>0</v>
      </c>
      <c r="AJ31" s="85">
        <f>IFERROR(VLOOKUP("SF5_MASKING",'Company 28'!$B:$E,4,0),"")</f>
        <v>0</v>
      </c>
      <c r="AK31" s="85">
        <f>IFERROR(VLOOKUP("SD1_TRENDS",'Company 28'!$B:$E,4,0),"")</f>
        <v>0</v>
      </c>
      <c r="AL31" s="85">
        <f>IFERROR(VLOOKUP("SD2_MARKET",'Company 28'!$B:$E,4,0),"")</f>
        <v>0</v>
      </c>
      <c r="AM31" s="85">
        <f>IFERROR(VLOOKUP("SD3_CATEGORY",'Company 28'!$B:$E,4,0),"")</f>
        <v>0</v>
      </c>
      <c r="AN31" s="85">
        <f>IFERROR(VLOOKUP("SD4_SHIPMENT",'Company 28'!$B:$E,4,0),"")</f>
        <v>0</v>
      </c>
      <c r="AO31" s="85">
        <f>IFERROR(VLOOKUP("SD5_LEAD",'Company 28'!$B:$E,4,0),"")</f>
        <v>0</v>
      </c>
      <c r="AP31" s="85">
        <f>IFERROR(VLOOKUP("SD6_CONJOINT",'Company 28'!$B:$E,4,0),"")</f>
        <v>0</v>
      </c>
    </row>
    <row r="32" spans="2:42" ht="20.100000000000001" customHeight="1">
      <c r="B32" s="83" t="s">
        <v>195</v>
      </c>
      <c r="C32" s="84">
        <f>IFERROR(VLOOKUP("Interviewee Position",'Company 29'!$B:$C,2,0),"")</f>
        <v>0</v>
      </c>
      <c r="D32" s="84">
        <f>IFERROR(VLOOKUP("Company Industry",'Company 29'!$B:$C,2,0),"")</f>
        <v>0</v>
      </c>
      <c r="E32" s="84">
        <f>IFERROR(VLOOKUP("Company Sub-Industry",'Company 29'!$B:$C,2,0),"")</f>
        <v>0</v>
      </c>
      <c r="F32" s="3">
        <f>IFERROR(VLOOKUP("Company Size (Turnover)",'Company 29'!$B:$C,2,0),"")</f>
        <v>0</v>
      </c>
      <c r="G32" s="84">
        <f>IFERROR(VLOOKUP("Country",'Company 29'!$B:$C,2,0),"")</f>
        <v>0</v>
      </c>
      <c r="H32" s="85">
        <f>IFERROR(VLOOKUP("B1_INTEREST",'Company 29'!$B:$E,4,0),"")</f>
        <v>0</v>
      </c>
      <c r="I32" s="85">
        <f>IFERROR(VLOOKUP("B2_SHARING",'Company 29'!$B:$E,4,0),"")</f>
        <v>0</v>
      </c>
      <c r="J32" s="85">
        <f>IFERROR(VLOOKUP("B3_MONETIZE",'Company 29'!$B:$E,4,0),"")</f>
        <v>0</v>
      </c>
      <c r="K32" s="85">
        <f>IFERROR(VLOOKUP("B4_STRATEGIC",'Company 29'!$B:$E,4,0),"")</f>
        <v>0</v>
      </c>
      <c r="L32" s="85">
        <f>IFERROR(VLOOKUP("M1_AUTOMATED",'Company 29'!$B:$E,4,0),"")</f>
        <v>0</v>
      </c>
      <c r="M32" s="85">
        <f>IFERROR(VLOOKUP("M2_REALTIME",'Company 29'!$B:$E,4,0),"")</f>
        <v>0</v>
      </c>
      <c r="N32" s="85">
        <f>IFERROR(VLOOKUP("M3_STRATEGIC",'Company 29'!$B:$E,4,0),"")</f>
        <v>0</v>
      </c>
      <c r="O32" s="85">
        <f>IFERROR(VLOOKUP("M4_BREADTH",'Company 29'!$B:$E,4,0),"")</f>
        <v>0</v>
      </c>
      <c r="P32" s="85">
        <f>IFERROR(VLOOKUP("M5_DATATYPES",'Company 29'!$B:$E,4,0),"")</f>
        <v>0</v>
      </c>
      <c r="Q32" s="85">
        <f>IFERROR(VLOOKUP("M6_TRUST",'Company 29'!$B:$E,4,0),"")</f>
        <v>0</v>
      </c>
      <c r="R32" s="85">
        <f>IFERROR(VLOOKUP("M7_BARRIERS",'Company 29'!$B:$E,4,0),"")</f>
        <v>0</v>
      </c>
      <c r="S32" s="85">
        <f>IFERROR(VLOOKUP("M8_IMPACT",'Company 29'!$B:$E,4,0),"")</f>
        <v>0</v>
      </c>
      <c r="T32" s="85">
        <f>IFERROR(VLOOKUP("M9_WILLINGNESS",'Company 29'!$B:$E,4,0),"")</f>
        <v>0</v>
      </c>
      <c r="U32" s="85">
        <f>IFERROR(VLOOKUP("SV1_PRICING",'Company 29'!$B:$E,4,0),"")</f>
        <v>0</v>
      </c>
      <c r="V32" s="85">
        <f>IFERROR(VLOOKUP("SV2_PROMOTIONS",'Company 29'!$B:$E,4,0),"")</f>
        <v>0</v>
      </c>
      <c r="W32" s="85">
        <f>IFERROR(VLOOKUP("SV3_SUPPLYCHAIN",'Company 29'!$B:$E,4,0),"")</f>
        <v>0</v>
      </c>
      <c r="X32" s="85">
        <f>IFERROR(VLOOKUP("SV4_CATEGORY",'Company 29'!$B:$E,4,0),"")</f>
        <v>0</v>
      </c>
      <c r="Y32" s="85">
        <f>IFERROR(VLOOKUP("SV5_DEMAND",'Company 29'!$B:$E,4,0),"")</f>
        <v>0</v>
      </c>
      <c r="Z32" s="85">
        <f>IFERROR(VLOOKUP("SV6_ACCOUNT",'Company 29'!$B:$E,4,0),"")</f>
        <v>0</v>
      </c>
      <c r="AA32" s="85">
        <f>IFERROR(VLOOKUP("SV7_OPS",'Company 29'!$B:$E,4,0),"")</f>
        <v>0</v>
      </c>
      <c r="AB32" s="85">
        <f>IFERROR(VLOOKUP("SC1_DATASENS",'Company 29'!$B:$E,4,0),"")</f>
        <v>0</v>
      </c>
      <c r="AC32" s="85">
        <f>IFERROR(VLOOKUP("SC2_COMPLIANCE",'Company 29'!$B:$E,4,0),"")</f>
        <v>0</v>
      </c>
      <c r="AD32" s="85">
        <f>IFERROR(VLOOKUP("SC3_TRUST",'Company 29'!$B:$E,4,0),"")</f>
        <v>0</v>
      </c>
      <c r="AE32" s="85">
        <f>IFERROR(VLOOKUP("SC4_DATAPROC",'Company 29'!$B:$E,4,0),"")</f>
        <v>0</v>
      </c>
      <c r="AF32" s="85">
        <f>IFERROR(VLOOKUP("SF1_REALTIME",'Company 29'!$B:$E,4,0),"")</f>
        <v>0</v>
      </c>
      <c r="AG32" s="85">
        <f>IFERROR(VLOOKUP("SF2_ACCESS",'Company 29'!$B:$E,4,0),"")</f>
        <v>0</v>
      </c>
      <c r="AH32" s="85">
        <f>IFERROR(VLOOKUP("SF3_UX",'Company 29'!$B:$E,4,0),"")</f>
        <v>0</v>
      </c>
      <c r="AI32" s="85">
        <f>IFERROR(VLOOKUP("SF4_DECISION",'Company 29'!$B:$E,4,0),"")</f>
        <v>0</v>
      </c>
      <c r="AJ32" s="85">
        <f>IFERROR(VLOOKUP("SF5_MASKING",'Company 29'!$B:$E,4,0),"")</f>
        <v>0</v>
      </c>
      <c r="AK32" s="85">
        <f>IFERROR(VLOOKUP("SD1_TRENDS",'Company 29'!$B:$E,4,0),"")</f>
        <v>0</v>
      </c>
      <c r="AL32" s="85">
        <f>IFERROR(VLOOKUP("SD2_MARKET",'Company 29'!$B:$E,4,0),"")</f>
        <v>0</v>
      </c>
      <c r="AM32" s="85">
        <f>IFERROR(VLOOKUP("SD3_CATEGORY",'Company 29'!$B:$E,4,0),"")</f>
        <v>0</v>
      </c>
      <c r="AN32" s="85">
        <f>IFERROR(VLOOKUP("SD4_SHIPMENT",'Company 29'!$B:$E,4,0),"")</f>
        <v>0</v>
      </c>
      <c r="AO32" s="85">
        <f>IFERROR(VLOOKUP("SD5_LEAD",'Company 29'!$B:$E,4,0),"")</f>
        <v>0</v>
      </c>
      <c r="AP32" s="85">
        <f>IFERROR(VLOOKUP("SD6_CONJOINT",'Company 29'!$B:$E,4,0),"")</f>
        <v>0</v>
      </c>
    </row>
    <row r="33" spans="2:42" ht="20.100000000000001" customHeight="1">
      <c r="B33" s="83" t="s">
        <v>196</v>
      </c>
      <c r="C33" s="84">
        <f>IFERROR(VLOOKUP("Interviewee Position",'Company 30'!$B:$C,2,0),"")</f>
        <v>0</v>
      </c>
      <c r="D33" s="84">
        <f>IFERROR(VLOOKUP("Company Industry",'Company 30'!$B:$C,2,0),"")</f>
        <v>0</v>
      </c>
      <c r="E33" s="84">
        <f>IFERROR(VLOOKUP("Company Sub-Industry",'Company 30'!$B:$C,2,0),"")</f>
        <v>0</v>
      </c>
      <c r="F33" s="3">
        <f>IFERROR(VLOOKUP("Company Size (Turnover)",'Company 30'!$B:$C,2,0),"")</f>
        <v>0</v>
      </c>
      <c r="G33" s="84">
        <f>IFERROR(VLOOKUP("Country",'Company 30'!$B:$C,2,0),"")</f>
        <v>0</v>
      </c>
      <c r="H33" s="85">
        <f>IFERROR(VLOOKUP("B1_INTEREST",'Company 30'!$B:$E,4,0),"")</f>
        <v>0</v>
      </c>
      <c r="I33" s="85">
        <f>IFERROR(VLOOKUP("B2_SHARING",'Company 30'!$B:$E,4,0),"")</f>
        <v>0</v>
      </c>
      <c r="J33" s="85">
        <f>IFERROR(VLOOKUP("B3_MONETIZE",'Company 30'!$B:$E,4,0),"")</f>
        <v>0</v>
      </c>
      <c r="K33" s="85">
        <f>IFERROR(VLOOKUP("B4_STRATEGIC",'Company 30'!$B:$E,4,0),"")</f>
        <v>0</v>
      </c>
      <c r="L33" s="85">
        <f>IFERROR(VLOOKUP("M1_AUTOMATED",'Company 30'!$B:$E,4,0),"")</f>
        <v>0</v>
      </c>
      <c r="M33" s="85">
        <f>IFERROR(VLOOKUP("M2_REALTIME",'Company 30'!$B:$E,4,0),"")</f>
        <v>0</v>
      </c>
      <c r="N33" s="85">
        <f>IFERROR(VLOOKUP("M3_STRATEGIC",'Company 30'!$B:$E,4,0),"")</f>
        <v>0</v>
      </c>
      <c r="O33" s="85">
        <f>IFERROR(VLOOKUP("M4_BREADTH",'Company 30'!$B:$E,4,0),"")</f>
        <v>0</v>
      </c>
      <c r="P33" s="85">
        <f>IFERROR(VLOOKUP("M5_DATATYPES",'Company 30'!$B:$E,4,0),"")</f>
        <v>0</v>
      </c>
      <c r="Q33" s="85">
        <f>IFERROR(VLOOKUP("M6_TRUST",'Company 30'!$B:$E,4,0),"")</f>
        <v>0</v>
      </c>
      <c r="R33" s="85">
        <f>IFERROR(VLOOKUP("M7_BARRIERS",'Company 30'!$B:$E,4,0),"")</f>
        <v>0</v>
      </c>
      <c r="S33" s="85">
        <f>IFERROR(VLOOKUP("M8_IMPACT",'Company 30'!$B:$E,4,0),"")</f>
        <v>0</v>
      </c>
      <c r="T33" s="85">
        <f>IFERROR(VLOOKUP("M9_WILLINGNESS",'Company 30'!$B:$E,4,0),"")</f>
        <v>0</v>
      </c>
      <c r="U33" s="85">
        <f>IFERROR(VLOOKUP("SV1_PRICING",'Company 30'!$B:$E,4,0),"")</f>
        <v>0</v>
      </c>
      <c r="V33" s="85">
        <f>IFERROR(VLOOKUP("SV2_PROMOTIONS",'Company 30'!$B:$E,4,0),"")</f>
        <v>0</v>
      </c>
      <c r="W33" s="85">
        <f>IFERROR(VLOOKUP("SV3_SUPPLYCHAIN",'Company 30'!$B:$E,4,0),"")</f>
        <v>0</v>
      </c>
      <c r="X33" s="85">
        <f>IFERROR(VLOOKUP("SV4_CATEGORY",'Company 30'!$B:$E,4,0),"")</f>
        <v>0</v>
      </c>
      <c r="Y33" s="85">
        <f>IFERROR(VLOOKUP("SV5_DEMAND",'Company 30'!$B:$E,4,0),"")</f>
        <v>0</v>
      </c>
      <c r="Z33" s="85">
        <f>IFERROR(VLOOKUP("SV6_ACCOUNT",'Company 30'!$B:$E,4,0),"")</f>
        <v>0</v>
      </c>
      <c r="AA33" s="85">
        <f>IFERROR(VLOOKUP("SV7_OPS",'Company 30'!$B:$E,4,0),"")</f>
        <v>0</v>
      </c>
      <c r="AB33" s="85">
        <f>IFERROR(VLOOKUP("SC1_DATASENS",'Company 30'!$B:$E,4,0),"")</f>
        <v>0</v>
      </c>
      <c r="AC33" s="85">
        <f>IFERROR(VLOOKUP("SC2_COMPLIANCE",'Company 30'!$B:$E,4,0),"")</f>
        <v>0</v>
      </c>
      <c r="AD33" s="85">
        <f>IFERROR(VLOOKUP("SC3_TRUST",'Company 30'!$B:$E,4,0),"")</f>
        <v>0</v>
      </c>
      <c r="AE33" s="85">
        <f>IFERROR(VLOOKUP("SC4_DATAPROC",'Company 30'!$B:$E,4,0),"")</f>
        <v>0</v>
      </c>
      <c r="AF33" s="85">
        <f>IFERROR(VLOOKUP("SF1_REALTIME",'Company 30'!$B:$E,4,0),"")</f>
        <v>0</v>
      </c>
      <c r="AG33" s="85">
        <f>IFERROR(VLOOKUP("SF2_ACCESS",'Company 30'!$B:$E,4,0),"")</f>
        <v>0</v>
      </c>
      <c r="AH33" s="85">
        <f>IFERROR(VLOOKUP("SF3_UX",'Company 30'!$B:$E,4,0),"")</f>
        <v>0</v>
      </c>
      <c r="AI33" s="85">
        <f>IFERROR(VLOOKUP("SF4_DECISION",'Company 30'!$B:$E,4,0),"")</f>
        <v>0</v>
      </c>
      <c r="AJ33" s="85">
        <f>IFERROR(VLOOKUP("SF5_MASKING",'Company 30'!$B:$E,4,0),"")</f>
        <v>0</v>
      </c>
      <c r="AK33" s="85">
        <f>IFERROR(VLOOKUP("SD1_TRENDS",'Company 30'!$B:$E,4,0),"")</f>
        <v>0</v>
      </c>
      <c r="AL33" s="85">
        <f>IFERROR(VLOOKUP("SD2_MARKET",'Company 30'!$B:$E,4,0),"")</f>
        <v>0</v>
      </c>
      <c r="AM33" s="85">
        <f>IFERROR(VLOOKUP("SD3_CATEGORY",'Company 30'!$B:$E,4,0),"")</f>
        <v>0</v>
      </c>
      <c r="AN33" s="85">
        <f>IFERROR(VLOOKUP("SD4_SHIPMENT",'Company 30'!$B:$E,4,0),"")</f>
        <v>0</v>
      </c>
      <c r="AO33" s="85">
        <f>IFERROR(VLOOKUP("SD5_LEAD",'Company 30'!$B:$E,4,0),"")</f>
        <v>0</v>
      </c>
      <c r="AP33" s="85">
        <f>IFERROR(VLOOKUP("SD6_CONJOINT",'Company 30'!$B:$E,4,0),"")</f>
        <v>0</v>
      </c>
    </row>
    <row r="35" spans="2:42" ht="21.95" customHeight="1">
      <c r="B35" s="86" t="s">
        <v>197</v>
      </c>
      <c r="C35" s="159" t="s">
        <v>198</v>
      </c>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1"/>
    </row>
    <row r="37" spans="2:42">
      <c r="B37" t="s">
        <v>199</v>
      </c>
      <c r="E37">
        <f>30-COUNT(E4:E33)</f>
        <v>17</v>
      </c>
      <c r="H37" s="5">
        <f>SUMIF(H4:H33,"&gt;0")/COUNTIF(H4:H33,"&gt;0")</f>
        <v>7.1923076923076925</v>
      </c>
      <c r="I37" s="5">
        <f>COUNTIF(I4:I33,"&gt;0")</f>
        <v>13</v>
      </c>
      <c r="J37" s="5">
        <f>COUNTIF(J4:J33,"&gt;0")</f>
        <v>4</v>
      </c>
      <c r="K37" s="5">
        <f>COUNTIF(K4:K33,"&gt;0")</f>
        <v>7</v>
      </c>
      <c r="L37" s="5">
        <f>SUMIF(L4:L33,"&gt;0")/COUNTIF(L4:L33,"&gt;0")</f>
        <v>2.7272727272727271</v>
      </c>
      <c r="M37" s="5">
        <f t="shared" ref="M37:T37" si="0">SUMIF(M4:M33,"&gt;0")/COUNTIF(M4:M33,"&gt;0")</f>
        <v>2.3636363636363638</v>
      </c>
      <c r="N37" s="5">
        <f t="shared" si="0"/>
        <v>3.2307692307692308</v>
      </c>
      <c r="O37" s="5">
        <f t="shared" si="0"/>
        <v>2.6153846153846154</v>
      </c>
      <c r="P37" s="5">
        <f t="shared" si="0"/>
        <v>3.2307692307692308</v>
      </c>
      <c r="Q37" s="5">
        <f t="shared" si="0"/>
        <v>2.6666666666666665</v>
      </c>
      <c r="R37" s="5">
        <f t="shared" si="0"/>
        <v>3.6153846153846154</v>
      </c>
      <c r="S37" s="5">
        <f t="shared" si="0"/>
        <v>3.3333333333333335</v>
      </c>
      <c r="T37" s="5">
        <f t="shared" si="0"/>
        <v>6.9230769230769234</v>
      </c>
      <c r="U37" s="5">
        <f>COUNTIF(U4:U33,"&gt;0")</f>
        <v>7</v>
      </c>
      <c r="V37" s="5">
        <f t="shared" ref="V37:AP37" si="1">COUNTIF(V4:V33,"&gt;0")</f>
        <v>8</v>
      </c>
      <c r="W37" s="5">
        <f t="shared" si="1"/>
        <v>8</v>
      </c>
      <c r="X37" s="5">
        <f t="shared" si="1"/>
        <v>10</v>
      </c>
      <c r="Y37" s="5">
        <f t="shared" si="1"/>
        <v>4</v>
      </c>
      <c r="Z37" s="5">
        <f t="shared" si="1"/>
        <v>3</v>
      </c>
      <c r="AA37" s="5">
        <f t="shared" si="1"/>
        <v>5</v>
      </c>
      <c r="AB37" s="5">
        <f t="shared" si="1"/>
        <v>12</v>
      </c>
      <c r="AC37" s="5">
        <f t="shared" si="1"/>
        <v>8</v>
      </c>
      <c r="AD37" s="5">
        <f t="shared" si="1"/>
        <v>5</v>
      </c>
      <c r="AE37" s="5">
        <f t="shared" si="1"/>
        <v>9</v>
      </c>
      <c r="AF37" s="5">
        <f t="shared" si="1"/>
        <v>5</v>
      </c>
      <c r="AG37" s="5">
        <f t="shared" si="1"/>
        <v>4</v>
      </c>
      <c r="AH37" s="5">
        <f t="shared" si="1"/>
        <v>6</v>
      </c>
      <c r="AI37" s="5">
        <f t="shared" si="1"/>
        <v>4</v>
      </c>
      <c r="AJ37" s="5">
        <f t="shared" si="1"/>
        <v>4</v>
      </c>
      <c r="AK37" s="5">
        <f t="shared" si="1"/>
        <v>8</v>
      </c>
      <c r="AL37" s="5">
        <f t="shared" si="1"/>
        <v>11</v>
      </c>
      <c r="AM37" s="5">
        <f t="shared" si="1"/>
        <v>10</v>
      </c>
      <c r="AN37" s="5">
        <f t="shared" si="1"/>
        <v>6</v>
      </c>
      <c r="AO37" s="5">
        <f t="shared" si="1"/>
        <v>3</v>
      </c>
      <c r="AP37" s="5">
        <f t="shared" si="1"/>
        <v>0</v>
      </c>
    </row>
    <row r="38" spans="2:42">
      <c r="B38" t="s">
        <v>6</v>
      </c>
      <c r="E38">
        <f>COUNTIF($E$4:$E$33,B38)</f>
        <v>5</v>
      </c>
      <c r="H38">
        <f>SUMIFS(H$4:H$33,H$4:H$33,"&gt;0",$E$4:$E$33,$B38)/$E38</f>
        <v>8.4</v>
      </c>
      <c r="I38">
        <f>SUMIFS(I$4:I$33,$E$4:$E$33,$B38)</f>
        <v>5</v>
      </c>
      <c r="J38">
        <f>SUMIFS(J$4:J$33,$E$4:$E$33,$B38)</f>
        <v>0</v>
      </c>
      <c r="K38">
        <f>SUMIFS(K$4:K$33,$E$4:$E$33,$B38)</f>
        <v>3</v>
      </c>
      <c r="L38">
        <f t="shared" ref="L38:T38" si="2">SUMIFS(L$4:L$33,L$4:L$33,"&gt;0",$E$4:$E$33,$B38)/$E38</f>
        <v>3</v>
      </c>
      <c r="M38">
        <f t="shared" si="2"/>
        <v>2.6</v>
      </c>
      <c r="N38">
        <f t="shared" si="2"/>
        <v>3.8</v>
      </c>
      <c r="O38">
        <f t="shared" si="2"/>
        <v>3.2</v>
      </c>
      <c r="P38">
        <f t="shared" si="2"/>
        <v>4</v>
      </c>
      <c r="Q38">
        <f t="shared" si="2"/>
        <v>2.6</v>
      </c>
      <c r="R38">
        <f t="shared" si="2"/>
        <v>4</v>
      </c>
      <c r="S38">
        <f t="shared" si="2"/>
        <v>3.2</v>
      </c>
      <c r="T38">
        <f t="shared" si="2"/>
        <v>8</v>
      </c>
      <c r="U38">
        <f t="shared" ref="U38:AP41" si="3">SUMIFS(U$4:U$33,$E$4:$E$33,$B38)</f>
        <v>4</v>
      </c>
      <c r="V38">
        <f t="shared" si="3"/>
        <v>4</v>
      </c>
      <c r="W38">
        <f t="shared" si="3"/>
        <v>4</v>
      </c>
      <c r="X38">
        <f t="shared" si="3"/>
        <v>4</v>
      </c>
      <c r="Y38">
        <f t="shared" si="3"/>
        <v>2</v>
      </c>
      <c r="Z38">
        <f t="shared" si="3"/>
        <v>2</v>
      </c>
      <c r="AA38">
        <f t="shared" si="3"/>
        <v>3</v>
      </c>
      <c r="AB38">
        <f t="shared" si="3"/>
        <v>5</v>
      </c>
      <c r="AC38">
        <f t="shared" si="3"/>
        <v>4</v>
      </c>
      <c r="AD38">
        <f t="shared" si="3"/>
        <v>3</v>
      </c>
      <c r="AE38">
        <f t="shared" si="3"/>
        <v>4</v>
      </c>
      <c r="AF38">
        <f t="shared" si="3"/>
        <v>3</v>
      </c>
      <c r="AG38">
        <f t="shared" si="3"/>
        <v>2</v>
      </c>
      <c r="AH38">
        <f t="shared" si="3"/>
        <v>2</v>
      </c>
      <c r="AI38">
        <f t="shared" si="3"/>
        <v>3</v>
      </c>
      <c r="AJ38">
        <f t="shared" si="3"/>
        <v>1</v>
      </c>
      <c r="AK38">
        <f t="shared" si="3"/>
        <v>4</v>
      </c>
      <c r="AL38">
        <f t="shared" si="3"/>
        <v>4</v>
      </c>
      <c r="AM38">
        <f t="shared" si="3"/>
        <v>4</v>
      </c>
      <c r="AN38">
        <f t="shared" si="3"/>
        <v>3</v>
      </c>
      <c r="AO38">
        <f t="shared" si="3"/>
        <v>2</v>
      </c>
      <c r="AP38">
        <f t="shared" si="3"/>
        <v>0</v>
      </c>
    </row>
    <row r="39" spans="2:42">
      <c r="B39" t="s">
        <v>9</v>
      </c>
      <c r="E39">
        <f>COUNTIF($E$4:$E$33,B39)</f>
        <v>3</v>
      </c>
      <c r="H39">
        <f t="shared" ref="H39:H41" si="4">SUMIFS(H$4:H$33,H$4:H$33,"&gt;0",$E$4:$E$33,$B39)/$E39</f>
        <v>6</v>
      </c>
      <c r="I39">
        <f t="shared" ref="I39:K41" si="5">SUMIFS(I$4:I$33,$E$4:$E$33,$B39)</f>
        <v>3</v>
      </c>
      <c r="J39">
        <f t="shared" si="5"/>
        <v>1</v>
      </c>
      <c r="K39">
        <f t="shared" si="5"/>
        <v>1</v>
      </c>
      <c r="L39">
        <f t="shared" ref="L39:T41" si="6">SUMIFS(L$4:L$33,L$4:L$33,"&gt;0",$E$4:$E$33,$B39)/$E39</f>
        <v>1.3333333333333333</v>
      </c>
      <c r="M39">
        <f t="shared" si="6"/>
        <v>1</v>
      </c>
      <c r="N39">
        <f t="shared" si="6"/>
        <v>1.6666666666666667</v>
      </c>
      <c r="O39">
        <f t="shared" si="6"/>
        <v>1.6666666666666667</v>
      </c>
      <c r="P39">
        <f t="shared" si="6"/>
        <v>1.6666666666666667</v>
      </c>
      <c r="Q39">
        <f t="shared" si="6"/>
        <v>1.3333333333333333</v>
      </c>
      <c r="R39">
        <f t="shared" si="6"/>
        <v>3.3333333333333335</v>
      </c>
      <c r="S39">
        <f t="shared" si="6"/>
        <v>0</v>
      </c>
      <c r="T39">
        <f t="shared" si="6"/>
        <v>5.666666666666667</v>
      </c>
      <c r="U39">
        <f t="shared" si="3"/>
        <v>1</v>
      </c>
      <c r="V39">
        <f t="shared" si="3"/>
        <v>1</v>
      </c>
      <c r="W39">
        <f t="shared" si="3"/>
        <v>2</v>
      </c>
      <c r="X39">
        <f t="shared" si="3"/>
        <v>2</v>
      </c>
      <c r="Y39">
        <f t="shared" si="3"/>
        <v>0</v>
      </c>
      <c r="Z39">
        <f t="shared" si="3"/>
        <v>0</v>
      </c>
      <c r="AA39">
        <f t="shared" si="3"/>
        <v>0</v>
      </c>
      <c r="AB39">
        <f t="shared" si="3"/>
        <v>3</v>
      </c>
      <c r="AC39">
        <f t="shared" si="3"/>
        <v>1</v>
      </c>
      <c r="AD39">
        <f t="shared" si="3"/>
        <v>0</v>
      </c>
      <c r="AE39">
        <f t="shared" si="3"/>
        <v>2</v>
      </c>
      <c r="AF39">
        <f t="shared" si="3"/>
        <v>0</v>
      </c>
      <c r="AG39">
        <f t="shared" si="3"/>
        <v>0</v>
      </c>
      <c r="AH39">
        <f t="shared" si="3"/>
        <v>1</v>
      </c>
      <c r="AI39">
        <f t="shared" si="3"/>
        <v>0</v>
      </c>
      <c r="AJ39">
        <f t="shared" si="3"/>
        <v>2</v>
      </c>
      <c r="AK39">
        <f t="shared" si="3"/>
        <v>2</v>
      </c>
      <c r="AL39">
        <f t="shared" si="3"/>
        <v>3</v>
      </c>
      <c r="AM39">
        <f t="shared" si="3"/>
        <v>2</v>
      </c>
      <c r="AN39">
        <f t="shared" si="3"/>
        <v>0</v>
      </c>
      <c r="AO39">
        <f t="shared" si="3"/>
        <v>0</v>
      </c>
      <c r="AP39">
        <f t="shared" si="3"/>
        <v>0</v>
      </c>
    </row>
    <row r="40" spans="2:42">
      <c r="B40" t="s">
        <v>12</v>
      </c>
      <c r="E40">
        <f>COUNTIF($E$4:$E$33,B40)</f>
        <v>4</v>
      </c>
      <c r="H40">
        <f t="shared" si="4"/>
        <v>7.625</v>
      </c>
      <c r="I40">
        <f t="shared" si="5"/>
        <v>4</v>
      </c>
      <c r="J40">
        <f t="shared" si="5"/>
        <v>3</v>
      </c>
      <c r="K40">
        <f t="shared" si="5"/>
        <v>2</v>
      </c>
      <c r="L40">
        <f t="shared" si="6"/>
        <v>2.75</v>
      </c>
      <c r="M40">
        <f t="shared" si="6"/>
        <v>2.5</v>
      </c>
      <c r="N40">
        <f t="shared" si="6"/>
        <v>4</v>
      </c>
      <c r="O40">
        <f t="shared" si="6"/>
        <v>3</v>
      </c>
      <c r="P40">
        <f t="shared" si="6"/>
        <v>3.75</v>
      </c>
      <c r="Q40">
        <f t="shared" si="6"/>
        <v>1.75</v>
      </c>
      <c r="R40">
        <f t="shared" si="6"/>
        <v>3.25</v>
      </c>
      <c r="S40">
        <f t="shared" si="6"/>
        <v>2.5</v>
      </c>
      <c r="T40">
        <f t="shared" si="6"/>
        <v>7.5</v>
      </c>
      <c r="U40">
        <f t="shared" si="3"/>
        <v>2</v>
      </c>
      <c r="V40">
        <f t="shared" si="3"/>
        <v>2</v>
      </c>
      <c r="W40">
        <f t="shared" si="3"/>
        <v>1</v>
      </c>
      <c r="X40">
        <f t="shared" si="3"/>
        <v>4</v>
      </c>
      <c r="Y40">
        <f t="shared" si="3"/>
        <v>1</v>
      </c>
      <c r="Z40">
        <f t="shared" si="3"/>
        <v>1</v>
      </c>
      <c r="AA40">
        <f t="shared" si="3"/>
        <v>2</v>
      </c>
      <c r="AB40">
        <f t="shared" si="3"/>
        <v>3</v>
      </c>
      <c r="AC40">
        <f t="shared" si="3"/>
        <v>2</v>
      </c>
      <c r="AD40">
        <f t="shared" si="3"/>
        <v>2</v>
      </c>
      <c r="AE40">
        <f t="shared" si="3"/>
        <v>3</v>
      </c>
      <c r="AF40">
        <f t="shared" si="3"/>
        <v>2</v>
      </c>
      <c r="AG40">
        <f t="shared" si="3"/>
        <v>2</v>
      </c>
      <c r="AH40">
        <f t="shared" si="3"/>
        <v>3</v>
      </c>
      <c r="AI40">
        <f t="shared" si="3"/>
        <v>1</v>
      </c>
      <c r="AJ40">
        <f t="shared" si="3"/>
        <v>0</v>
      </c>
      <c r="AK40">
        <f t="shared" si="3"/>
        <v>1</v>
      </c>
      <c r="AL40">
        <f t="shared" si="3"/>
        <v>3</v>
      </c>
      <c r="AM40">
        <f t="shared" si="3"/>
        <v>4</v>
      </c>
      <c r="AN40">
        <f t="shared" si="3"/>
        <v>2</v>
      </c>
      <c r="AO40">
        <f t="shared" si="3"/>
        <v>1</v>
      </c>
      <c r="AP40">
        <f t="shared" si="3"/>
        <v>0</v>
      </c>
    </row>
    <row r="41" spans="2:42">
      <c r="B41" t="s">
        <v>13</v>
      </c>
      <c r="E41">
        <f>COUNTIF($E$4:$E$33,B41)</f>
        <v>1</v>
      </c>
      <c r="H41">
        <f t="shared" si="4"/>
        <v>3</v>
      </c>
      <c r="I41">
        <f t="shared" si="5"/>
        <v>1</v>
      </c>
      <c r="J41">
        <f t="shared" si="5"/>
        <v>0</v>
      </c>
      <c r="K41">
        <f t="shared" si="5"/>
        <v>1</v>
      </c>
      <c r="L41">
        <f t="shared" si="6"/>
        <v>0</v>
      </c>
      <c r="M41">
        <f t="shared" si="6"/>
        <v>0</v>
      </c>
      <c r="N41">
        <f t="shared" si="6"/>
        <v>2</v>
      </c>
      <c r="O41">
        <f t="shared" si="6"/>
        <v>1</v>
      </c>
      <c r="P41">
        <f t="shared" si="6"/>
        <v>2</v>
      </c>
      <c r="Q41">
        <f t="shared" si="6"/>
        <v>0</v>
      </c>
      <c r="R41">
        <f t="shared" si="6"/>
        <v>4</v>
      </c>
      <c r="S41">
        <f t="shared" si="6"/>
        <v>4</v>
      </c>
      <c r="T41">
        <f t="shared" si="6"/>
        <v>3</v>
      </c>
      <c r="U41">
        <f t="shared" si="3"/>
        <v>0</v>
      </c>
      <c r="V41">
        <f t="shared" si="3"/>
        <v>1</v>
      </c>
      <c r="W41">
        <f t="shared" si="3"/>
        <v>1</v>
      </c>
      <c r="X41">
        <f t="shared" si="3"/>
        <v>0</v>
      </c>
      <c r="Y41">
        <f t="shared" si="3"/>
        <v>1</v>
      </c>
      <c r="Z41">
        <f t="shared" si="3"/>
        <v>0</v>
      </c>
      <c r="AA41">
        <f t="shared" si="3"/>
        <v>0</v>
      </c>
      <c r="AB41">
        <f t="shared" si="3"/>
        <v>1</v>
      </c>
      <c r="AC41">
        <f t="shared" si="3"/>
        <v>1</v>
      </c>
      <c r="AD41">
        <f t="shared" si="3"/>
        <v>0</v>
      </c>
      <c r="AE41">
        <f t="shared" si="3"/>
        <v>0</v>
      </c>
      <c r="AF41">
        <f t="shared" si="3"/>
        <v>0</v>
      </c>
      <c r="AG41">
        <f t="shared" si="3"/>
        <v>0</v>
      </c>
      <c r="AH41">
        <f t="shared" si="3"/>
        <v>0</v>
      </c>
      <c r="AI41">
        <f t="shared" si="3"/>
        <v>0</v>
      </c>
      <c r="AJ41">
        <f t="shared" si="3"/>
        <v>1</v>
      </c>
      <c r="AK41">
        <f t="shared" si="3"/>
        <v>1</v>
      </c>
      <c r="AL41">
        <f t="shared" si="3"/>
        <v>1</v>
      </c>
      <c r="AM41">
        <f t="shared" si="3"/>
        <v>0</v>
      </c>
      <c r="AN41">
        <f t="shared" si="3"/>
        <v>1</v>
      </c>
      <c r="AO41">
        <f t="shared" si="3"/>
        <v>0</v>
      </c>
      <c r="AP41">
        <f t="shared" si="3"/>
        <v>0</v>
      </c>
    </row>
  </sheetData>
  <autoFilter ref="B3:AP33" xr:uid="{00000000-0009-0000-0000-000002000000}"/>
  <mergeCells count="1">
    <mergeCell ref="C35:AP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H53"/>
  <sheetViews>
    <sheetView workbookViewId="0">
      <pane xSplit="4" ySplit="9" topLeftCell="E47" activePane="bottomRight" state="frozen"/>
      <selection pane="bottomRight" activeCell="B57" sqref="B57"/>
      <selection pane="bottomLeft" activeCell="B57" sqref="B57"/>
      <selection pane="topRight" activeCell="B57" sqref="B57"/>
    </sheetView>
  </sheetViews>
  <sheetFormatPr defaultRowHeight="14.45"/>
  <cols>
    <col min="1" max="1" width="2" customWidth="1"/>
    <col min="2" max="2" width="14" customWidth="1"/>
    <col min="3" max="3" width="16" customWidth="1"/>
    <col min="4" max="4" width="42" customWidth="1"/>
    <col min="5" max="34" width="14" customWidth="1"/>
  </cols>
  <sheetData>
    <row r="1" spans="2:34" ht="30" customHeight="1">
      <c r="B1" s="67" t="s">
        <v>200</v>
      </c>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row>
    <row r="2" spans="2:34" ht="18" customHeight="1">
      <c r="B2" s="87" t="s">
        <v>201</v>
      </c>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row>
    <row r="3" spans="2:34" ht="21.95" customHeight="1">
      <c r="B3" s="74" t="s">
        <v>202</v>
      </c>
      <c r="C3" s="88" t="s">
        <v>203</v>
      </c>
      <c r="D3" s="89" t="s">
        <v>204</v>
      </c>
      <c r="E3" s="90" t="str">
        <f>IFERROR(VLOOKUP("Interviewee Position",'Company 1'!$B:$C,2,0),"")</f>
        <v>Chief of Staff</v>
      </c>
      <c r="F3" s="90" t="str">
        <f>IFERROR(VLOOKUP("Interviewee Position",'Company 2'!$B:$C,2,0),"")</f>
        <v>President and Managing Director Belgian Shell</v>
      </c>
      <c r="G3" s="90" t="str">
        <f>IFERROR(VLOOKUP("Interviewee Position",'Company 3'!$B:$C,2,0),"")</f>
        <v>Business Development / Media Services Manager</v>
      </c>
      <c r="H3" s="90" t="str">
        <f>IFERROR(VLOOKUP("Interviewee Position",'Company 4'!$B:$C,2,0),"")</f>
        <v>Data/Analytics role (formerly Department Head of Logistics)</v>
      </c>
      <c r="I3" s="90" t="str">
        <f>IFERROR(VLOOKUP("Interviewee Position",'Company 5'!$B:$C,2,0),"")</f>
        <v>Supply Chain Director</v>
      </c>
      <c r="J3" s="90" t="str">
        <f>IFERROR(VLOOKUP("Interviewee Position",'Company 6'!$B:$C,2,0),"")</f>
        <v>Sales Director</v>
      </c>
      <c r="K3" s="90" t="str">
        <f>IFERROR(VLOOKUP("Interviewee Position",'Company 7'!$B:$C,2,0),"")</f>
        <v>CEO</v>
      </c>
      <c r="L3" s="90" t="str">
        <f>IFERROR(VLOOKUP("Interviewee Position",'Company 8'!$B:$C,2,0),"")</f>
        <v>CFO / Finance Lead EMEA &amp; LATAM</v>
      </c>
      <c r="M3" s="90" t="str">
        <f>IFERROR(VLOOKUP("Interviewee Position",'Company 9'!$B:$C,2,0),"")</f>
        <v>Commercial Director</v>
      </c>
      <c r="N3" s="90" t="str">
        <f>IFERROR(VLOOKUP("Interviewee Position",'Company 10'!$B:$C,2,0),"")</f>
        <v>Data Insights Team</v>
      </c>
      <c r="O3" s="90" t="str">
        <f>IFERROR(VLOOKUP("Interviewee Position",'Company 11'!$B:$C,2,0),"")</f>
        <v>Marketing Strategic Role</v>
      </c>
      <c r="P3" s="90" t="str">
        <f>IFERROR(VLOOKUP("Interviewee Position",'Company 12'!$B:$C,2,0),"")</f>
        <v>Marketing / Commercial Director</v>
      </c>
      <c r="Q3" s="90" t="str">
        <f>IFERROR(VLOOKUP("Interviewee Position",'Company 13'!$B:$C,2,0),"")</f>
        <v>Data Lead / Head of IT &amp; ERP</v>
      </c>
      <c r="R3" s="90" t="str">
        <f>IFERROR(VLOOKUP("Interviewee Position",#REF!,2,0),"")</f>
        <v/>
      </c>
      <c r="S3" s="90" t="str">
        <f>IFERROR(VLOOKUP("Interviewee Position",#REF!,2,0),"")</f>
        <v/>
      </c>
      <c r="T3" s="90" t="str">
        <f>IFERROR(VLOOKUP("Interviewee Position",#REF!,2,0),"")</f>
        <v/>
      </c>
      <c r="U3" s="90" t="str">
        <f>IFERROR(VLOOKUP("Interviewee Position",#REF!,2,0),"")</f>
        <v/>
      </c>
      <c r="V3" s="90">
        <f>IFERROR(VLOOKUP("Interviewee Position",'Company 18'!$B:$C,2,0),"")</f>
        <v>0</v>
      </c>
      <c r="W3" s="90">
        <f>IFERROR(VLOOKUP("Interviewee Position",'Company 19'!$B:$C,2,0),"")</f>
        <v>0</v>
      </c>
      <c r="X3" s="90">
        <f>IFERROR(VLOOKUP("Interviewee Position",'Company 20'!$B:$C,2,0),"")</f>
        <v>0</v>
      </c>
      <c r="Y3" s="90">
        <f>IFERROR(VLOOKUP("Interviewee Position",'Company 21'!$B:$C,2,0),"")</f>
        <v>0</v>
      </c>
      <c r="Z3" s="90">
        <f>IFERROR(VLOOKUP("Interviewee Position",'Company 22'!$B:$C,2,0),"")</f>
        <v>0</v>
      </c>
      <c r="AA3" s="90">
        <f>IFERROR(VLOOKUP("Interviewee Position",'Company 23'!$B:$C,2,0),"")</f>
        <v>0</v>
      </c>
      <c r="AB3" s="90">
        <f>IFERROR(VLOOKUP("Interviewee Position",'Company 24'!$B:$C,2,0),"")</f>
        <v>0</v>
      </c>
      <c r="AC3" s="90">
        <f>IFERROR(VLOOKUP("Interviewee Position",'Company 25'!$B:$C,2,0),"")</f>
        <v>0</v>
      </c>
      <c r="AD3" s="90">
        <f>IFERROR(VLOOKUP("Interviewee Position",'Company 26'!$B:$C,2,0),"")</f>
        <v>0</v>
      </c>
      <c r="AE3" s="90">
        <f>IFERROR(VLOOKUP("Interviewee Position",'Company 27'!$B:$C,2,0),"")</f>
        <v>0</v>
      </c>
      <c r="AF3" s="90">
        <f>IFERROR(VLOOKUP("Interviewee Position",'Company 28'!$B:$C,2,0),"")</f>
        <v>0</v>
      </c>
      <c r="AG3" s="90">
        <f>IFERROR(VLOOKUP("Interviewee Position",'Company 29'!$B:$C,2,0),"")</f>
        <v>0</v>
      </c>
      <c r="AH3" s="90">
        <f>IFERROR(VLOOKUP("Interviewee Position",'Company 30'!$B:$C,2,0),"")</f>
        <v>0</v>
      </c>
    </row>
    <row r="4" spans="2:34" ht="21.95" customHeight="1">
      <c r="B4" s="75" t="s">
        <v>202</v>
      </c>
      <c r="C4" s="91" t="s">
        <v>205</v>
      </c>
      <c r="D4" s="92" t="s">
        <v>206</v>
      </c>
      <c r="E4" s="93" t="str">
        <f>IFERROR(VLOOKUP("Company Industry",'Company 1'!$B:$C,2,0),"")</f>
        <v>Specialty Retail</v>
      </c>
      <c r="F4" s="93" t="str">
        <f>IFERROR(VLOOKUP("Company Industry",'Company 2'!$B:$C,2,0),"")</f>
        <v>Oil &amp; Gas</v>
      </c>
      <c r="G4" s="93" t="str">
        <f>IFERROR(VLOOKUP("Company Industry",'Company 3'!$B:$C,2,0),"")</f>
        <v>B2B Food Service Distribution</v>
      </c>
      <c r="H4" s="93" t="str">
        <f>IFERROR(VLOOKUP("Company Industry",'Company 4'!$B:$C,2,0),"")</f>
        <v>Food Service</v>
      </c>
      <c r="I4" s="93" t="str">
        <f>IFERROR(VLOOKUP("Company Industry",'Company 5'!$B:$C,2,0),"")</f>
        <v>Food Manufacturing</v>
      </c>
      <c r="J4" s="93" t="str">
        <f>IFERROR(VLOOKUP("Company Industry",'Company 6'!$B:$C,2,0),"")</f>
        <v>FMCG</v>
      </c>
      <c r="K4" s="93" t="str">
        <f>IFERROR(VLOOKUP("Company Industry",'Company 7'!$B:$C,2,0),"")</f>
        <v>Food Service / Wholesale Distribution</v>
      </c>
      <c r="L4" s="93" t="str">
        <f>IFERROR(VLOOKUP("Company Industry",'Company 8'!$B:$C,2,0),"")</f>
        <v>Pet Food &amp; Products</v>
      </c>
      <c r="M4" s="93" t="str">
        <f>IFERROR(VLOOKUP("Company Industry",'Company 9'!$B:$C,2,0),"")</f>
        <v>Wholesale</v>
      </c>
      <c r="N4" s="93" t="str">
        <f>IFERROR(VLOOKUP("Company Industry",'Company 10'!$B:$C,2,0),"")</f>
        <v>FMCG</v>
      </c>
      <c r="O4" s="93" t="str">
        <f>IFERROR(VLOOKUP("Company Industry",'Company 11'!$B:$C,2,0),"")</f>
        <v>Pharmacy/Healthcare Retail</v>
      </c>
      <c r="P4" s="93" t="str">
        <f>IFERROR(VLOOKUP("Company Industry",'Company 12'!$B:$C,2,0),"")</f>
        <v>Grocery Retail</v>
      </c>
      <c r="Q4" s="93" t="str">
        <f>IFERROR(VLOOKUP("Company Industry",'Company 13'!$B:$C,2,0),"")</f>
        <v>Pet Food Manufacturing</v>
      </c>
      <c r="R4" s="93" t="str">
        <f>IFERROR(VLOOKUP("Company Industry",#REF!,2,0),"")</f>
        <v/>
      </c>
      <c r="S4" s="93" t="str">
        <f>IFERROR(VLOOKUP("Company Industry",#REF!,2,0),"")</f>
        <v/>
      </c>
      <c r="T4" s="93" t="str">
        <f>IFERROR(VLOOKUP("Company Industry",#REF!,2,0),"")</f>
        <v/>
      </c>
      <c r="U4" s="93" t="str">
        <f>IFERROR(VLOOKUP("Company Industry",#REF!,2,0),"")</f>
        <v/>
      </c>
      <c r="V4" s="93">
        <f>IFERROR(VLOOKUP("Company Industry",'Company 18'!$B:$C,2,0),"")</f>
        <v>0</v>
      </c>
      <c r="W4" s="93">
        <f>IFERROR(VLOOKUP("Company Industry",'Company 19'!$B:$C,2,0),"")</f>
        <v>0</v>
      </c>
      <c r="X4" s="93">
        <f>IFERROR(VLOOKUP("Company Industry",'Company 20'!$B:$C,2,0),"")</f>
        <v>0</v>
      </c>
      <c r="Y4" s="93">
        <f>IFERROR(VLOOKUP("Company Industry",'Company 21'!$B:$C,2,0),"")</f>
        <v>0</v>
      </c>
      <c r="Z4" s="93">
        <f>IFERROR(VLOOKUP("Company Industry",'Company 22'!$B:$C,2,0),"")</f>
        <v>0</v>
      </c>
      <c r="AA4" s="93">
        <f>IFERROR(VLOOKUP("Company Industry",'Company 23'!$B:$C,2,0),"")</f>
        <v>0</v>
      </c>
      <c r="AB4" s="93">
        <f>IFERROR(VLOOKUP("Company Industry",'Company 24'!$B:$C,2,0),"")</f>
        <v>0</v>
      </c>
      <c r="AC4" s="93">
        <f>IFERROR(VLOOKUP("Company Industry",'Company 25'!$B:$C,2,0),"")</f>
        <v>0</v>
      </c>
      <c r="AD4" s="93">
        <f>IFERROR(VLOOKUP("Company Industry",'Company 26'!$B:$C,2,0),"")</f>
        <v>0</v>
      </c>
      <c r="AE4" s="93">
        <f>IFERROR(VLOOKUP("Company Industry",'Company 27'!$B:$C,2,0),"")</f>
        <v>0</v>
      </c>
      <c r="AF4" s="93">
        <f>IFERROR(VLOOKUP("Company Industry",'Company 28'!$B:$C,2,0),"")</f>
        <v>0</v>
      </c>
      <c r="AG4" s="93">
        <f>IFERROR(VLOOKUP("Company Industry",'Company 29'!$B:$C,2,0),"")</f>
        <v>0</v>
      </c>
      <c r="AH4" s="93">
        <f>IFERROR(VLOOKUP("Company Industry",'Company 30'!$B:$C,2,0),"")</f>
        <v>0</v>
      </c>
    </row>
    <row r="5" spans="2:34" ht="21.95" customHeight="1">
      <c r="B5" s="76" t="s">
        <v>202</v>
      </c>
      <c r="C5" s="94" t="s">
        <v>207</v>
      </c>
      <c r="D5" s="95" t="s">
        <v>208</v>
      </c>
      <c r="E5" s="96" t="str">
        <f>IFERROR(VLOOKUP("Company Sub-Industry",'Company 1'!$B:$C,2,0),"")</f>
        <v>Specialty Retail</v>
      </c>
      <c r="F5" s="96" t="str">
        <f>IFERROR(VLOOKUP("Company Sub-Industry",'Company 2'!$B:$C,2,0),"")</f>
        <v>Specialty Retail</v>
      </c>
      <c r="G5" s="96" t="str">
        <f>IFERROR(VLOOKUP("Company Sub-Industry",'Company 3'!$B:$C,2,0),"")</f>
        <v>Wholesaler</v>
      </c>
      <c r="H5" s="96" t="str">
        <f>IFERROR(VLOOKUP("Company Sub-Industry",'Company 4'!$B:$C,2,0),"")</f>
        <v>Wholesaler</v>
      </c>
      <c r="I5" s="96" t="str">
        <f>IFERROR(VLOOKUP("Company Sub-Industry",'Company 5'!$B:$C,2,0),"")</f>
        <v>Manufacturer</v>
      </c>
      <c r="J5" s="96" t="str">
        <f>IFERROR(VLOOKUP("Company Sub-Industry",'Company 6'!$B:$C,2,0),"")</f>
        <v>Manufacturer</v>
      </c>
      <c r="K5" s="96" t="str">
        <f>IFERROR(VLOOKUP("Company Sub-Industry",'Company 7'!$B:$C,2,0),"")</f>
        <v>Wholesaler</v>
      </c>
      <c r="L5" s="96" t="str">
        <f>IFERROR(VLOOKUP("Company Sub-Industry",'Company 8'!$B:$C,2,0),"")</f>
        <v>Manufacturer</v>
      </c>
      <c r="M5" s="96" t="str">
        <f>IFERROR(VLOOKUP("Company Sub-Industry",'Company 9'!$B:$C,2,0),"")</f>
        <v>Wholesaler</v>
      </c>
      <c r="N5" s="96" t="str">
        <f>IFERROR(VLOOKUP("Company Sub-Industry",'Company 10'!$B:$C,2,0),"")</f>
        <v>Manufacturer</v>
      </c>
      <c r="O5" s="96" t="str">
        <f>IFERROR(VLOOKUP("Company Sub-Industry",'Company 11'!$B:$C,2,0),"")</f>
        <v>Specialty Retail</v>
      </c>
      <c r="P5" s="96" t="str">
        <f>IFERROR(VLOOKUP("Company Sub-Industry",'Company 12'!$B:$C,2,0),"")</f>
        <v>Retailer</v>
      </c>
      <c r="Q5" s="96" t="str">
        <f>IFERROR(VLOOKUP("Company Sub-Industry",'Company 13'!$B:$C,2,0),"")</f>
        <v>Manufacturer</v>
      </c>
      <c r="R5" s="96" t="str">
        <f>IFERROR(VLOOKUP("Company Sub-Industry",#REF!,2,0),"")</f>
        <v/>
      </c>
      <c r="S5" s="96" t="str">
        <f>IFERROR(VLOOKUP("Company Sub-Industry",#REF!,2,0),"")</f>
        <v/>
      </c>
      <c r="T5" s="96" t="str">
        <f>IFERROR(VLOOKUP("Company Sub-Industry",#REF!,2,0),"")</f>
        <v/>
      </c>
      <c r="U5" s="96" t="str">
        <f>IFERROR(VLOOKUP("Company Sub-Industry",#REF!,2,0),"")</f>
        <v/>
      </c>
      <c r="V5" s="96">
        <f>IFERROR(VLOOKUP("Company Sub-Industry",'Company 18'!$B:$C,2,0),"")</f>
        <v>0</v>
      </c>
      <c r="W5" s="96">
        <f>IFERROR(VLOOKUP("Company Sub-Industry",'Company 19'!$B:$C,2,0),"")</f>
        <v>0</v>
      </c>
      <c r="X5" s="96">
        <f>IFERROR(VLOOKUP("Company Sub-Industry",'Company 20'!$B:$C,2,0),"")</f>
        <v>0</v>
      </c>
      <c r="Y5" s="96">
        <f>IFERROR(VLOOKUP("Company Sub-Industry",'Company 21'!$B:$C,2,0),"")</f>
        <v>0</v>
      </c>
      <c r="Z5" s="96">
        <f>IFERROR(VLOOKUP("Company Sub-Industry",'Company 22'!$B:$C,2,0),"")</f>
        <v>0</v>
      </c>
      <c r="AA5" s="96">
        <f>IFERROR(VLOOKUP("Company Sub-Industry",'Company 23'!$B:$C,2,0),"")</f>
        <v>0</v>
      </c>
      <c r="AB5" s="96">
        <f>IFERROR(VLOOKUP("Company Sub-Industry",'Company 24'!$B:$C,2,0),"")</f>
        <v>0</v>
      </c>
      <c r="AC5" s="96">
        <f>IFERROR(VLOOKUP("Company Sub-Industry",'Company 25'!$B:$C,2,0),"")</f>
        <v>0</v>
      </c>
      <c r="AD5" s="96">
        <f>IFERROR(VLOOKUP("Company Sub-Industry",'Company 26'!$B:$C,2,0),"")</f>
        <v>0</v>
      </c>
      <c r="AE5" s="96">
        <f>IFERROR(VLOOKUP("Company Sub-Industry",'Company 27'!$B:$C,2,0),"")</f>
        <v>0</v>
      </c>
      <c r="AF5" s="96">
        <f>IFERROR(VLOOKUP("Company Sub-Industry",'Company 28'!$B:$C,2,0),"")</f>
        <v>0</v>
      </c>
      <c r="AG5" s="96">
        <f>IFERROR(VLOOKUP("Company Sub-Industry",'Company 29'!$B:$C,2,0),"")</f>
        <v>0</v>
      </c>
      <c r="AH5" s="96">
        <f>IFERROR(VLOOKUP("Company Sub-Industry",'Company 30'!$B:$C,2,0),"")</f>
        <v>0</v>
      </c>
    </row>
    <row r="6" spans="2:34" ht="21.95" customHeight="1">
      <c r="B6" s="77" t="s">
        <v>202</v>
      </c>
      <c r="C6" s="97" t="s">
        <v>209</v>
      </c>
      <c r="D6" s="98" t="s">
        <v>210</v>
      </c>
      <c r="E6" s="3">
        <f>IFERROR(VLOOKUP("Company Size (Turnover)",'Company 1'!$B:$C,2,0),"")</f>
        <v>160000000</v>
      </c>
      <c r="F6" s="3">
        <f>IFERROR(VLOOKUP("Company Size (Turnover)",'Company 2'!$B:$C,2,0),"")</f>
        <v>2000000000</v>
      </c>
      <c r="G6" s="3">
        <f>IFERROR(VLOOKUP("Company Size (Turnover)",'Company 3'!$B:$C,2,0),"")</f>
        <v>332000000</v>
      </c>
      <c r="H6" s="3">
        <f>IFERROR(VLOOKUP("Company Size (Turnover)",'Company 4'!$B:$C,2,0),"")</f>
        <v>332000000</v>
      </c>
      <c r="I6" s="3">
        <f>IFERROR(VLOOKUP("Company Size (Turnover)",'Company 5'!$B:$C,2,0),"")</f>
        <v>134000000</v>
      </c>
      <c r="J6" s="3">
        <f>IFERROR(VLOOKUP("Company Size (Turnover)",'Company 6'!$B:$C,2,0),"")</f>
        <v>380000000</v>
      </c>
      <c r="K6" s="3">
        <f>IFERROR(VLOOKUP("Company Size (Turnover)",'Company 7'!$B:$C,2,0),"")</f>
        <v>7800000</v>
      </c>
      <c r="L6" s="3">
        <f>IFERROR(VLOOKUP("Company Size (Turnover)",'Company 8'!$B:$C,2,0),"")</f>
        <v>90000000</v>
      </c>
      <c r="M6" s="3">
        <f>IFERROR(VLOOKUP("Company Size (Turnover)",'Company 9'!$B:$C,2,0),"")</f>
        <v>2000000000</v>
      </c>
      <c r="N6" s="3">
        <f>IFERROR(VLOOKUP("Company Size (Turnover)",'Company 10'!$B:$C,2,0),"")</f>
        <v>52000000</v>
      </c>
      <c r="O6" s="3">
        <f>IFERROR(VLOOKUP("Company Size (Turnover)",'Company 11'!$B:$C,2,0),"")</f>
        <v>140000000</v>
      </c>
      <c r="P6" s="3">
        <f>IFERROR(VLOOKUP("Company Size (Turnover)",'Company 12'!$B:$C,2,0),"")</f>
        <v>3240000000</v>
      </c>
      <c r="Q6" s="3">
        <f>IFERROR(VLOOKUP("Company Size (Turnover)",'Company 13'!$B:$C,2,0),"")</f>
        <v>140000000</v>
      </c>
      <c r="R6" s="3" t="str">
        <f>IFERROR(VLOOKUP("Company Size (Turnover)",#REF!,2,0),"")</f>
        <v/>
      </c>
      <c r="S6" s="3" t="str">
        <f>IFERROR(VLOOKUP("Company Size (Turnover)",#REF!,2,0),"")</f>
        <v/>
      </c>
      <c r="T6" s="3" t="str">
        <f>IFERROR(VLOOKUP("Company Size (Turnover)",#REF!,2,0),"")</f>
        <v/>
      </c>
      <c r="U6" s="3" t="str">
        <f>IFERROR(VLOOKUP("Company Size (Turnover)",#REF!,2,0),"")</f>
        <v/>
      </c>
      <c r="V6" s="3">
        <f>IFERROR(VLOOKUP("Company Size (Turnover)",'Company 18'!$B:$C,2,0),"")</f>
        <v>0</v>
      </c>
      <c r="W6" s="3">
        <f>IFERROR(VLOOKUP("Company Size (Turnover)",'Company 19'!$B:$C,2,0),"")</f>
        <v>0</v>
      </c>
      <c r="X6" s="3">
        <f>IFERROR(VLOOKUP("Company Size (Turnover)",'Company 20'!$B:$C,2,0),"")</f>
        <v>0</v>
      </c>
      <c r="Y6" s="3">
        <f>IFERROR(VLOOKUP("Company Size (Turnover)",'Company 21'!$B:$C,2,0),"")</f>
        <v>0</v>
      </c>
      <c r="Z6" s="3">
        <f>IFERROR(VLOOKUP("Company Size (Turnover)",'Company 22'!$B:$C,2,0),"")</f>
        <v>0</v>
      </c>
      <c r="AA6" s="3">
        <f>IFERROR(VLOOKUP("Company Size (Turnover)",'Company 23'!$B:$C,2,0),"")</f>
        <v>0</v>
      </c>
      <c r="AB6" s="3">
        <f>IFERROR(VLOOKUP("Company Size (Turnover)",'Company 24'!$B:$C,2,0),"")</f>
        <v>0</v>
      </c>
      <c r="AC6" s="3">
        <f>IFERROR(VLOOKUP("Company Size (Turnover)",'Company 25'!$B:$C,2,0),"")</f>
        <v>0</v>
      </c>
      <c r="AD6" s="3">
        <f>IFERROR(VLOOKUP("Company Size (Turnover)",'Company 26'!$B:$C,2,0),"")</f>
        <v>0</v>
      </c>
      <c r="AE6" s="3">
        <f>IFERROR(VLOOKUP("Company Size (Turnover)",'Company 27'!$B:$C,2,0),"")</f>
        <v>0</v>
      </c>
      <c r="AF6" s="3">
        <f>IFERROR(VLOOKUP("Company Size (Turnover)",'Company 28'!$B:$C,2,0),"")</f>
        <v>0</v>
      </c>
      <c r="AG6" s="3">
        <f>IFERROR(VLOOKUP("Company Size (Turnover)",'Company 29'!$B:$C,2,0),"")</f>
        <v>0</v>
      </c>
      <c r="AH6" s="3">
        <f>IFERROR(VLOOKUP("Company Size (Turnover)",'Company 30'!$B:$C,2,0),"")</f>
        <v>0</v>
      </c>
    </row>
    <row r="7" spans="2:34" ht="21.95" customHeight="1">
      <c r="B7" s="78" t="s">
        <v>202</v>
      </c>
      <c r="C7" s="99" t="s">
        <v>211</v>
      </c>
      <c r="D7" s="100" t="s">
        <v>166</v>
      </c>
      <c r="E7" s="101" t="str">
        <f>IFERROR(VLOOKUP("Country",'Company 1'!$B:$C,2,0),"")</f>
        <v>Belgium</v>
      </c>
      <c r="F7" s="101" t="str">
        <f>IFERROR(VLOOKUP("Country",'Company 2'!$B:$C,2,0),"")</f>
        <v>UK</v>
      </c>
      <c r="G7" s="101" t="str">
        <f>IFERROR(VLOOKUP("Country",'Company 3'!$B:$C,2,0),"")</f>
        <v>Belgium</v>
      </c>
      <c r="H7" s="101" t="str">
        <f>IFERROR(VLOOKUP("Country",'Company 4'!$B:$C,2,0),"")</f>
        <v>Belgium</v>
      </c>
      <c r="I7" s="101" t="str">
        <f>IFERROR(VLOOKUP("Country",'Company 5'!$B:$C,2,0),"")</f>
        <v>Belgium</v>
      </c>
      <c r="J7" s="101" t="str">
        <f>IFERROR(VLOOKUP("Country",'Company 6'!$B:$C,2,0),"")</f>
        <v>Belgium</v>
      </c>
      <c r="K7" s="101" t="str">
        <f>IFERROR(VLOOKUP("Country",'Company 7'!$B:$C,2,0),"")</f>
        <v>Belgium</v>
      </c>
      <c r="L7" s="101" t="str">
        <f>IFERROR(VLOOKUP("Country",'Company 8'!$B:$C,2,0),"")</f>
        <v>US</v>
      </c>
      <c r="M7" s="101" t="str">
        <f>IFERROR(VLOOKUP("Country",'Company 9'!$B:$C,2,0),"")</f>
        <v>Belgium</v>
      </c>
      <c r="N7" s="101" t="str">
        <f>IFERROR(VLOOKUP("Country",'Company 10'!$B:$C,2,0),"")</f>
        <v>Denmark</v>
      </c>
      <c r="O7" s="101" t="str">
        <f>IFERROR(VLOOKUP("Country",'Company 11'!$B:$C,2,0),"")</f>
        <v xml:space="preserve">Belgium </v>
      </c>
      <c r="P7" s="101" t="str">
        <f>IFERROR(VLOOKUP("Country",'Company 12'!$B:$C,2,0),"")</f>
        <v>Germany</v>
      </c>
      <c r="Q7" s="101" t="str">
        <f>IFERROR(VLOOKUP("Country",'Company 13'!$B:$C,2,0),"")</f>
        <v>Belgium</v>
      </c>
      <c r="R7" s="101" t="str">
        <f>IFERROR(VLOOKUP("Country",#REF!,2,0),"")</f>
        <v/>
      </c>
      <c r="S7" s="101" t="str">
        <f>IFERROR(VLOOKUP("Country",#REF!,2,0),"")</f>
        <v/>
      </c>
      <c r="T7" s="101" t="str">
        <f>IFERROR(VLOOKUP("Country",#REF!,2,0),"")</f>
        <v/>
      </c>
      <c r="U7" s="101" t="str">
        <f>IFERROR(VLOOKUP("Country",#REF!,2,0),"")</f>
        <v/>
      </c>
      <c r="V7" s="101">
        <f>IFERROR(VLOOKUP("Country",'Company 18'!$B:$C,2,0),"")</f>
        <v>0</v>
      </c>
      <c r="W7" s="101">
        <f>IFERROR(VLOOKUP("Country",'Company 19'!$B:$C,2,0),"")</f>
        <v>0</v>
      </c>
      <c r="X7" s="101">
        <f>IFERROR(VLOOKUP("Country",'Company 20'!$B:$C,2,0),"")</f>
        <v>0</v>
      </c>
      <c r="Y7" s="101">
        <f>IFERROR(VLOOKUP("Country",'Company 21'!$B:$C,2,0),"")</f>
        <v>0</v>
      </c>
      <c r="Z7" s="101">
        <f>IFERROR(VLOOKUP("Country",'Company 22'!$B:$C,2,0),"")</f>
        <v>0</v>
      </c>
      <c r="AA7" s="101">
        <f>IFERROR(VLOOKUP("Country",'Company 23'!$B:$C,2,0),"")</f>
        <v>0</v>
      </c>
      <c r="AB7" s="101">
        <f>IFERROR(VLOOKUP("Country",'Company 24'!$B:$C,2,0),"")</f>
        <v>0</v>
      </c>
      <c r="AC7" s="101">
        <f>IFERROR(VLOOKUP("Country",'Company 25'!$B:$C,2,0),"")</f>
        <v>0</v>
      </c>
      <c r="AD7" s="101">
        <f>IFERROR(VLOOKUP("Country",'Company 26'!$B:$C,2,0),"")</f>
        <v>0</v>
      </c>
      <c r="AE7" s="101">
        <f>IFERROR(VLOOKUP("Country",'Company 27'!$B:$C,2,0),"")</f>
        <v>0</v>
      </c>
      <c r="AF7" s="101">
        <f>IFERROR(VLOOKUP("Country",'Company 28'!$B:$C,2,0),"")</f>
        <v>0</v>
      </c>
      <c r="AG7" s="101">
        <f>IFERROR(VLOOKUP("Country",'Company 29'!$B:$C,2,0),"")</f>
        <v>0</v>
      </c>
      <c r="AH7" s="101">
        <f>IFERROR(VLOOKUP("Country",'Company 30'!$B:$C,2,0),"")</f>
        <v>0</v>
      </c>
    </row>
    <row r="8" spans="2:34" ht="8.1" customHeight="1">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row>
    <row r="9" spans="2:34" ht="35.1" customHeight="1">
      <c r="B9" s="43" t="s">
        <v>50</v>
      </c>
      <c r="C9" s="43" t="s">
        <v>51</v>
      </c>
      <c r="D9" s="19" t="s">
        <v>52</v>
      </c>
      <c r="E9" s="73" t="s">
        <v>167</v>
      </c>
      <c r="F9" s="73" t="s">
        <v>168</v>
      </c>
      <c r="G9" s="73" t="s">
        <v>169</v>
      </c>
      <c r="H9" s="73" t="s">
        <v>170</v>
      </c>
      <c r="I9" s="73" t="s">
        <v>171</v>
      </c>
      <c r="J9" s="73" t="s">
        <v>172</v>
      </c>
      <c r="K9" s="73" t="s">
        <v>173</v>
      </c>
      <c r="L9" s="73" t="s">
        <v>174</v>
      </c>
      <c r="M9" s="73" t="s">
        <v>175</v>
      </c>
      <c r="N9" s="73" t="s">
        <v>176</v>
      </c>
      <c r="O9" s="73" t="s">
        <v>177</v>
      </c>
      <c r="P9" s="73" t="s">
        <v>178</v>
      </c>
      <c r="Q9" s="73" t="s">
        <v>179</v>
      </c>
      <c r="R9" s="73" t="s">
        <v>180</v>
      </c>
      <c r="S9" s="73" t="s">
        <v>181</v>
      </c>
      <c r="T9" s="73" t="s">
        <v>182</v>
      </c>
      <c r="U9" s="73" t="s">
        <v>183</v>
      </c>
      <c r="V9" s="73" t="s">
        <v>184</v>
      </c>
      <c r="W9" s="73" t="s">
        <v>185</v>
      </c>
      <c r="X9" s="73" t="s">
        <v>186</v>
      </c>
      <c r="Y9" s="73" t="s">
        <v>187</v>
      </c>
      <c r="Z9" s="73" t="s">
        <v>188</v>
      </c>
      <c r="AA9" s="73" t="s">
        <v>189</v>
      </c>
      <c r="AB9" s="73" t="s">
        <v>190</v>
      </c>
      <c r="AC9" s="73" t="s">
        <v>191</v>
      </c>
      <c r="AD9" s="73" t="s">
        <v>192</v>
      </c>
      <c r="AE9" s="73" t="s">
        <v>193</v>
      </c>
      <c r="AF9" s="73" t="s">
        <v>194</v>
      </c>
      <c r="AG9" s="73" t="s">
        <v>195</v>
      </c>
      <c r="AH9" s="73" t="s">
        <v>196</v>
      </c>
    </row>
    <row r="10" spans="2:34" ht="18" customHeight="1">
      <c r="B10" s="102" t="s">
        <v>212</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row>
    <row r="11" spans="2:34" ht="24.95" customHeight="1">
      <c r="B11" s="104" t="s">
        <v>56</v>
      </c>
      <c r="C11" s="105" t="s">
        <v>57</v>
      </c>
      <c r="D11" s="42" t="s">
        <v>58</v>
      </c>
      <c r="E11" s="106">
        <f>IFERROR(VLOOKUP("B1_INTEREST",'Company 1'!$B:$E,4,0),"")</f>
        <v>7</v>
      </c>
      <c r="F11" s="106">
        <f>IFERROR(VLOOKUP("B1_INTEREST",'Company 2'!$B:$E,4,0),"")</f>
        <v>2</v>
      </c>
      <c r="G11" s="106">
        <f>IFERROR(VLOOKUP("B1_INTEREST",'Company 3'!$B:$E,4,0),"")</f>
        <v>7</v>
      </c>
      <c r="H11" s="106">
        <f>IFERROR(VLOOKUP("B1_INTEREST",'Company 4'!$B:$E,4,0),"")</f>
        <v>7.5</v>
      </c>
      <c r="I11" s="106">
        <f>IFERROR(VLOOKUP("B1_INTEREST",'Company 5'!$B:$E,4,0),"")</f>
        <v>10</v>
      </c>
      <c r="J11" s="106">
        <f>IFERROR(VLOOKUP("B1_INTEREST",'Company 6'!$B:$E,4,0),"")</f>
        <v>8</v>
      </c>
      <c r="K11" s="106">
        <f>IFERROR(VLOOKUP("B1_INTEREST",'Company 7'!$B:$E,4,0),"")</f>
        <v>8</v>
      </c>
      <c r="L11" s="106">
        <f>IFERROR(VLOOKUP("B1_INTEREST",'Company 8'!$B:$E,4,0),"")</f>
        <v>8</v>
      </c>
      <c r="M11" s="106">
        <f>IFERROR(VLOOKUP("B1_INTEREST",'Company 9'!$B:$E,4,0),"")</f>
        <v>8</v>
      </c>
      <c r="N11" s="106">
        <f>IFERROR(VLOOKUP("B1_INTEREST",'Company 10'!$B:$E,4,0),"")</f>
        <v>7</v>
      </c>
      <c r="O11" s="106">
        <f>IFERROR(VLOOKUP("B1_INTEREST",'Company 11'!$B:$E,4,0),"")</f>
        <v>9</v>
      </c>
      <c r="P11" s="106">
        <f>IFERROR(VLOOKUP("B1_INTEREST",'Company 12'!$B:$E,4,0),"")</f>
        <v>3</v>
      </c>
      <c r="Q11" s="106">
        <f>IFERROR(VLOOKUP("B1_INTEREST",'Company 13'!$B:$E,4,0),"")</f>
        <v>9</v>
      </c>
      <c r="R11" s="106" t="str">
        <f>IFERROR(VLOOKUP("B1_INTEREST",#REF!,4,0),"")</f>
        <v/>
      </c>
      <c r="S11" s="106" t="str">
        <f>IFERROR(VLOOKUP("B1_INTEREST",#REF!,4,0),"")</f>
        <v/>
      </c>
      <c r="T11" s="106" t="str">
        <f>IFERROR(VLOOKUP("B1_INTEREST",#REF!,4,0),"")</f>
        <v/>
      </c>
      <c r="U11" s="106" t="str">
        <f>IFERROR(VLOOKUP("B1_INTEREST",#REF!,4,0),"")</f>
        <v/>
      </c>
      <c r="V11" s="106">
        <f>IFERROR(VLOOKUP("B1_INTEREST",'Company 18'!$B:$E,4,0),"")</f>
        <v>0</v>
      </c>
      <c r="W11" s="106">
        <f>IFERROR(VLOOKUP("B1_INTEREST",'Company 19'!$B:$E,4,0),"")</f>
        <v>0</v>
      </c>
      <c r="X11" s="106">
        <f>IFERROR(VLOOKUP("B1_INTEREST",'Company 20'!$B:$E,4,0),"")</f>
        <v>0</v>
      </c>
      <c r="Y11" s="106">
        <f>IFERROR(VLOOKUP("B1_INTEREST",'Company 21'!$B:$E,4,0),"")</f>
        <v>0</v>
      </c>
      <c r="Z11" s="106">
        <f>IFERROR(VLOOKUP("B1_INTEREST",'Company 22'!$B:$E,4,0),"")</f>
        <v>0</v>
      </c>
      <c r="AA11" s="106">
        <f>IFERROR(VLOOKUP("B1_INTEREST",'Company 23'!$B:$E,4,0),"")</f>
        <v>0</v>
      </c>
      <c r="AB11" s="106">
        <f>IFERROR(VLOOKUP("B1_INTEREST",'Company 24'!$B:$E,4,0),"")</f>
        <v>0</v>
      </c>
      <c r="AC11" s="106">
        <f>IFERROR(VLOOKUP("B1_INTEREST",'Company 25'!$B:$E,4,0),"")</f>
        <v>0</v>
      </c>
      <c r="AD11" s="106">
        <f>IFERROR(VLOOKUP("B1_INTEREST",'Company 26'!$B:$E,4,0),"")</f>
        <v>0</v>
      </c>
      <c r="AE11" s="106">
        <f>IFERROR(VLOOKUP("B1_INTEREST",'Company 27'!$B:$E,4,0),"")</f>
        <v>0</v>
      </c>
      <c r="AF11" s="106">
        <f>IFERROR(VLOOKUP("B1_INTEREST",'Company 28'!$B:$E,4,0),"")</f>
        <v>0</v>
      </c>
      <c r="AG11" s="106">
        <f>IFERROR(VLOOKUP("B1_INTEREST",'Company 29'!$B:$E,4,0),"")</f>
        <v>0</v>
      </c>
      <c r="AH11" s="106">
        <f>IFERROR(VLOOKUP("B1_INTEREST",'Company 30'!$B:$E,4,0),"")</f>
        <v>0</v>
      </c>
    </row>
    <row r="12" spans="2:34" ht="24.95" customHeight="1">
      <c r="B12" s="104" t="s">
        <v>56</v>
      </c>
      <c r="C12" s="105" t="s">
        <v>61</v>
      </c>
      <c r="D12" s="42" t="s">
        <v>62</v>
      </c>
      <c r="E12" s="106">
        <f>IFERROR(VLOOKUP("B2_SHARING",'Company 1'!$B:$E,4,0),"")</f>
        <v>1</v>
      </c>
      <c r="F12" s="106">
        <f>IFERROR(VLOOKUP("B2_SHARING",'Company 2'!$B:$E,4,0),"")</f>
        <v>1</v>
      </c>
      <c r="G12" s="106">
        <f>IFERROR(VLOOKUP("B2_SHARING",'Company 3'!$B:$E,4,0),"")</f>
        <v>1</v>
      </c>
      <c r="H12" s="106">
        <f>IFERROR(VLOOKUP("B2_SHARING",'Company 4'!$B:$E,4,0),"")</f>
        <v>1</v>
      </c>
      <c r="I12" s="106">
        <f>IFERROR(VLOOKUP("B2_SHARING",'Company 5'!$B:$E,4,0),"")</f>
        <v>1</v>
      </c>
      <c r="J12" s="106">
        <f>IFERROR(VLOOKUP("B2_SHARING",'Company 6'!$B:$E,4,0),"")</f>
        <v>1</v>
      </c>
      <c r="K12" s="106">
        <f>IFERROR(VLOOKUP("B2_SHARING",'Company 7'!$B:$E,4,0),"")</f>
        <v>1</v>
      </c>
      <c r="L12" s="106">
        <f>IFERROR(VLOOKUP("B2_SHARING",'Company 8'!$B:$E,4,0),"")</f>
        <v>1</v>
      </c>
      <c r="M12" s="106">
        <f>IFERROR(VLOOKUP("B2_SHARING",'Company 9'!$B:$E,4,0),"")</f>
        <v>1</v>
      </c>
      <c r="N12" s="106">
        <f>IFERROR(VLOOKUP("B2_SHARING",'Company 10'!$B:$E,4,0),"")</f>
        <v>1</v>
      </c>
      <c r="O12" s="106">
        <f>IFERROR(VLOOKUP("B2_SHARING",'Company 11'!$B:$E,4,0),"")</f>
        <v>1</v>
      </c>
      <c r="P12" s="106">
        <f>IFERROR(VLOOKUP("B2_SHARING",'Company 12'!$B:$E,4,0),"")</f>
        <v>1</v>
      </c>
      <c r="Q12" s="106">
        <f>IFERROR(VLOOKUP("B2_SHARING",'Company 13'!$B:$E,4,0),"")</f>
        <v>1</v>
      </c>
      <c r="R12" s="106" t="str">
        <f>IFERROR(VLOOKUP("B2_SHARING",#REF!,4,0),"")</f>
        <v/>
      </c>
      <c r="S12" s="106" t="str">
        <f>IFERROR(VLOOKUP("B2_SHARING",#REF!,4,0),"")</f>
        <v/>
      </c>
      <c r="T12" s="106" t="str">
        <f>IFERROR(VLOOKUP("B2_SHARING",#REF!,4,0),"")</f>
        <v/>
      </c>
      <c r="U12" s="106" t="str">
        <f>IFERROR(VLOOKUP("B2_SHARING",#REF!,4,0),"")</f>
        <v/>
      </c>
      <c r="V12" s="106">
        <f>IFERROR(VLOOKUP("B2_SHARING",'Company 18'!$B:$E,4,0),"")</f>
        <v>0</v>
      </c>
      <c r="W12" s="106">
        <f>IFERROR(VLOOKUP("B2_SHARING",'Company 19'!$B:$E,4,0),"")</f>
        <v>0</v>
      </c>
      <c r="X12" s="106">
        <f>IFERROR(VLOOKUP("B2_SHARING",'Company 20'!$B:$E,4,0),"")</f>
        <v>0</v>
      </c>
      <c r="Y12" s="106">
        <f>IFERROR(VLOOKUP("B2_SHARING",'Company 21'!$B:$E,4,0),"")</f>
        <v>0</v>
      </c>
      <c r="Z12" s="106">
        <f>IFERROR(VLOOKUP("B2_SHARING",'Company 22'!$B:$E,4,0),"")</f>
        <v>0</v>
      </c>
      <c r="AA12" s="106">
        <f>IFERROR(VLOOKUP("B2_SHARING",'Company 23'!$B:$E,4,0),"")</f>
        <v>0</v>
      </c>
      <c r="AB12" s="106">
        <f>IFERROR(VLOOKUP("B2_SHARING",'Company 24'!$B:$E,4,0),"")</f>
        <v>0</v>
      </c>
      <c r="AC12" s="106">
        <f>IFERROR(VLOOKUP("B2_SHARING",'Company 25'!$B:$E,4,0),"")</f>
        <v>0</v>
      </c>
      <c r="AD12" s="106">
        <f>IFERROR(VLOOKUP("B2_SHARING",'Company 26'!$B:$E,4,0),"")</f>
        <v>0</v>
      </c>
      <c r="AE12" s="106">
        <f>IFERROR(VLOOKUP("B2_SHARING",'Company 27'!$B:$E,4,0),"")</f>
        <v>0</v>
      </c>
      <c r="AF12" s="106">
        <f>IFERROR(VLOOKUP("B2_SHARING",'Company 28'!$B:$E,4,0),"")</f>
        <v>0</v>
      </c>
      <c r="AG12" s="106">
        <f>IFERROR(VLOOKUP("B2_SHARING",'Company 29'!$B:$E,4,0),"")</f>
        <v>0</v>
      </c>
      <c r="AH12" s="106">
        <f>IFERROR(VLOOKUP("B2_SHARING",'Company 30'!$B:$E,4,0),"")</f>
        <v>0</v>
      </c>
    </row>
    <row r="13" spans="2:34" ht="24.95" customHeight="1">
      <c r="B13" s="104" t="s">
        <v>56</v>
      </c>
      <c r="C13" s="105" t="s">
        <v>64</v>
      </c>
      <c r="D13" s="42" t="s">
        <v>65</v>
      </c>
      <c r="E13" s="106">
        <f>IFERROR(VLOOKUP("B3_MONETIZE",'Company 1'!$B:$E,4,0),"")</f>
        <v>1</v>
      </c>
      <c r="F13" s="106">
        <f>IFERROR(VLOOKUP("B3_MONETIZE",'Company 2'!$B:$E,4,0),"")</f>
        <v>0</v>
      </c>
      <c r="G13" s="106">
        <f>IFERROR(VLOOKUP("B3_MONETIZE",'Company 3'!$B:$E,4,0),"")</f>
        <v>1</v>
      </c>
      <c r="H13" s="106">
        <f>IFERROR(VLOOKUP("B3_MONETIZE",'Company 4'!$B:$E,4,0),"")</f>
        <v>0</v>
      </c>
      <c r="I13" s="106">
        <f>IFERROR(VLOOKUP("B3_MONETIZE",'Company 5'!$B:$E,4,0),"")</f>
        <v>0</v>
      </c>
      <c r="J13" s="106">
        <f>IFERROR(VLOOKUP("B3_MONETIZE",'Company 6'!$B:$E,4,0),"")</f>
        <v>0</v>
      </c>
      <c r="K13" s="106">
        <f>IFERROR(VLOOKUP("B3_MONETIZE",'Company 7'!$B:$E,4,0),"")</f>
        <v>1</v>
      </c>
      <c r="L13" s="106">
        <f>IFERROR(VLOOKUP("B3_MONETIZE",'Company 8'!$B:$E,4,0),"")</f>
        <v>0</v>
      </c>
      <c r="M13" s="106">
        <f>IFERROR(VLOOKUP("B3_MONETIZE",'Company 9'!$B:$E,4,0),"")</f>
        <v>1</v>
      </c>
      <c r="N13" s="106">
        <f>IFERROR(VLOOKUP("B3_MONETIZE",'Company 10'!$B:$E,4,0),"")</f>
        <v>0</v>
      </c>
      <c r="O13" s="106">
        <f>IFERROR(VLOOKUP("B3_MONETIZE",'Company 11'!$B:$E,4,0),"")</f>
        <v>0</v>
      </c>
      <c r="P13" s="106">
        <f>IFERROR(VLOOKUP("B3_MONETIZE",'Company 12'!$B:$E,4,0),"")</f>
        <v>0</v>
      </c>
      <c r="Q13" s="106">
        <f>IFERROR(VLOOKUP("B3_MONETIZE",'Company 13'!$B:$E,4,0),"")</f>
        <v>0</v>
      </c>
      <c r="R13" s="106" t="str">
        <f>IFERROR(VLOOKUP("B3_MONETIZE",#REF!,4,0),"")</f>
        <v/>
      </c>
      <c r="S13" s="106" t="str">
        <f>IFERROR(VLOOKUP("B3_MONETIZE",#REF!,4,0),"")</f>
        <v/>
      </c>
      <c r="T13" s="106" t="str">
        <f>IFERROR(VLOOKUP("B3_MONETIZE",#REF!,4,0),"")</f>
        <v/>
      </c>
      <c r="U13" s="106" t="str">
        <f>IFERROR(VLOOKUP("B3_MONETIZE",#REF!,4,0),"")</f>
        <v/>
      </c>
      <c r="V13" s="106">
        <f>IFERROR(VLOOKUP("B3_MONETIZE",'Company 18'!$B:$E,4,0),"")</f>
        <v>0</v>
      </c>
      <c r="W13" s="106">
        <f>IFERROR(VLOOKUP("B3_MONETIZE",'Company 19'!$B:$E,4,0),"")</f>
        <v>0</v>
      </c>
      <c r="X13" s="106">
        <f>IFERROR(VLOOKUP("B3_MONETIZE",'Company 20'!$B:$E,4,0),"")</f>
        <v>0</v>
      </c>
      <c r="Y13" s="106">
        <f>IFERROR(VLOOKUP("B3_MONETIZE",'Company 21'!$B:$E,4,0),"")</f>
        <v>0</v>
      </c>
      <c r="Z13" s="106">
        <f>IFERROR(VLOOKUP("B3_MONETIZE",'Company 22'!$B:$E,4,0),"")</f>
        <v>0</v>
      </c>
      <c r="AA13" s="106">
        <f>IFERROR(VLOOKUP("B3_MONETIZE",'Company 23'!$B:$E,4,0),"")</f>
        <v>0</v>
      </c>
      <c r="AB13" s="106">
        <f>IFERROR(VLOOKUP("B3_MONETIZE",'Company 24'!$B:$E,4,0),"")</f>
        <v>0</v>
      </c>
      <c r="AC13" s="106">
        <f>IFERROR(VLOOKUP("B3_MONETIZE",'Company 25'!$B:$E,4,0),"")</f>
        <v>0</v>
      </c>
      <c r="AD13" s="106">
        <f>IFERROR(VLOOKUP("B3_MONETIZE",'Company 26'!$B:$E,4,0),"")</f>
        <v>0</v>
      </c>
      <c r="AE13" s="106">
        <f>IFERROR(VLOOKUP("B3_MONETIZE",'Company 27'!$B:$E,4,0),"")</f>
        <v>0</v>
      </c>
      <c r="AF13" s="106">
        <f>IFERROR(VLOOKUP("B3_MONETIZE",'Company 28'!$B:$E,4,0),"")</f>
        <v>0</v>
      </c>
      <c r="AG13" s="106">
        <f>IFERROR(VLOOKUP("B3_MONETIZE",'Company 29'!$B:$E,4,0),"")</f>
        <v>0</v>
      </c>
      <c r="AH13" s="106">
        <f>IFERROR(VLOOKUP("B3_MONETIZE",'Company 30'!$B:$E,4,0),"")</f>
        <v>0</v>
      </c>
    </row>
    <row r="14" spans="2:34" ht="24.95" customHeight="1">
      <c r="B14" s="104" t="s">
        <v>56</v>
      </c>
      <c r="C14" s="105" t="s">
        <v>67</v>
      </c>
      <c r="D14" s="42" t="s">
        <v>68</v>
      </c>
      <c r="E14" s="106">
        <f>IFERROR(VLOOKUP("B4_STRATEGIC",'Company 1'!$B:$E,4,0),"")</f>
        <v>0</v>
      </c>
      <c r="F14" s="106">
        <f>IFERROR(VLOOKUP("B4_STRATEGIC",'Company 2'!$B:$E,4,0),"")</f>
        <v>1</v>
      </c>
      <c r="G14" s="106">
        <f>IFERROR(VLOOKUP("B4_STRATEGIC",'Company 3'!$B:$E,4,0),"")</f>
        <v>1</v>
      </c>
      <c r="H14" s="106">
        <f>IFERROR(VLOOKUP("B4_STRATEGIC",'Company 4'!$B:$E,4,0),"")</f>
        <v>1</v>
      </c>
      <c r="I14" s="106">
        <f>IFERROR(VLOOKUP("B4_STRATEGIC",'Company 5'!$B:$E,4,0),"")</f>
        <v>1</v>
      </c>
      <c r="J14" s="106">
        <f>IFERROR(VLOOKUP("B4_STRATEGIC",'Company 6'!$B:$E,4,0),"")</f>
        <v>1</v>
      </c>
      <c r="K14" s="106">
        <f>IFERROR(VLOOKUP("B4_STRATEGIC",'Company 7'!$B:$E,4,0),"")</f>
        <v>0</v>
      </c>
      <c r="L14" s="106">
        <f>IFERROR(VLOOKUP("B4_STRATEGIC",'Company 8'!$B:$E,4,0),"")</f>
        <v>0</v>
      </c>
      <c r="M14" s="106">
        <f>IFERROR(VLOOKUP("B4_STRATEGIC",'Company 9'!$B:$E,4,0),"")</f>
        <v>0</v>
      </c>
      <c r="N14" s="106">
        <f>IFERROR(VLOOKUP("B4_STRATEGIC",'Company 10'!$B:$E,4,0),"")</f>
        <v>1</v>
      </c>
      <c r="O14" s="106">
        <f>IFERROR(VLOOKUP("B4_STRATEGIC",'Company 11'!$B:$E,4,0),"")</f>
        <v>0</v>
      </c>
      <c r="P14" s="106">
        <f>IFERROR(VLOOKUP("B4_STRATEGIC",'Company 12'!$B:$E,4,0),"")</f>
        <v>1</v>
      </c>
      <c r="Q14" s="106">
        <f>IFERROR(VLOOKUP("B4_STRATEGIC",'Company 13'!$B:$E,4,0),"")</f>
        <v>0</v>
      </c>
      <c r="R14" s="106" t="str">
        <f>IFERROR(VLOOKUP("B4_STRATEGIC",#REF!,4,0),"")</f>
        <v/>
      </c>
      <c r="S14" s="106" t="str">
        <f>IFERROR(VLOOKUP("B4_STRATEGIC",#REF!,4,0),"")</f>
        <v/>
      </c>
      <c r="T14" s="106" t="str">
        <f>IFERROR(VLOOKUP("B4_STRATEGIC",#REF!,4,0),"")</f>
        <v/>
      </c>
      <c r="U14" s="106" t="str">
        <f>IFERROR(VLOOKUP("B4_STRATEGIC",#REF!,4,0),"")</f>
        <v/>
      </c>
      <c r="V14" s="106">
        <f>IFERROR(VLOOKUP("B4_STRATEGIC",'Company 18'!$B:$E,4,0),"")</f>
        <v>0</v>
      </c>
      <c r="W14" s="106">
        <f>IFERROR(VLOOKUP("B4_STRATEGIC",'Company 19'!$B:$E,4,0),"")</f>
        <v>0</v>
      </c>
      <c r="X14" s="106">
        <f>IFERROR(VLOOKUP("B4_STRATEGIC",'Company 20'!$B:$E,4,0),"")</f>
        <v>0</v>
      </c>
      <c r="Y14" s="106">
        <f>IFERROR(VLOOKUP("B4_STRATEGIC",'Company 21'!$B:$E,4,0),"")</f>
        <v>0</v>
      </c>
      <c r="Z14" s="106">
        <f>IFERROR(VLOOKUP("B4_STRATEGIC",'Company 22'!$B:$E,4,0),"")</f>
        <v>0</v>
      </c>
      <c r="AA14" s="106">
        <f>IFERROR(VLOOKUP("B4_STRATEGIC",'Company 23'!$B:$E,4,0),"")</f>
        <v>0</v>
      </c>
      <c r="AB14" s="106">
        <f>IFERROR(VLOOKUP("B4_STRATEGIC",'Company 24'!$B:$E,4,0),"")</f>
        <v>0</v>
      </c>
      <c r="AC14" s="106">
        <f>IFERROR(VLOOKUP("B4_STRATEGIC",'Company 25'!$B:$E,4,0),"")</f>
        <v>0</v>
      </c>
      <c r="AD14" s="106">
        <f>IFERROR(VLOOKUP("B4_STRATEGIC",'Company 26'!$B:$E,4,0),"")</f>
        <v>0</v>
      </c>
      <c r="AE14" s="106">
        <f>IFERROR(VLOOKUP("B4_STRATEGIC",'Company 27'!$B:$E,4,0),"")</f>
        <v>0</v>
      </c>
      <c r="AF14" s="106">
        <f>IFERROR(VLOOKUP("B4_STRATEGIC",'Company 28'!$B:$E,4,0),"")</f>
        <v>0</v>
      </c>
      <c r="AG14" s="106">
        <f>IFERROR(VLOOKUP("B4_STRATEGIC",'Company 29'!$B:$E,4,0),"")</f>
        <v>0</v>
      </c>
      <c r="AH14" s="106">
        <f>IFERROR(VLOOKUP("B4_STRATEGIC",'Company 30'!$B:$E,4,0),"")</f>
        <v>0</v>
      </c>
    </row>
    <row r="15" spans="2:34" ht="18" customHeight="1">
      <c r="B15" s="107" t="s">
        <v>213</v>
      </c>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row>
    <row r="16" spans="2:34" ht="24.95" customHeight="1">
      <c r="B16" s="109" t="s">
        <v>70</v>
      </c>
      <c r="C16" s="110" t="s">
        <v>71</v>
      </c>
      <c r="D16" s="42" t="s">
        <v>72</v>
      </c>
      <c r="E16" s="106">
        <f>IFERROR(VLOOKUP("M1_AUTOMATED",'Company 1'!$B:$E,4,0),"")</f>
        <v>3</v>
      </c>
      <c r="F16" s="106">
        <f>IFERROR(VLOOKUP("M1_AUTOMATED",'Company 2'!$B:$E,4,0),"")</f>
        <v>0</v>
      </c>
      <c r="G16" s="106">
        <f>IFERROR(VLOOKUP("M1_AUTOMATED",'Company 3'!$B:$E,4,0),"")</f>
        <v>4</v>
      </c>
      <c r="H16" s="106">
        <f>IFERROR(VLOOKUP("M1_AUTOMATED",'Company 4'!$B:$E,4,0),"")</f>
        <v>3</v>
      </c>
      <c r="I16" s="106">
        <f>IFERROR(VLOOKUP("M1_AUTOMATED",'Company 5'!$B:$E,4,0),"")</f>
        <v>2</v>
      </c>
      <c r="J16" s="106">
        <f>IFERROR(VLOOKUP("M1_AUTOMATED",'Company 6'!$B:$E,4,0),"")</f>
        <v>5</v>
      </c>
      <c r="K16" s="106">
        <f>IFERROR(VLOOKUP("M1_AUTOMATED",'Company 7'!$B:$E,4,0),"")</f>
        <v>1</v>
      </c>
      <c r="L16" s="106">
        <f>IFERROR(VLOOKUP("M1_AUTOMATED",'Company 8'!$B:$E,4,0),"")</f>
        <v>3</v>
      </c>
      <c r="M16" s="106">
        <f>IFERROR(VLOOKUP("M1_AUTOMATED",'Company 9'!$B:$E,4,0),"")</f>
        <v>3</v>
      </c>
      <c r="N16" s="106">
        <f>IFERROR(VLOOKUP("M1_AUTOMATED",'Company 10'!$B:$E,4,0),"")</f>
        <v>2</v>
      </c>
      <c r="O16" s="106">
        <f>IFERROR(VLOOKUP("M1_AUTOMATED",'Company 11'!$B:$E,4,0),"")</f>
        <v>1</v>
      </c>
      <c r="P16" s="106">
        <f>IFERROR(VLOOKUP("M1_AUTOMATED",'Company 12'!$B:$E,4,0),"")</f>
        <v>0</v>
      </c>
      <c r="Q16" s="106">
        <f>IFERROR(VLOOKUP("M1_AUTOMATED",'Company 13'!$B:$E,4,0),"")</f>
        <v>3</v>
      </c>
      <c r="R16" s="106" t="str">
        <f>IFERROR(VLOOKUP("M1_AUTOMATED",#REF!,4,0),"")</f>
        <v/>
      </c>
      <c r="S16" s="106" t="str">
        <f>IFERROR(VLOOKUP("M1_AUTOMATED",#REF!,4,0),"")</f>
        <v/>
      </c>
      <c r="T16" s="106" t="str">
        <f>IFERROR(VLOOKUP("M1_AUTOMATED",#REF!,4,0),"")</f>
        <v/>
      </c>
      <c r="U16" s="106" t="str">
        <f>IFERROR(VLOOKUP("M1_AUTOMATED",#REF!,4,0),"")</f>
        <v/>
      </c>
      <c r="V16" s="106">
        <f>IFERROR(VLOOKUP("M1_AUTOMATED",'Company 18'!$B:$E,4,0),"")</f>
        <v>0</v>
      </c>
      <c r="W16" s="106">
        <f>IFERROR(VLOOKUP("M1_AUTOMATED",'Company 19'!$B:$E,4,0),"")</f>
        <v>0</v>
      </c>
      <c r="X16" s="106">
        <f>IFERROR(VLOOKUP("M1_AUTOMATED",'Company 20'!$B:$E,4,0),"")</f>
        <v>0</v>
      </c>
      <c r="Y16" s="106">
        <f>IFERROR(VLOOKUP("M1_AUTOMATED",'Company 21'!$B:$E,4,0),"")</f>
        <v>0</v>
      </c>
      <c r="Z16" s="106">
        <f>IFERROR(VLOOKUP("M1_AUTOMATED",'Company 22'!$B:$E,4,0),"")</f>
        <v>0</v>
      </c>
      <c r="AA16" s="106">
        <f>IFERROR(VLOOKUP("M1_AUTOMATED",'Company 23'!$B:$E,4,0),"")</f>
        <v>0</v>
      </c>
      <c r="AB16" s="106">
        <f>IFERROR(VLOOKUP("M1_AUTOMATED",'Company 24'!$B:$E,4,0),"")</f>
        <v>0</v>
      </c>
      <c r="AC16" s="106">
        <f>IFERROR(VLOOKUP("M1_AUTOMATED",'Company 25'!$B:$E,4,0),"")</f>
        <v>0</v>
      </c>
      <c r="AD16" s="106">
        <f>IFERROR(VLOOKUP("M1_AUTOMATED",'Company 26'!$B:$E,4,0),"")</f>
        <v>0</v>
      </c>
      <c r="AE16" s="106">
        <f>IFERROR(VLOOKUP("M1_AUTOMATED",'Company 27'!$B:$E,4,0),"")</f>
        <v>0</v>
      </c>
      <c r="AF16" s="106">
        <f>IFERROR(VLOOKUP("M1_AUTOMATED",'Company 28'!$B:$E,4,0),"")</f>
        <v>0</v>
      </c>
      <c r="AG16" s="106">
        <f>IFERROR(VLOOKUP("M1_AUTOMATED",'Company 29'!$B:$E,4,0),"")</f>
        <v>0</v>
      </c>
      <c r="AH16" s="106">
        <f>IFERROR(VLOOKUP("M1_AUTOMATED",'Company 30'!$B:$E,4,0),"")</f>
        <v>0</v>
      </c>
    </row>
    <row r="17" spans="2:34" ht="24.95" customHeight="1">
      <c r="B17" s="109" t="s">
        <v>70</v>
      </c>
      <c r="C17" s="110" t="s">
        <v>74</v>
      </c>
      <c r="D17" s="42" t="s">
        <v>75</v>
      </c>
      <c r="E17" s="106">
        <f>IFERROR(VLOOKUP("M2_REALTIME",'Company 1'!$B:$E,4,0),"")</f>
        <v>2</v>
      </c>
      <c r="F17" s="106">
        <f>IFERROR(VLOOKUP("M2_REALTIME",'Company 2'!$B:$E,4,0),"")</f>
        <v>0</v>
      </c>
      <c r="G17" s="106">
        <f>IFERROR(VLOOKUP("M2_REALTIME",'Company 3'!$B:$E,4,0),"")</f>
        <v>4</v>
      </c>
      <c r="H17" s="106">
        <f>IFERROR(VLOOKUP("M2_REALTIME",'Company 4'!$B:$E,4,0),"")</f>
        <v>2</v>
      </c>
      <c r="I17" s="106">
        <f>IFERROR(VLOOKUP("M2_REALTIME",'Company 5'!$B:$E,4,0),"")</f>
        <v>2</v>
      </c>
      <c r="J17" s="106">
        <f>IFERROR(VLOOKUP("M2_REALTIME",'Company 6'!$B:$E,4,0),"")</f>
        <v>4</v>
      </c>
      <c r="K17" s="106">
        <f>IFERROR(VLOOKUP("M2_REALTIME",'Company 7'!$B:$E,4,0),"")</f>
        <v>2</v>
      </c>
      <c r="L17" s="106">
        <f>IFERROR(VLOOKUP("M2_REALTIME",'Company 8'!$B:$E,4,0),"")</f>
        <v>2</v>
      </c>
      <c r="M17" s="106">
        <f>IFERROR(VLOOKUP("M2_REALTIME",'Company 9'!$B:$E,4,0),"")</f>
        <v>2</v>
      </c>
      <c r="N17" s="106">
        <f>IFERROR(VLOOKUP("M2_REALTIME",'Company 10'!$B:$E,4,0),"")</f>
        <v>2</v>
      </c>
      <c r="O17" s="106">
        <f>IFERROR(VLOOKUP("M2_REALTIME",'Company 11'!$B:$E,4,0),"")</f>
        <v>1</v>
      </c>
      <c r="P17" s="106">
        <f>IFERROR(VLOOKUP("M2_REALTIME",'Company 12'!$B:$E,4,0),"")</f>
        <v>0</v>
      </c>
      <c r="Q17" s="106">
        <f>IFERROR(VLOOKUP("M2_REALTIME",'Company 13'!$B:$E,4,0),"")</f>
        <v>3</v>
      </c>
      <c r="R17" s="106" t="str">
        <f>IFERROR(VLOOKUP("M2_REALTIME",#REF!,4,0),"")</f>
        <v/>
      </c>
      <c r="S17" s="106" t="str">
        <f>IFERROR(VLOOKUP("M2_REALTIME",#REF!,4,0),"")</f>
        <v/>
      </c>
      <c r="T17" s="106" t="str">
        <f>IFERROR(VLOOKUP("M2_REALTIME",#REF!,4,0),"")</f>
        <v/>
      </c>
      <c r="U17" s="106" t="str">
        <f>IFERROR(VLOOKUP("M2_REALTIME",#REF!,4,0),"")</f>
        <v/>
      </c>
      <c r="V17" s="106">
        <f>IFERROR(VLOOKUP("M2_REALTIME",'Company 18'!$B:$E,4,0),"")</f>
        <v>0</v>
      </c>
      <c r="W17" s="106">
        <f>IFERROR(VLOOKUP("M2_REALTIME",'Company 19'!$B:$E,4,0),"")</f>
        <v>0</v>
      </c>
      <c r="X17" s="106">
        <f>IFERROR(VLOOKUP("M2_REALTIME",'Company 20'!$B:$E,4,0),"")</f>
        <v>0</v>
      </c>
      <c r="Y17" s="106">
        <f>IFERROR(VLOOKUP("M2_REALTIME",'Company 21'!$B:$E,4,0),"")</f>
        <v>0</v>
      </c>
      <c r="Z17" s="106">
        <f>IFERROR(VLOOKUP("M2_REALTIME",'Company 22'!$B:$E,4,0),"")</f>
        <v>0</v>
      </c>
      <c r="AA17" s="106">
        <f>IFERROR(VLOOKUP("M2_REALTIME",'Company 23'!$B:$E,4,0),"")</f>
        <v>0</v>
      </c>
      <c r="AB17" s="106">
        <f>IFERROR(VLOOKUP("M2_REALTIME",'Company 24'!$B:$E,4,0),"")</f>
        <v>0</v>
      </c>
      <c r="AC17" s="106">
        <f>IFERROR(VLOOKUP("M2_REALTIME",'Company 25'!$B:$E,4,0),"")</f>
        <v>0</v>
      </c>
      <c r="AD17" s="106">
        <f>IFERROR(VLOOKUP("M2_REALTIME",'Company 26'!$B:$E,4,0),"")</f>
        <v>0</v>
      </c>
      <c r="AE17" s="106">
        <f>IFERROR(VLOOKUP("M2_REALTIME",'Company 27'!$B:$E,4,0),"")</f>
        <v>0</v>
      </c>
      <c r="AF17" s="106">
        <f>IFERROR(VLOOKUP("M2_REALTIME",'Company 28'!$B:$E,4,0),"")</f>
        <v>0</v>
      </c>
      <c r="AG17" s="106">
        <f>IFERROR(VLOOKUP("M2_REALTIME",'Company 29'!$B:$E,4,0),"")</f>
        <v>0</v>
      </c>
      <c r="AH17" s="106">
        <f>IFERROR(VLOOKUP("M2_REALTIME",'Company 30'!$B:$E,4,0),"")</f>
        <v>0</v>
      </c>
    </row>
    <row r="18" spans="2:34" ht="24.95" customHeight="1">
      <c r="B18" s="109" t="s">
        <v>70</v>
      </c>
      <c r="C18" s="110" t="s">
        <v>76</v>
      </c>
      <c r="D18" s="42" t="s">
        <v>77</v>
      </c>
      <c r="E18" s="106">
        <f>IFERROR(VLOOKUP("M3_STRATEGIC",'Company 1'!$B:$E,4,0),"")</f>
        <v>2</v>
      </c>
      <c r="F18" s="106">
        <f>IFERROR(VLOOKUP("M3_STRATEGIC",'Company 2'!$B:$E,4,0),"")</f>
        <v>1</v>
      </c>
      <c r="G18" s="106">
        <f>IFERROR(VLOOKUP("M3_STRATEGIC",'Company 3'!$B:$E,4,0),"")</f>
        <v>4</v>
      </c>
      <c r="H18" s="106">
        <f>IFERROR(VLOOKUP("M3_STRATEGIC",'Company 4'!$B:$E,4,0),"")</f>
        <v>4</v>
      </c>
      <c r="I18" s="106">
        <f>IFERROR(VLOOKUP("M3_STRATEGIC",'Company 5'!$B:$E,4,0),"")</f>
        <v>2</v>
      </c>
      <c r="J18" s="106">
        <f>IFERROR(VLOOKUP("M3_STRATEGIC",'Company 6'!$B:$E,4,0),"")</f>
        <v>4</v>
      </c>
      <c r="K18" s="106">
        <f>IFERROR(VLOOKUP("M3_STRATEGIC",'Company 7'!$B:$E,4,0),"")</f>
        <v>4</v>
      </c>
      <c r="L18" s="106">
        <f>IFERROR(VLOOKUP("M3_STRATEGIC",'Company 8'!$B:$E,4,0),"")</f>
        <v>4</v>
      </c>
      <c r="M18" s="106">
        <f>IFERROR(VLOOKUP("M3_STRATEGIC",'Company 9'!$B:$E,4,0),"")</f>
        <v>4</v>
      </c>
      <c r="N18" s="106">
        <f>IFERROR(VLOOKUP("M3_STRATEGIC",'Company 10'!$B:$E,4,0),"")</f>
        <v>5</v>
      </c>
      <c r="O18" s="106">
        <f>IFERROR(VLOOKUP("M3_STRATEGIC",'Company 11'!$B:$E,4,0),"")</f>
        <v>2</v>
      </c>
      <c r="P18" s="106">
        <f>IFERROR(VLOOKUP("M3_STRATEGIC",'Company 12'!$B:$E,4,0),"")</f>
        <v>2</v>
      </c>
      <c r="Q18" s="106">
        <f>IFERROR(VLOOKUP("M3_STRATEGIC",'Company 13'!$B:$E,4,0),"")</f>
        <v>4</v>
      </c>
      <c r="R18" s="106" t="str">
        <f>IFERROR(VLOOKUP("M3_STRATEGIC",#REF!,4,0),"")</f>
        <v/>
      </c>
      <c r="S18" s="106" t="str">
        <f>IFERROR(VLOOKUP("M3_STRATEGIC",#REF!,4,0),"")</f>
        <v/>
      </c>
      <c r="T18" s="106" t="str">
        <f>IFERROR(VLOOKUP("M3_STRATEGIC",#REF!,4,0),"")</f>
        <v/>
      </c>
      <c r="U18" s="106" t="str">
        <f>IFERROR(VLOOKUP("M3_STRATEGIC",#REF!,4,0),"")</f>
        <v/>
      </c>
      <c r="V18" s="106">
        <f>IFERROR(VLOOKUP("M3_STRATEGIC",'Company 18'!$B:$E,4,0),"")</f>
        <v>0</v>
      </c>
      <c r="W18" s="106">
        <f>IFERROR(VLOOKUP("M3_STRATEGIC",'Company 19'!$B:$E,4,0),"")</f>
        <v>0</v>
      </c>
      <c r="X18" s="106">
        <f>IFERROR(VLOOKUP("M3_STRATEGIC",'Company 20'!$B:$E,4,0),"")</f>
        <v>0</v>
      </c>
      <c r="Y18" s="106">
        <f>IFERROR(VLOOKUP("M3_STRATEGIC",'Company 21'!$B:$E,4,0),"")</f>
        <v>0</v>
      </c>
      <c r="Z18" s="106">
        <f>IFERROR(VLOOKUP("M3_STRATEGIC",'Company 22'!$B:$E,4,0),"")</f>
        <v>0</v>
      </c>
      <c r="AA18" s="106">
        <f>IFERROR(VLOOKUP("M3_STRATEGIC",'Company 23'!$B:$E,4,0),"")</f>
        <v>0</v>
      </c>
      <c r="AB18" s="106">
        <f>IFERROR(VLOOKUP("M3_STRATEGIC",'Company 24'!$B:$E,4,0),"")</f>
        <v>0</v>
      </c>
      <c r="AC18" s="106">
        <f>IFERROR(VLOOKUP("M3_STRATEGIC",'Company 25'!$B:$E,4,0),"")</f>
        <v>0</v>
      </c>
      <c r="AD18" s="106">
        <f>IFERROR(VLOOKUP("M3_STRATEGIC",'Company 26'!$B:$E,4,0),"")</f>
        <v>0</v>
      </c>
      <c r="AE18" s="106">
        <f>IFERROR(VLOOKUP("M3_STRATEGIC",'Company 27'!$B:$E,4,0),"")</f>
        <v>0</v>
      </c>
      <c r="AF18" s="106">
        <f>IFERROR(VLOOKUP("M3_STRATEGIC",'Company 28'!$B:$E,4,0),"")</f>
        <v>0</v>
      </c>
      <c r="AG18" s="106">
        <f>IFERROR(VLOOKUP("M3_STRATEGIC",'Company 29'!$B:$E,4,0),"")</f>
        <v>0</v>
      </c>
      <c r="AH18" s="106">
        <f>IFERROR(VLOOKUP("M3_STRATEGIC",'Company 30'!$B:$E,4,0),"")</f>
        <v>0</v>
      </c>
    </row>
    <row r="19" spans="2:34" ht="24.95" customHeight="1">
      <c r="B19" s="109" t="s">
        <v>70</v>
      </c>
      <c r="C19" s="110" t="s">
        <v>78</v>
      </c>
      <c r="D19" s="42" t="s">
        <v>79</v>
      </c>
      <c r="E19" s="106">
        <f>IFERROR(VLOOKUP("M4_BREADTH",'Company 1'!$B:$E,4,0),"")</f>
        <v>2</v>
      </c>
      <c r="F19" s="106">
        <f>IFERROR(VLOOKUP("M4_BREADTH",'Company 2'!$B:$E,4,0),"")</f>
        <v>1</v>
      </c>
      <c r="G19" s="106">
        <f>IFERROR(VLOOKUP("M4_BREADTH",'Company 3'!$B:$E,4,0),"")</f>
        <v>5</v>
      </c>
      <c r="H19" s="106">
        <f>IFERROR(VLOOKUP("M4_BREADTH",'Company 4'!$B:$E,4,0),"")</f>
        <v>2</v>
      </c>
      <c r="I19" s="106">
        <f>IFERROR(VLOOKUP("M4_BREADTH",'Company 5'!$B:$E,4,0),"")</f>
        <v>4</v>
      </c>
      <c r="J19" s="106">
        <f>IFERROR(VLOOKUP("M4_BREADTH",'Company 6'!$B:$E,4,0),"")</f>
        <v>3</v>
      </c>
      <c r="K19" s="106">
        <f>IFERROR(VLOOKUP("M4_BREADTH",'Company 7'!$B:$E,4,0),"")</f>
        <v>3</v>
      </c>
      <c r="L19" s="106">
        <f>IFERROR(VLOOKUP("M4_BREADTH",'Company 8'!$B:$E,4,0),"")</f>
        <v>3</v>
      </c>
      <c r="M19" s="106">
        <f>IFERROR(VLOOKUP("M4_BREADTH",'Company 9'!$B:$E,4,0),"")</f>
        <v>2</v>
      </c>
      <c r="N19" s="106">
        <f>IFERROR(VLOOKUP("M4_BREADTH",'Company 10'!$B:$E,4,0),"")</f>
        <v>3</v>
      </c>
      <c r="O19" s="106">
        <f>IFERROR(VLOOKUP("M4_BREADTH",'Company 11'!$B:$E,4,0),"")</f>
        <v>2</v>
      </c>
      <c r="P19" s="106">
        <f>IFERROR(VLOOKUP("M4_BREADTH",'Company 12'!$B:$E,4,0),"")</f>
        <v>1</v>
      </c>
      <c r="Q19" s="106">
        <f>IFERROR(VLOOKUP("M4_BREADTH",'Company 13'!$B:$E,4,0),"")</f>
        <v>3</v>
      </c>
      <c r="R19" s="106" t="str">
        <f>IFERROR(VLOOKUP("M4_BREADTH",#REF!,4,0),"")</f>
        <v/>
      </c>
      <c r="S19" s="106" t="str">
        <f>IFERROR(VLOOKUP("M4_BREADTH",#REF!,4,0),"")</f>
        <v/>
      </c>
      <c r="T19" s="106" t="str">
        <f>IFERROR(VLOOKUP("M4_BREADTH",#REF!,4,0),"")</f>
        <v/>
      </c>
      <c r="U19" s="106" t="str">
        <f>IFERROR(VLOOKUP("M4_BREADTH",#REF!,4,0),"")</f>
        <v/>
      </c>
      <c r="V19" s="106">
        <f>IFERROR(VLOOKUP("M4_BREADTH",'Company 18'!$B:$E,4,0),"")</f>
        <v>0</v>
      </c>
      <c r="W19" s="106">
        <f>IFERROR(VLOOKUP("M4_BREADTH",'Company 19'!$B:$E,4,0),"")</f>
        <v>0</v>
      </c>
      <c r="X19" s="106">
        <f>IFERROR(VLOOKUP("M4_BREADTH",'Company 20'!$B:$E,4,0),"")</f>
        <v>0</v>
      </c>
      <c r="Y19" s="106">
        <f>IFERROR(VLOOKUP("M4_BREADTH",'Company 21'!$B:$E,4,0),"")</f>
        <v>0</v>
      </c>
      <c r="Z19" s="106">
        <f>IFERROR(VLOOKUP("M4_BREADTH",'Company 22'!$B:$E,4,0),"")</f>
        <v>0</v>
      </c>
      <c r="AA19" s="106">
        <f>IFERROR(VLOOKUP("M4_BREADTH",'Company 23'!$B:$E,4,0),"")</f>
        <v>0</v>
      </c>
      <c r="AB19" s="106">
        <f>IFERROR(VLOOKUP("M4_BREADTH",'Company 24'!$B:$E,4,0),"")</f>
        <v>0</v>
      </c>
      <c r="AC19" s="106">
        <f>IFERROR(VLOOKUP("M4_BREADTH",'Company 25'!$B:$E,4,0),"")</f>
        <v>0</v>
      </c>
      <c r="AD19" s="106">
        <f>IFERROR(VLOOKUP("M4_BREADTH",'Company 26'!$B:$E,4,0),"")</f>
        <v>0</v>
      </c>
      <c r="AE19" s="106">
        <f>IFERROR(VLOOKUP("M4_BREADTH",'Company 27'!$B:$E,4,0),"")</f>
        <v>0</v>
      </c>
      <c r="AF19" s="106">
        <f>IFERROR(VLOOKUP("M4_BREADTH",'Company 28'!$B:$E,4,0),"")</f>
        <v>0</v>
      </c>
      <c r="AG19" s="106">
        <f>IFERROR(VLOOKUP("M4_BREADTH",'Company 29'!$B:$E,4,0),"")</f>
        <v>0</v>
      </c>
      <c r="AH19" s="106">
        <f>IFERROR(VLOOKUP("M4_BREADTH",'Company 30'!$B:$E,4,0),"")</f>
        <v>0</v>
      </c>
    </row>
    <row r="20" spans="2:34" ht="24.95" customHeight="1">
      <c r="B20" s="109" t="s">
        <v>70</v>
      </c>
      <c r="C20" s="110" t="s">
        <v>80</v>
      </c>
      <c r="D20" s="42" t="s">
        <v>81</v>
      </c>
      <c r="E20" s="106">
        <f>IFERROR(VLOOKUP("M5_DATATYPES",'Company 1'!$B:$E,4,0),"")</f>
        <v>2</v>
      </c>
      <c r="F20" s="106">
        <f>IFERROR(VLOOKUP("M5_DATATYPES",'Company 2'!$B:$E,4,0),"")</f>
        <v>1</v>
      </c>
      <c r="G20" s="106">
        <f>IFERROR(VLOOKUP("M5_DATATYPES",'Company 3'!$B:$E,4,0),"")</f>
        <v>4</v>
      </c>
      <c r="H20" s="106">
        <f>IFERROR(VLOOKUP("M5_DATATYPES",'Company 4'!$B:$E,4,0),"")</f>
        <v>3</v>
      </c>
      <c r="I20" s="106">
        <f>IFERROR(VLOOKUP("M5_DATATYPES",'Company 5'!$B:$E,4,0),"")</f>
        <v>2</v>
      </c>
      <c r="J20" s="106">
        <f>IFERROR(VLOOKUP("M5_DATATYPES",'Company 6'!$B:$E,4,0),"")</f>
        <v>5</v>
      </c>
      <c r="K20" s="106">
        <f>IFERROR(VLOOKUP("M5_DATATYPES",'Company 7'!$B:$E,4,0),"")</f>
        <v>3</v>
      </c>
      <c r="L20" s="106">
        <f>IFERROR(VLOOKUP("M5_DATATYPES",'Company 8'!$B:$E,4,0),"")</f>
        <v>4</v>
      </c>
      <c r="M20" s="106">
        <f>IFERROR(VLOOKUP("M5_DATATYPES",'Company 9'!$B:$E,4,0),"")</f>
        <v>5</v>
      </c>
      <c r="N20" s="106">
        <f>IFERROR(VLOOKUP("M5_DATATYPES",'Company 10'!$B:$E,4,0),"")</f>
        <v>5</v>
      </c>
      <c r="O20" s="106">
        <f>IFERROR(VLOOKUP("M5_DATATYPES",'Company 11'!$B:$E,4,0),"")</f>
        <v>2</v>
      </c>
      <c r="P20" s="106">
        <f>IFERROR(VLOOKUP("M5_DATATYPES",'Company 12'!$B:$E,4,0),"")</f>
        <v>2</v>
      </c>
      <c r="Q20" s="106">
        <f>IFERROR(VLOOKUP("M5_DATATYPES",'Company 13'!$B:$E,4,0),"")</f>
        <v>4</v>
      </c>
      <c r="R20" s="106" t="str">
        <f>IFERROR(VLOOKUP("M5_DATATYPES",#REF!,4,0),"")</f>
        <v/>
      </c>
      <c r="S20" s="106" t="str">
        <f>IFERROR(VLOOKUP("M5_DATATYPES",#REF!,4,0),"")</f>
        <v/>
      </c>
      <c r="T20" s="106" t="str">
        <f>IFERROR(VLOOKUP("M5_DATATYPES",#REF!,4,0),"")</f>
        <v/>
      </c>
      <c r="U20" s="106" t="str">
        <f>IFERROR(VLOOKUP("M5_DATATYPES",#REF!,4,0),"")</f>
        <v/>
      </c>
      <c r="V20" s="106">
        <f>IFERROR(VLOOKUP("M5_DATATYPES",'Company 18'!$B:$E,4,0),"")</f>
        <v>0</v>
      </c>
      <c r="W20" s="106">
        <f>IFERROR(VLOOKUP("M5_DATATYPES",'Company 19'!$B:$E,4,0),"")</f>
        <v>0</v>
      </c>
      <c r="X20" s="106">
        <f>IFERROR(VLOOKUP("M5_DATATYPES",'Company 20'!$B:$E,4,0),"")</f>
        <v>0</v>
      </c>
      <c r="Y20" s="106">
        <f>IFERROR(VLOOKUP("M5_DATATYPES",'Company 21'!$B:$E,4,0),"")</f>
        <v>0</v>
      </c>
      <c r="Z20" s="106">
        <f>IFERROR(VLOOKUP("M5_DATATYPES",'Company 22'!$B:$E,4,0),"")</f>
        <v>0</v>
      </c>
      <c r="AA20" s="106">
        <f>IFERROR(VLOOKUP("M5_DATATYPES",'Company 23'!$B:$E,4,0),"")</f>
        <v>0</v>
      </c>
      <c r="AB20" s="106">
        <f>IFERROR(VLOOKUP("M5_DATATYPES",'Company 24'!$B:$E,4,0),"")</f>
        <v>0</v>
      </c>
      <c r="AC20" s="106">
        <f>IFERROR(VLOOKUP("M5_DATATYPES",'Company 25'!$B:$E,4,0),"")</f>
        <v>0</v>
      </c>
      <c r="AD20" s="106">
        <f>IFERROR(VLOOKUP("M5_DATATYPES",'Company 26'!$B:$E,4,0),"")</f>
        <v>0</v>
      </c>
      <c r="AE20" s="106">
        <f>IFERROR(VLOOKUP("M5_DATATYPES",'Company 27'!$B:$E,4,0),"")</f>
        <v>0</v>
      </c>
      <c r="AF20" s="106">
        <f>IFERROR(VLOOKUP("M5_DATATYPES",'Company 28'!$B:$E,4,0),"")</f>
        <v>0</v>
      </c>
      <c r="AG20" s="106">
        <f>IFERROR(VLOOKUP("M5_DATATYPES",'Company 29'!$B:$E,4,0),"")</f>
        <v>0</v>
      </c>
      <c r="AH20" s="106">
        <f>IFERROR(VLOOKUP("M5_DATATYPES",'Company 30'!$B:$E,4,0),"")</f>
        <v>0</v>
      </c>
    </row>
    <row r="21" spans="2:34" ht="24.95" customHeight="1">
      <c r="B21" s="109" t="s">
        <v>70</v>
      </c>
      <c r="C21" s="110" t="s">
        <v>82</v>
      </c>
      <c r="D21" s="42" t="s">
        <v>83</v>
      </c>
      <c r="E21" s="106">
        <f>IFERROR(VLOOKUP("M6_TRUST",'Company 1'!$B:$E,4,0),"")</f>
        <v>4</v>
      </c>
      <c r="F21" s="106">
        <f>IFERROR(VLOOKUP("M6_TRUST",'Company 2'!$B:$E,4,0),"")</f>
        <v>0</v>
      </c>
      <c r="G21" s="106">
        <f>IFERROR(VLOOKUP("M6_TRUST",'Company 3'!$B:$E,4,0),"")</f>
        <v>3</v>
      </c>
      <c r="H21" s="106">
        <f>IFERROR(VLOOKUP("M6_TRUST",'Company 4'!$B:$E,4,0),"")</f>
        <v>2</v>
      </c>
      <c r="I21" s="106">
        <f>IFERROR(VLOOKUP("M6_TRUST",'Company 5'!$B:$E,4,0),"")</f>
        <v>2</v>
      </c>
      <c r="J21" s="106">
        <f>IFERROR(VLOOKUP("M6_TRUST",'Company 6'!$B:$E,4,0),"")</f>
        <v>2</v>
      </c>
      <c r="K21" s="106">
        <f>IFERROR(VLOOKUP("M6_TRUST",'Company 7'!$B:$E,4,0),"")</f>
        <v>0</v>
      </c>
      <c r="L21" s="106">
        <f>IFERROR(VLOOKUP("M6_TRUST",'Company 8'!$B:$E,4,0),"")</f>
        <v>4</v>
      </c>
      <c r="M21" s="106">
        <f>IFERROR(VLOOKUP("M6_TRUST",'Company 9'!$B:$E,4,0),"")</f>
        <v>2</v>
      </c>
      <c r="N21" s="106">
        <f>IFERROR(VLOOKUP("M6_TRUST",'Company 10'!$B:$E,4,0),"")</f>
        <v>3</v>
      </c>
      <c r="O21" s="106">
        <f>IFERROR(VLOOKUP("M6_TRUST",'Company 11'!$B:$E,4,0),"")</f>
        <v>0</v>
      </c>
      <c r="P21" s="106">
        <f>IFERROR(VLOOKUP("M6_TRUST",'Company 12'!$B:$E,4,0),"")</f>
        <v>0</v>
      </c>
      <c r="Q21" s="106">
        <f>IFERROR(VLOOKUP("M6_TRUST",'Company 13'!$B:$E,4,0),"")</f>
        <v>2</v>
      </c>
      <c r="R21" s="106" t="str">
        <f>IFERROR(VLOOKUP("M6_TRUST",#REF!,4,0),"")</f>
        <v/>
      </c>
      <c r="S21" s="106" t="str">
        <f>IFERROR(VLOOKUP("M6_TRUST",#REF!,4,0),"")</f>
        <v/>
      </c>
      <c r="T21" s="106" t="str">
        <f>IFERROR(VLOOKUP("M6_TRUST",#REF!,4,0),"")</f>
        <v/>
      </c>
      <c r="U21" s="106" t="str">
        <f>IFERROR(VLOOKUP("M6_TRUST",#REF!,4,0),"")</f>
        <v/>
      </c>
      <c r="V21" s="106">
        <f>IFERROR(VLOOKUP("M6_TRUST",'Company 18'!$B:$E,4,0),"")</f>
        <v>0</v>
      </c>
      <c r="W21" s="106">
        <f>IFERROR(VLOOKUP("M6_TRUST",'Company 19'!$B:$E,4,0),"")</f>
        <v>0</v>
      </c>
      <c r="X21" s="106">
        <f>IFERROR(VLOOKUP("M6_TRUST",'Company 20'!$B:$E,4,0),"")</f>
        <v>0</v>
      </c>
      <c r="Y21" s="106">
        <f>IFERROR(VLOOKUP("M6_TRUST",'Company 21'!$B:$E,4,0),"")</f>
        <v>0</v>
      </c>
      <c r="Z21" s="106">
        <f>IFERROR(VLOOKUP("M6_TRUST",'Company 22'!$B:$E,4,0),"")</f>
        <v>0</v>
      </c>
      <c r="AA21" s="106">
        <f>IFERROR(VLOOKUP("M6_TRUST",'Company 23'!$B:$E,4,0),"")</f>
        <v>0</v>
      </c>
      <c r="AB21" s="106">
        <f>IFERROR(VLOOKUP("M6_TRUST",'Company 24'!$B:$E,4,0),"")</f>
        <v>0</v>
      </c>
      <c r="AC21" s="106">
        <f>IFERROR(VLOOKUP("M6_TRUST",'Company 25'!$B:$E,4,0),"")</f>
        <v>0</v>
      </c>
      <c r="AD21" s="106">
        <f>IFERROR(VLOOKUP("M6_TRUST",'Company 26'!$B:$E,4,0),"")</f>
        <v>0</v>
      </c>
      <c r="AE21" s="106">
        <f>IFERROR(VLOOKUP("M6_TRUST",'Company 27'!$B:$E,4,0),"")</f>
        <v>0</v>
      </c>
      <c r="AF21" s="106">
        <f>IFERROR(VLOOKUP("M6_TRUST",'Company 28'!$B:$E,4,0),"")</f>
        <v>0</v>
      </c>
      <c r="AG21" s="106">
        <f>IFERROR(VLOOKUP("M6_TRUST",'Company 29'!$B:$E,4,0),"")</f>
        <v>0</v>
      </c>
      <c r="AH21" s="106">
        <f>IFERROR(VLOOKUP("M6_TRUST",'Company 30'!$B:$E,4,0),"")</f>
        <v>0</v>
      </c>
    </row>
    <row r="22" spans="2:34" ht="24.95" customHeight="1">
      <c r="B22" s="109" t="s">
        <v>70</v>
      </c>
      <c r="C22" s="110" t="s">
        <v>84</v>
      </c>
      <c r="D22" s="42" t="s">
        <v>85</v>
      </c>
      <c r="E22" s="106">
        <f>IFERROR(VLOOKUP("M7_BARRIERS",'Company 1'!$B:$E,4,0),"")</f>
        <v>3</v>
      </c>
      <c r="F22" s="106">
        <f>IFERROR(VLOOKUP("M7_BARRIERS",'Company 2'!$B:$E,4,0),"")</f>
        <v>5</v>
      </c>
      <c r="G22" s="106">
        <f>IFERROR(VLOOKUP("M7_BARRIERS",'Company 3'!$B:$E,4,0),"")</f>
        <v>4</v>
      </c>
      <c r="H22" s="106">
        <f>IFERROR(VLOOKUP("M7_BARRIERS",'Company 4'!$B:$E,4,0),"")</f>
        <v>3</v>
      </c>
      <c r="I22" s="106">
        <f>IFERROR(VLOOKUP("M7_BARRIERS",'Company 5'!$B:$E,4,0),"")</f>
        <v>4</v>
      </c>
      <c r="J22" s="106">
        <f>IFERROR(VLOOKUP("M7_BARRIERS",'Company 6'!$B:$E,4,0),"")</f>
        <v>5</v>
      </c>
      <c r="K22" s="106">
        <f>IFERROR(VLOOKUP("M7_BARRIERS",'Company 7'!$B:$E,4,0),"")</f>
        <v>2</v>
      </c>
      <c r="L22" s="106">
        <f>IFERROR(VLOOKUP("M7_BARRIERS",'Company 8'!$B:$E,4,0),"")</f>
        <v>4</v>
      </c>
      <c r="M22" s="106">
        <f>IFERROR(VLOOKUP("M7_BARRIERS",'Company 9'!$B:$E,4,0),"")</f>
        <v>4</v>
      </c>
      <c r="N22" s="106">
        <f>IFERROR(VLOOKUP("M7_BARRIERS",'Company 10'!$B:$E,4,0),"")</f>
        <v>4</v>
      </c>
      <c r="O22" s="106">
        <f>IFERROR(VLOOKUP("M7_BARRIERS",'Company 11'!$B:$E,4,0),"")</f>
        <v>2</v>
      </c>
      <c r="P22" s="106">
        <f>IFERROR(VLOOKUP("M7_BARRIERS",'Company 12'!$B:$E,4,0),"")</f>
        <v>4</v>
      </c>
      <c r="Q22" s="106">
        <f>IFERROR(VLOOKUP("M7_BARRIERS",'Company 13'!$B:$E,4,0),"")</f>
        <v>3</v>
      </c>
      <c r="R22" s="106" t="str">
        <f>IFERROR(VLOOKUP("M7_BARRIERS",#REF!,4,0),"")</f>
        <v/>
      </c>
      <c r="S22" s="106" t="str">
        <f>IFERROR(VLOOKUP("M7_BARRIERS",#REF!,4,0),"")</f>
        <v/>
      </c>
      <c r="T22" s="106" t="str">
        <f>IFERROR(VLOOKUP("M7_BARRIERS",#REF!,4,0),"")</f>
        <v/>
      </c>
      <c r="U22" s="106" t="str">
        <f>IFERROR(VLOOKUP("M7_BARRIERS",#REF!,4,0),"")</f>
        <v/>
      </c>
      <c r="V22" s="106">
        <f>IFERROR(VLOOKUP("M7_BARRIERS",'Company 18'!$B:$E,4,0),"")</f>
        <v>0</v>
      </c>
      <c r="W22" s="106">
        <f>IFERROR(VLOOKUP("M7_BARRIERS",'Company 19'!$B:$E,4,0),"")</f>
        <v>0</v>
      </c>
      <c r="X22" s="106">
        <f>IFERROR(VLOOKUP("M7_BARRIERS",'Company 20'!$B:$E,4,0),"")</f>
        <v>0</v>
      </c>
      <c r="Y22" s="106">
        <f>IFERROR(VLOOKUP("M7_BARRIERS",'Company 21'!$B:$E,4,0),"")</f>
        <v>0</v>
      </c>
      <c r="Z22" s="106">
        <f>IFERROR(VLOOKUP("M7_BARRIERS",'Company 22'!$B:$E,4,0),"")</f>
        <v>0</v>
      </c>
      <c r="AA22" s="106">
        <f>IFERROR(VLOOKUP("M7_BARRIERS",'Company 23'!$B:$E,4,0),"")</f>
        <v>0</v>
      </c>
      <c r="AB22" s="106">
        <f>IFERROR(VLOOKUP("M7_BARRIERS",'Company 24'!$B:$E,4,0),"")</f>
        <v>0</v>
      </c>
      <c r="AC22" s="106">
        <f>IFERROR(VLOOKUP("M7_BARRIERS",'Company 25'!$B:$E,4,0),"")</f>
        <v>0</v>
      </c>
      <c r="AD22" s="106">
        <f>IFERROR(VLOOKUP("M7_BARRIERS",'Company 26'!$B:$E,4,0),"")</f>
        <v>0</v>
      </c>
      <c r="AE22" s="106">
        <f>IFERROR(VLOOKUP("M7_BARRIERS",'Company 27'!$B:$E,4,0),"")</f>
        <v>0</v>
      </c>
      <c r="AF22" s="106">
        <f>IFERROR(VLOOKUP("M7_BARRIERS",'Company 28'!$B:$E,4,0),"")</f>
        <v>0</v>
      </c>
      <c r="AG22" s="106">
        <f>IFERROR(VLOOKUP("M7_BARRIERS",'Company 29'!$B:$E,4,0),"")</f>
        <v>0</v>
      </c>
      <c r="AH22" s="106">
        <f>IFERROR(VLOOKUP("M7_BARRIERS",'Company 30'!$B:$E,4,0),"")</f>
        <v>0</v>
      </c>
    </row>
    <row r="23" spans="2:34" ht="24.95" customHeight="1">
      <c r="B23" s="109" t="s">
        <v>70</v>
      </c>
      <c r="C23" s="110" t="s">
        <v>86</v>
      </c>
      <c r="D23" s="42" t="s">
        <v>87</v>
      </c>
      <c r="E23" s="106">
        <f>IFERROR(VLOOKUP("M8_IMPACT",'Company 1'!$B:$E,4,0),"")</f>
        <v>0</v>
      </c>
      <c r="F23" s="106">
        <f>IFERROR(VLOOKUP("M8_IMPACT",'Company 2'!$B:$E,4,0),"")</f>
        <v>0</v>
      </c>
      <c r="G23" s="106">
        <f>IFERROR(VLOOKUP("M8_IMPACT",'Company 3'!$B:$E,4,0),"")</f>
        <v>3</v>
      </c>
      <c r="H23" s="106">
        <f>IFERROR(VLOOKUP("M8_IMPACT",'Company 4'!$B:$E,4,0),"")</f>
        <v>0</v>
      </c>
      <c r="I23" s="106">
        <f>IFERROR(VLOOKUP("M8_IMPACT",'Company 5'!$B:$E,4,0),"")</f>
        <v>2</v>
      </c>
      <c r="J23" s="106">
        <f>IFERROR(VLOOKUP("M8_IMPACT",'Company 6'!$B:$E,4,0),"")</f>
        <v>5</v>
      </c>
      <c r="K23" s="106">
        <f>IFERROR(VLOOKUP("M8_IMPACT",'Company 7'!$B:$E,4,0),"")</f>
        <v>3</v>
      </c>
      <c r="L23" s="106">
        <f>IFERROR(VLOOKUP("M8_IMPACT",'Company 8'!$B:$E,4,0),"")</f>
        <v>2</v>
      </c>
      <c r="M23" s="106">
        <f>IFERROR(VLOOKUP("M8_IMPACT",'Company 9'!$B:$E,4,0),"")</f>
        <v>4</v>
      </c>
      <c r="N23" s="106">
        <f>IFERROR(VLOOKUP("M8_IMPACT",'Company 10'!$B:$E,4,0),"")</f>
        <v>4</v>
      </c>
      <c r="O23" s="106">
        <f>IFERROR(VLOOKUP("M8_IMPACT",'Company 11'!$B:$E,4,0),"")</f>
        <v>0</v>
      </c>
      <c r="P23" s="106">
        <f>IFERROR(VLOOKUP("M8_IMPACT",'Company 12'!$B:$E,4,0),"")</f>
        <v>4</v>
      </c>
      <c r="Q23" s="106">
        <f>IFERROR(VLOOKUP("M8_IMPACT",'Company 13'!$B:$E,4,0),"")</f>
        <v>3</v>
      </c>
      <c r="R23" s="106" t="str">
        <f>IFERROR(VLOOKUP("M8_IMPACT",#REF!,4,0),"")</f>
        <v/>
      </c>
      <c r="S23" s="106" t="str">
        <f>IFERROR(VLOOKUP("M8_IMPACT",#REF!,4,0),"")</f>
        <v/>
      </c>
      <c r="T23" s="106" t="str">
        <f>IFERROR(VLOOKUP("M8_IMPACT",#REF!,4,0),"")</f>
        <v/>
      </c>
      <c r="U23" s="106" t="str">
        <f>IFERROR(VLOOKUP("M8_IMPACT",#REF!,4,0),"")</f>
        <v/>
      </c>
      <c r="V23" s="106">
        <f>IFERROR(VLOOKUP("M8_IMPACT",'Company 18'!$B:$E,4,0),"")</f>
        <v>0</v>
      </c>
      <c r="W23" s="106">
        <f>IFERROR(VLOOKUP("M8_IMPACT",'Company 19'!$B:$E,4,0),"")</f>
        <v>0</v>
      </c>
      <c r="X23" s="106">
        <f>IFERROR(VLOOKUP("M8_IMPACT",'Company 20'!$B:$E,4,0),"")</f>
        <v>0</v>
      </c>
      <c r="Y23" s="106">
        <f>IFERROR(VLOOKUP("M8_IMPACT",'Company 21'!$B:$E,4,0),"")</f>
        <v>0</v>
      </c>
      <c r="Z23" s="106">
        <f>IFERROR(VLOOKUP("M8_IMPACT",'Company 22'!$B:$E,4,0),"")</f>
        <v>0</v>
      </c>
      <c r="AA23" s="106">
        <f>IFERROR(VLOOKUP("M8_IMPACT",'Company 23'!$B:$E,4,0),"")</f>
        <v>0</v>
      </c>
      <c r="AB23" s="106">
        <f>IFERROR(VLOOKUP("M8_IMPACT",'Company 24'!$B:$E,4,0),"")</f>
        <v>0</v>
      </c>
      <c r="AC23" s="106">
        <f>IFERROR(VLOOKUP("M8_IMPACT",'Company 25'!$B:$E,4,0),"")</f>
        <v>0</v>
      </c>
      <c r="AD23" s="106">
        <f>IFERROR(VLOOKUP("M8_IMPACT",'Company 26'!$B:$E,4,0),"")</f>
        <v>0</v>
      </c>
      <c r="AE23" s="106">
        <f>IFERROR(VLOOKUP("M8_IMPACT",'Company 27'!$B:$E,4,0),"")</f>
        <v>0</v>
      </c>
      <c r="AF23" s="106">
        <f>IFERROR(VLOOKUP("M8_IMPACT",'Company 28'!$B:$E,4,0),"")</f>
        <v>0</v>
      </c>
      <c r="AG23" s="106">
        <f>IFERROR(VLOOKUP("M8_IMPACT",'Company 29'!$B:$E,4,0),"")</f>
        <v>0</v>
      </c>
      <c r="AH23" s="106">
        <f>IFERROR(VLOOKUP("M8_IMPACT",'Company 30'!$B:$E,4,0),"")</f>
        <v>0</v>
      </c>
    </row>
    <row r="24" spans="2:34" ht="24.95" customHeight="1">
      <c r="B24" s="109" t="s">
        <v>70</v>
      </c>
      <c r="C24" s="110" t="s">
        <v>89</v>
      </c>
      <c r="D24" s="42" t="s">
        <v>90</v>
      </c>
      <c r="E24" s="106">
        <f>IFERROR(VLOOKUP("M9_WILLINGNESS",'Company 1'!$B:$E,4,0),"")</f>
        <v>6</v>
      </c>
      <c r="F24" s="106">
        <f>IFERROR(VLOOKUP("M9_WILLINGNESS",'Company 2'!$B:$E,4,0),"")</f>
        <v>2</v>
      </c>
      <c r="G24" s="106">
        <f>IFERROR(VLOOKUP("M9_WILLINGNESS",'Company 3'!$B:$E,4,0),"")</f>
        <v>8</v>
      </c>
      <c r="H24" s="106">
        <f>IFERROR(VLOOKUP("M9_WILLINGNESS",'Company 4'!$B:$E,4,0),"")</f>
        <v>8</v>
      </c>
      <c r="I24" s="106">
        <f>IFERROR(VLOOKUP("M9_WILLINGNESS",'Company 5'!$B:$E,4,0),"")</f>
        <v>10</v>
      </c>
      <c r="J24" s="106">
        <f>IFERROR(VLOOKUP("M9_WILLINGNESS",'Company 6'!$B:$E,4,0),"")</f>
        <v>6</v>
      </c>
      <c r="K24" s="106">
        <f>IFERROR(VLOOKUP("M9_WILLINGNESS",'Company 7'!$B:$E,4,0),"")</f>
        <v>8</v>
      </c>
      <c r="L24" s="106">
        <f>IFERROR(VLOOKUP("M9_WILLINGNESS",'Company 8'!$B:$E,4,0),"")</f>
        <v>8</v>
      </c>
      <c r="M24" s="106">
        <f>IFERROR(VLOOKUP("M9_WILLINGNESS",'Company 9'!$B:$E,4,0),"")</f>
        <v>6</v>
      </c>
      <c r="N24" s="106">
        <f>IFERROR(VLOOKUP("M9_WILLINGNESS",'Company 10'!$B:$E,4,0),"")</f>
        <v>7</v>
      </c>
      <c r="O24" s="106">
        <f>IFERROR(VLOOKUP("M9_WILLINGNESS",'Company 11'!$B:$E,4,0),"")</f>
        <v>9</v>
      </c>
      <c r="P24" s="106">
        <f>IFERROR(VLOOKUP("M9_WILLINGNESS",'Company 12'!$B:$E,4,0),"")</f>
        <v>3</v>
      </c>
      <c r="Q24" s="106">
        <f>IFERROR(VLOOKUP("M9_WILLINGNESS",'Company 13'!$B:$E,4,0),"")</f>
        <v>9</v>
      </c>
      <c r="R24" s="106" t="str">
        <f>IFERROR(VLOOKUP("M9_WILLINGNESS",#REF!,4,0),"")</f>
        <v/>
      </c>
      <c r="S24" s="106" t="str">
        <f>IFERROR(VLOOKUP("M9_WILLINGNESS",#REF!,4,0),"")</f>
        <v/>
      </c>
      <c r="T24" s="106" t="str">
        <f>IFERROR(VLOOKUP("M9_WILLINGNESS",#REF!,4,0),"")</f>
        <v/>
      </c>
      <c r="U24" s="106" t="str">
        <f>IFERROR(VLOOKUP("M9_WILLINGNESS",#REF!,4,0),"")</f>
        <v/>
      </c>
      <c r="V24" s="106">
        <f>IFERROR(VLOOKUP("M9_WILLINGNESS",'Company 18'!$B:$E,4,0),"")</f>
        <v>0</v>
      </c>
      <c r="W24" s="106">
        <f>IFERROR(VLOOKUP("M9_WILLINGNESS",'Company 19'!$B:$E,4,0),"")</f>
        <v>0</v>
      </c>
      <c r="X24" s="106">
        <f>IFERROR(VLOOKUP("M9_WILLINGNESS",'Company 20'!$B:$E,4,0),"")</f>
        <v>0</v>
      </c>
      <c r="Y24" s="106">
        <f>IFERROR(VLOOKUP("M9_WILLINGNESS",'Company 21'!$B:$E,4,0),"")</f>
        <v>0</v>
      </c>
      <c r="Z24" s="106">
        <f>IFERROR(VLOOKUP("M9_WILLINGNESS",'Company 22'!$B:$E,4,0),"")</f>
        <v>0</v>
      </c>
      <c r="AA24" s="106">
        <f>IFERROR(VLOOKUP("M9_WILLINGNESS",'Company 23'!$B:$E,4,0),"")</f>
        <v>0</v>
      </c>
      <c r="AB24" s="106">
        <f>IFERROR(VLOOKUP("M9_WILLINGNESS",'Company 24'!$B:$E,4,0),"")</f>
        <v>0</v>
      </c>
      <c r="AC24" s="106">
        <f>IFERROR(VLOOKUP("M9_WILLINGNESS",'Company 25'!$B:$E,4,0),"")</f>
        <v>0</v>
      </c>
      <c r="AD24" s="106">
        <f>IFERROR(VLOOKUP("M9_WILLINGNESS",'Company 26'!$B:$E,4,0),"")</f>
        <v>0</v>
      </c>
      <c r="AE24" s="106">
        <f>IFERROR(VLOOKUP("M9_WILLINGNESS",'Company 27'!$B:$E,4,0),"")</f>
        <v>0</v>
      </c>
      <c r="AF24" s="106">
        <f>IFERROR(VLOOKUP("M9_WILLINGNESS",'Company 28'!$B:$E,4,0),"")</f>
        <v>0</v>
      </c>
      <c r="AG24" s="106">
        <f>IFERROR(VLOOKUP("M9_WILLINGNESS",'Company 29'!$B:$E,4,0),"")</f>
        <v>0</v>
      </c>
      <c r="AH24" s="106">
        <f>IFERROR(VLOOKUP("M9_WILLINGNESS",'Company 30'!$B:$E,4,0),"")</f>
        <v>0</v>
      </c>
    </row>
    <row r="25" spans="2:34" ht="18" customHeight="1">
      <c r="B25" s="111" t="s">
        <v>214</v>
      </c>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row>
    <row r="26" spans="2:34" ht="24.95" customHeight="1">
      <c r="B26" s="113" t="s">
        <v>92</v>
      </c>
      <c r="C26" s="114" t="s">
        <v>93</v>
      </c>
      <c r="D26" s="42" t="s">
        <v>94</v>
      </c>
      <c r="E26" s="106">
        <f>IFERROR(VLOOKUP("SV1_PRICING",'Company 1'!$B:$E,4,0),"")</f>
        <v>0</v>
      </c>
      <c r="F26" s="106">
        <f>IFERROR(VLOOKUP("SV1_PRICING",'Company 2'!$B:$E,4,0),"")</f>
        <v>0</v>
      </c>
      <c r="G26" s="106">
        <f>IFERROR(VLOOKUP("SV1_PRICING",'Company 3'!$B:$E,4,0),"")</f>
        <v>1</v>
      </c>
      <c r="H26" s="106">
        <f>IFERROR(VLOOKUP("SV1_PRICING",'Company 4'!$B:$E,4,0),"")</f>
        <v>1</v>
      </c>
      <c r="I26" s="106">
        <f>IFERROR(VLOOKUP("SV1_PRICING",'Company 5'!$B:$E,4,0),"")</f>
        <v>1</v>
      </c>
      <c r="J26" s="106">
        <f>IFERROR(VLOOKUP("SV1_PRICING",'Company 6'!$B:$E,4,0),"")</f>
        <v>1</v>
      </c>
      <c r="K26" s="106">
        <f>IFERROR(VLOOKUP("SV1_PRICING",'Company 7'!$B:$E,4,0),"")</f>
        <v>0</v>
      </c>
      <c r="L26" s="106">
        <f>IFERROR(VLOOKUP("SV1_PRICING",'Company 8'!$B:$E,4,0),"")</f>
        <v>1</v>
      </c>
      <c r="M26" s="106">
        <f>IFERROR(VLOOKUP("SV1_PRICING",'Company 9'!$B:$E,4,0),"")</f>
        <v>0</v>
      </c>
      <c r="N26" s="106">
        <f>IFERROR(VLOOKUP("SV1_PRICING",'Company 10'!$B:$E,4,0),"")</f>
        <v>1</v>
      </c>
      <c r="O26" s="106">
        <f>IFERROR(VLOOKUP("SV1_PRICING",'Company 11'!$B:$E,4,0),"")</f>
        <v>1</v>
      </c>
      <c r="P26" s="106">
        <f>IFERROR(VLOOKUP("SV1_PRICING",'Company 12'!$B:$E,4,0),"")</f>
        <v>0</v>
      </c>
      <c r="Q26" s="106">
        <f>IFERROR(VLOOKUP("SV1_PRICING",'Company 13'!$B:$E,4,0),"")</f>
        <v>0</v>
      </c>
      <c r="R26" s="106" t="str">
        <f>IFERROR(VLOOKUP("SV1_PRICING",#REF!,4,0),"")</f>
        <v/>
      </c>
      <c r="S26" s="106" t="str">
        <f>IFERROR(VLOOKUP("SV1_PRICING",#REF!,4,0),"")</f>
        <v/>
      </c>
      <c r="T26" s="106" t="str">
        <f>IFERROR(VLOOKUP("SV1_PRICING",#REF!,4,0),"")</f>
        <v/>
      </c>
      <c r="U26" s="106" t="str">
        <f>IFERROR(VLOOKUP("SV1_PRICING",#REF!,4,0),"")</f>
        <v/>
      </c>
      <c r="V26" s="106">
        <f>IFERROR(VLOOKUP("SV1_PRICING",'Company 18'!$B:$E,4,0),"")</f>
        <v>0</v>
      </c>
      <c r="W26" s="106">
        <f>IFERROR(VLOOKUP("SV1_PRICING",'Company 19'!$B:$E,4,0),"")</f>
        <v>0</v>
      </c>
      <c r="X26" s="106">
        <f>IFERROR(VLOOKUP("SV1_PRICING",'Company 20'!$B:$E,4,0),"")</f>
        <v>0</v>
      </c>
      <c r="Y26" s="106">
        <f>IFERROR(VLOOKUP("SV1_PRICING",'Company 21'!$B:$E,4,0),"")</f>
        <v>0</v>
      </c>
      <c r="Z26" s="106">
        <f>IFERROR(VLOOKUP("SV1_PRICING",'Company 22'!$B:$E,4,0),"")</f>
        <v>0</v>
      </c>
      <c r="AA26" s="106">
        <f>IFERROR(VLOOKUP("SV1_PRICING",'Company 23'!$B:$E,4,0),"")</f>
        <v>0</v>
      </c>
      <c r="AB26" s="106">
        <f>IFERROR(VLOOKUP("SV1_PRICING",'Company 24'!$B:$E,4,0),"")</f>
        <v>0</v>
      </c>
      <c r="AC26" s="106">
        <f>IFERROR(VLOOKUP("SV1_PRICING",'Company 25'!$B:$E,4,0),"")</f>
        <v>0</v>
      </c>
      <c r="AD26" s="106">
        <f>IFERROR(VLOOKUP("SV1_PRICING",'Company 26'!$B:$E,4,0),"")</f>
        <v>0</v>
      </c>
      <c r="AE26" s="106">
        <f>IFERROR(VLOOKUP("SV1_PRICING",'Company 27'!$B:$E,4,0),"")</f>
        <v>0</v>
      </c>
      <c r="AF26" s="106">
        <f>IFERROR(VLOOKUP("SV1_PRICING",'Company 28'!$B:$E,4,0),"")</f>
        <v>0</v>
      </c>
      <c r="AG26" s="106">
        <f>IFERROR(VLOOKUP("SV1_PRICING",'Company 29'!$B:$E,4,0),"")</f>
        <v>0</v>
      </c>
      <c r="AH26" s="106">
        <f>IFERROR(VLOOKUP("SV1_PRICING",'Company 30'!$B:$E,4,0),"")</f>
        <v>0</v>
      </c>
    </row>
    <row r="27" spans="2:34" ht="24.95" customHeight="1">
      <c r="B27" s="113" t="s">
        <v>92</v>
      </c>
      <c r="C27" s="114" t="s">
        <v>96</v>
      </c>
      <c r="D27" s="42" t="s">
        <v>97</v>
      </c>
      <c r="E27" s="106">
        <f>IFERROR(VLOOKUP("SV2_PROMOTIONS",'Company 1'!$B:$E,4,0),"")</f>
        <v>0</v>
      </c>
      <c r="F27" s="106">
        <f>IFERROR(VLOOKUP("SV2_PROMOTIONS",'Company 2'!$B:$E,4,0),"")</f>
        <v>0</v>
      </c>
      <c r="G27" s="106">
        <f>IFERROR(VLOOKUP("SV2_PROMOTIONS",'Company 3'!$B:$E,4,0),"")</f>
        <v>1</v>
      </c>
      <c r="H27" s="106">
        <f>IFERROR(VLOOKUP("SV2_PROMOTIONS",'Company 4'!$B:$E,4,0),"")</f>
        <v>1</v>
      </c>
      <c r="I27" s="106">
        <f>IFERROR(VLOOKUP("SV2_PROMOTIONS",'Company 5'!$B:$E,4,0),"")</f>
        <v>1</v>
      </c>
      <c r="J27" s="106">
        <f>IFERROR(VLOOKUP("SV2_PROMOTIONS",'Company 6'!$B:$E,4,0),"")</f>
        <v>1</v>
      </c>
      <c r="K27" s="106">
        <f>IFERROR(VLOOKUP("SV2_PROMOTIONS",'Company 7'!$B:$E,4,0),"")</f>
        <v>0</v>
      </c>
      <c r="L27" s="106">
        <f>IFERROR(VLOOKUP("SV2_PROMOTIONS",'Company 8'!$B:$E,4,0),"")</f>
        <v>1</v>
      </c>
      <c r="M27" s="106">
        <f>IFERROR(VLOOKUP("SV2_PROMOTIONS",'Company 9'!$B:$E,4,0),"")</f>
        <v>0</v>
      </c>
      <c r="N27" s="106">
        <f>IFERROR(VLOOKUP("SV2_PROMOTIONS",'Company 10'!$B:$E,4,0),"")</f>
        <v>0</v>
      </c>
      <c r="O27" s="106">
        <f>IFERROR(VLOOKUP("SV2_PROMOTIONS",'Company 11'!$B:$E,4,0),"")</f>
        <v>1</v>
      </c>
      <c r="P27" s="106">
        <f>IFERROR(VLOOKUP("SV2_PROMOTIONS",'Company 12'!$B:$E,4,0),"")</f>
        <v>1</v>
      </c>
      <c r="Q27" s="106">
        <f>IFERROR(VLOOKUP("SV2_PROMOTIONS",'Company 13'!$B:$E,4,0),"")</f>
        <v>1</v>
      </c>
      <c r="R27" s="106" t="str">
        <f>IFERROR(VLOOKUP("SV2_PROMOTIONS",#REF!,4,0),"")</f>
        <v/>
      </c>
      <c r="S27" s="106" t="str">
        <f>IFERROR(VLOOKUP("SV2_PROMOTIONS",#REF!,4,0),"")</f>
        <v/>
      </c>
      <c r="T27" s="106" t="str">
        <f>IFERROR(VLOOKUP("SV2_PROMOTIONS",#REF!,4,0),"")</f>
        <v/>
      </c>
      <c r="U27" s="106" t="str">
        <f>IFERROR(VLOOKUP("SV2_PROMOTIONS",#REF!,4,0),"")</f>
        <v/>
      </c>
      <c r="V27" s="106">
        <f>IFERROR(VLOOKUP("SV2_PROMOTIONS",'Company 18'!$B:$E,4,0),"")</f>
        <v>0</v>
      </c>
      <c r="W27" s="106">
        <f>IFERROR(VLOOKUP("SV2_PROMOTIONS",'Company 19'!$B:$E,4,0),"")</f>
        <v>0</v>
      </c>
      <c r="X27" s="106">
        <f>IFERROR(VLOOKUP("SV2_PROMOTIONS",'Company 20'!$B:$E,4,0),"")</f>
        <v>0</v>
      </c>
      <c r="Y27" s="106">
        <f>IFERROR(VLOOKUP("SV2_PROMOTIONS",'Company 21'!$B:$E,4,0),"")</f>
        <v>0</v>
      </c>
      <c r="Z27" s="106">
        <f>IFERROR(VLOOKUP("SV2_PROMOTIONS",'Company 22'!$B:$E,4,0),"")</f>
        <v>0</v>
      </c>
      <c r="AA27" s="106">
        <f>IFERROR(VLOOKUP("SV2_PROMOTIONS",'Company 23'!$B:$E,4,0),"")</f>
        <v>0</v>
      </c>
      <c r="AB27" s="106">
        <f>IFERROR(VLOOKUP("SV2_PROMOTIONS",'Company 24'!$B:$E,4,0),"")</f>
        <v>0</v>
      </c>
      <c r="AC27" s="106">
        <f>IFERROR(VLOOKUP("SV2_PROMOTIONS",'Company 25'!$B:$E,4,0),"")</f>
        <v>0</v>
      </c>
      <c r="AD27" s="106">
        <f>IFERROR(VLOOKUP("SV2_PROMOTIONS",'Company 26'!$B:$E,4,0),"")</f>
        <v>0</v>
      </c>
      <c r="AE27" s="106">
        <f>IFERROR(VLOOKUP("SV2_PROMOTIONS",'Company 27'!$B:$E,4,0),"")</f>
        <v>0</v>
      </c>
      <c r="AF27" s="106">
        <f>IFERROR(VLOOKUP("SV2_PROMOTIONS",'Company 28'!$B:$E,4,0),"")</f>
        <v>0</v>
      </c>
      <c r="AG27" s="106">
        <f>IFERROR(VLOOKUP("SV2_PROMOTIONS",'Company 29'!$B:$E,4,0),"")</f>
        <v>0</v>
      </c>
      <c r="AH27" s="106">
        <f>IFERROR(VLOOKUP("SV2_PROMOTIONS",'Company 30'!$B:$E,4,0),"")</f>
        <v>0</v>
      </c>
    </row>
    <row r="28" spans="2:34" ht="24.95" customHeight="1">
      <c r="B28" s="113" t="s">
        <v>92</v>
      </c>
      <c r="C28" s="114" t="s">
        <v>99</v>
      </c>
      <c r="D28" s="42" t="s">
        <v>100</v>
      </c>
      <c r="E28" s="106">
        <f>IFERROR(VLOOKUP("SV3_SUPPLYCHAIN",'Company 1'!$B:$E,4,0),"")</f>
        <v>0</v>
      </c>
      <c r="F28" s="106">
        <f>IFERROR(VLOOKUP("SV3_SUPPLYCHAIN",'Company 2'!$B:$E,4,0),"")</f>
        <v>1</v>
      </c>
      <c r="G28" s="106">
        <f>IFERROR(VLOOKUP("SV3_SUPPLYCHAIN",'Company 3'!$B:$E,4,0),"")</f>
        <v>0</v>
      </c>
      <c r="H28" s="106">
        <f>IFERROR(VLOOKUP("SV3_SUPPLYCHAIN",'Company 4'!$B:$E,4,0),"")</f>
        <v>1</v>
      </c>
      <c r="I28" s="106">
        <f>IFERROR(VLOOKUP("SV3_SUPPLYCHAIN",'Company 5'!$B:$E,4,0),"")</f>
        <v>1</v>
      </c>
      <c r="J28" s="106">
        <f>IFERROR(VLOOKUP("SV3_SUPPLYCHAIN",'Company 6'!$B:$E,4,0),"")</f>
        <v>1</v>
      </c>
      <c r="K28" s="106">
        <f>IFERROR(VLOOKUP("SV3_SUPPLYCHAIN",'Company 7'!$B:$E,4,0),"")</f>
        <v>0</v>
      </c>
      <c r="L28" s="106">
        <f>IFERROR(VLOOKUP("SV3_SUPPLYCHAIN",'Company 8'!$B:$E,4,0),"")</f>
        <v>0</v>
      </c>
      <c r="M28" s="106">
        <f>IFERROR(VLOOKUP("SV3_SUPPLYCHAIN",'Company 9'!$B:$E,4,0),"")</f>
        <v>0</v>
      </c>
      <c r="N28" s="106">
        <f>IFERROR(VLOOKUP("SV3_SUPPLYCHAIN",'Company 10'!$B:$E,4,0),"")</f>
        <v>1</v>
      </c>
      <c r="O28" s="106">
        <f>IFERROR(VLOOKUP("SV3_SUPPLYCHAIN",'Company 11'!$B:$E,4,0),"")</f>
        <v>1</v>
      </c>
      <c r="P28" s="106">
        <f>IFERROR(VLOOKUP("SV3_SUPPLYCHAIN",'Company 12'!$B:$E,4,0),"")</f>
        <v>1</v>
      </c>
      <c r="Q28" s="106">
        <f>IFERROR(VLOOKUP("SV3_SUPPLYCHAIN",'Company 13'!$B:$E,4,0),"")</f>
        <v>1</v>
      </c>
      <c r="R28" s="106" t="str">
        <f>IFERROR(VLOOKUP("SV3_SUPPLYCHAIN",#REF!,4,0),"")</f>
        <v/>
      </c>
      <c r="S28" s="106" t="str">
        <f>IFERROR(VLOOKUP("SV3_SUPPLYCHAIN",#REF!,4,0),"")</f>
        <v/>
      </c>
      <c r="T28" s="106" t="str">
        <f>IFERROR(VLOOKUP("SV3_SUPPLYCHAIN",#REF!,4,0),"")</f>
        <v/>
      </c>
      <c r="U28" s="106" t="str">
        <f>IFERROR(VLOOKUP("SV3_SUPPLYCHAIN",#REF!,4,0),"")</f>
        <v/>
      </c>
      <c r="V28" s="106">
        <f>IFERROR(VLOOKUP("SV3_SUPPLYCHAIN",'Company 18'!$B:$E,4,0),"")</f>
        <v>0</v>
      </c>
      <c r="W28" s="106">
        <f>IFERROR(VLOOKUP("SV3_SUPPLYCHAIN",'Company 19'!$B:$E,4,0),"")</f>
        <v>0</v>
      </c>
      <c r="X28" s="106">
        <f>IFERROR(VLOOKUP("SV3_SUPPLYCHAIN",'Company 20'!$B:$E,4,0),"")</f>
        <v>0</v>
      </c>
      <c r="Y28" s="106">
        <f>IFERROR(VLOOKUP("SV3_SUPPLYCHAIN",'Company 21'!$B:$E,4,0),"")</f>
        <v>0</v>
      </c>
      <c r="Z28" s="106">
        <f>IFERROR(VLOOKUP("SV3_SUPPLYCHAIN",'Company 22'!$B:$E,4,0),"")</f>
        <v>0</v>
      </c>
      <c r="AA28" s="106">
        <f>IFERROR(VLOOKUP("SV3_SUPPLYCHAIN",'Company 23'!$B:$E,4,0),"")</f>
        <v>0</v>
      </c>
      <c r="AB28" s="106">
        <f>IFERROR(VLOOKUP("SV3_SUPPLYCHAIN",'Company 24'!$B:$E,4,0),"")</f>
        <v>0</v>
      </c>
      <c r="AC28" s="106">
        <f>IFERROR(VLOOKUP("SV3_SUPPLYCHAIN",'Company 25'!$B:$E,4,0),"")</f>
        <v>0</v>
      </c>
      <c r="AD28" s="106">
        <f>IFERROR(VLOOKUP("SV3_SUPPLYCHAIN",'Company 26'!$B:$E,4,0),"")</f>
        <v>0</v>
      </c>
      <c r="AE28" s="106">
        <f>IFERROR(VLOOKUP("SV3_SUPPLYCHAIN",'Company 27'!$B:$E,4,0),"")</f>
        <v>0</v>
      </c>
      <c r="AF28" s="106">
        <f>IFERROR(VLOOKUP("SV3_SUPPLYCHAIN",'Company 28'!$B:$E,4,0),"")</f>
        <v>0</v>
      </c>
      <c r="AG28" s="106">
        <f>IFERROR(VLOOKUP("SV3_SUPPLYCHAIN",'Company 29'!$B:$E,4,0),"")</f>
        <v>0</v>
      </c>
      <c r="AH28" s="106">
        <f>IFERROR(VLOOKUP("SV3_SUPPLYCHAIN",'Company 30'!$B:$E,4,0),"")</f>
        <v>0</v>
      </c>
    </row>
    <row r="29" spans="2:34" ht="24.95" customHeight="1">
      <c r="B29" s="113" t="s">
        <v>92</v>
      </c>
      <c r="C29" s="114" t="s">
        <v>102</v>
      </c>
      <c r="D29" s="42" t="s">
        <v>103</v>
      </c>
      <c r="E29" s="106">
        <f>IFERROR(VLOOKUP("SV4_CATEGORY",'Company 1'!$B:$E,4,0),"")</f>
        <v>1</v>
      </c>
      <c r="F29" s="106">
        <f>IFERROR(VLOOKUP("SV4_CATEGORY",'Company 2'!$B:$E,4,0),"")</f>
        <v>0</v>
      </c>
      <c r="G29" s="106">
        <f>IFERROR(VLOOKUP("SV4_CATEGORY",'Company 3'!$B:$E,4,0),"")</f>
        <v>1</v>
      </c>
      <c r="H29" s="106">
        <f>IFERROR(VLOOKUP("SV4_CATEGORY",'Company 4'!$B:$E,4,0),"")</f>
        <v>1</v>
      </c>
      <c r="I29" s="106">
        <f>IFERROR(VLOOKUP("SV4_CATEGORY",'Company 5'!$B:$E,4,0),"")</f>
        <v>0</v>
      </c>
      <c r="J29" s="106">
        <f>IFERROR(VLOOKUP("SV4_CATEGORY",'Company 6'!$B:$E,4,0),"")</f>
        <v>1</v>
      </c>
      <c r="K29" s="106">
        <f>IFERROR(VLOOKUP("SV4_CATEGORY",'Company 7'!$B:$E,4,0),"")</f>
        <v>1</v>
      </c>
      <c r="L29" s="106">
        <f>IFERROR(VLOOKUP("SV4_CATEGORY",'Company 8'!$B:$E,4,0),"")</f>
        <v>1</v>
      </c>
      <c r="M29" s="106">
        <f>IFERROR(VLOOKUP("SV4_CATEGORY",'Company 9'!$B:$E,4,0),"")</f>
        <v>1</v>
      </c>
      <c r="N29" s="106">
        <f>IFERROR(VLOOKUP("SV4_CATEGORY",'Company 10'!$B:$E,4,0),"")</f>
        <v>1</v>
      </c>
      <c r="O29" s="106">
        <f>IFERROR(VLOOKUP("SV4_CATEGORY",'Company 11'!$B:$E,4,0),"")</f>
        <v>1</v>
      </c>
      <c r="P29" s="106">
        <f>IFERROR(VLOOKUP("SV4_CATEGORY",'Company 12'!$B:$E,4,0),"")</f>
        <v>0</v>
      </c>
      <c r="Q29" s="106">
        <f>IFERROR(VLOOKUP("SV4_CATEGORY",'Company 13'!$B:$E,4,0),"")</f>
        <v>1</v>
      </c>
      <c r="R29" s="106" t="str">
        <f>IFERROR(VLOOKUP("SV4_CATEGORY",#REF!,4,0),"")</f>
        <v/>
      </c>
      <c r="S29" s="106" t="str">
        <f>IFERROR(VLOOKUP("SV4_CATEGORY",#REF!,4,0),"")</f>
        <v/>
      </c>
      <c r="T29" s="106" t="str">
        <f>IFERROR(VLOOKUP("SV4_CATEGORY",#REF!,4,0),"")</f>
        <v/>
      </c>
      <c r="U29" s="106" t="str">
        <f>IFERROR(VLOOKUP("SV4_CATEGORY",#REF!,4,0),"")</f>
        <v/>
      </c>
      <c r="V29" s="106">
        <f>IFERROR(VLOOKUP("SV4_CATEGORY",'Company 18'!$B:$E,4,0),"")</f>
        <v>0</v>
      </c>
      <c r="W29" s="106">
        <f>IFERROR(VLOOKUP("SV4_CATEGORY",'Company 19'!$B:$E,4,0),"")</f>
        <v>0</v>
      </c>
      <c r="X29" s="106">
        <f>IFERROR(VLOOKUP("SV4_CATEGORY",'Company 20'!$B:$E,4,0),"")</f>
        <v>0</v>
      </c>
      <c r="Y29" s="106">
        <f>IFERROR(VLOOKUP("SV4_CATEGORY",'Company 21'!$B:$E,4,0),"")</f>
        <v>0</v>
      </c>
      <c r="Z29" s="106">
        <f>IFERROR(VLOOKUP("SV4_CATEGORY",'Company 22'!$B:$E,4,0),"")</f>
        <v>0</v>
      </c>
      <c r="AA29" s="106">
        <f>IFERROR(VLOOKUP("SV4_CATEGORY",'Company 23'!$B:$E,4,0),"")</f>
        <v>0</v>
      </c>
      <c r="AB29" s="106">
        <f>IFERROR(VLOOKUP("SV4_CATEGORY",'Company 24'!$B:$E,4,0),"")</f>
        <v>0</v>
      </c>
      <c r="AC29" s="106">
        <f>IFERROR(VLOOKUP("SV4_CATEGORY",'Company 25'!$B:$E,4,0),"")</f>
        <v>0</v>
      </c>
      <c r="AD29" s="106">
        <f>IFERROR(VLOOKUP("SV4_CATEGORY",'Company 26'!$B:$E,4,0),"")</f>
        <v>0</v>
      </c>
      <c r="AE29" s="106">
        <f>IFERROR(VLOOKUP("SV4_CATEGORY",'Company 27'!$B:$E,4,0),"")</f>
        <v>0</v>
      </c>
      <c r="AF29" s="106">
        <f>IFERROR(VLOOKUP("SV4_CATEGORY",'Company 28'!$B:$E,4,0),"")</f>
        <v>0</v>
      </c>
      <c r="AG29" s="106">
        <f>IFERROR(VLOOKUP("SV4_CATEGORY",'Company 29'!$B:$E,4,0),"")</f>
        <v>0</v>
      </c>
      <c r="AH29" s="106">
        <f>IFERROR(VLOOKUP("SV4_CATEGORY",'Company 30'!$B:$E,4,0),"")</f>
        <v>0</v>
      </c>
    </row>
    <row r="30" spans="2:34" ht="24.95" customHeight="1">
      <c r="B30" s="113" t="s">
        <v>92</v>
      </c>
      <c r="C30" s="114" t="s">
        <v>105</v>
      </c>
      <c r="D30" s="42" t="s">
        <v>106</v>
      </c>
      <c r="E30" s="106">
        <f>IFERROR(VLOOKUP("SV5_DEMAND",'Company 1'!$B:$E,4,0),"")</f>
        <v>0</v>
      </c>
      <c r="F30" s="106">
        <f>IFERROR(VLOOKUP("SV5_DEMAND",'Company 2'!$B:$E,4,0),"")</f>
        <v>0</v>
      </c>
      <c r="G30" s="106">
        <f>IFERROR(VLOOKUP("SV5_DEMAND",'Company 3'!$B:$E,4,0),"")</f>
        <v>0</v>
      </c>
      <c r="H30" s="106">
        <f>IFERROR(VLOOKUP("SV5_DEMAND",'Company 4'!$B:$E,4,0),"")</f>
        <v>0</v>
      </c>
      <c r="I30" s="106">
        <f>IFERROR(VLOOKUP("SV5_DEMAND",'Company 5'!$B:$E,4,0),"")</f>
        <v>1</v>
      </c>
      <c r="J30" s="106">
        <f>IFERROR(VLOOKUP("SV5_DEMAND",'Company 6'!$B:$E,4,0),"")</f>
        <v>1</v>
      </c>
      <c r="K30" s="106">
        <f>IFERROR(VLOOKUP("SV5_DEMAND",'Company 7'!$B:$E,4,0),"")</f>
        <v>0</v>
      </c>
      <c r="L30" s="106">
        <f>IFERROR(VLOOKUP("SV5_DEMAND",'Company 8'!$B:$E,4,0),"")</f>
        <v>0</v>
      </c>
      <c r="M30" s="106">
        <f>IFERROR(VLOOKUP("SV5_DEMAND",'Company 9'!$B:$E,4,0),"")</f>
        <v>1</v>
      </c>
      <c r="N30" s="106">
        <f>IFERROR(VLOOKUP("SV5_DEMAND",'Company 10'!$B:$E,4,0),"")</f>
        <v>0</v>
      </c>
      <c r="O30" s="106">
        <f>IFERROR(VLOOKUP("SV5_DEMAND",'Company 11'!$B:$E,4,0),"")</f>
        <v>0</v>
      </c>
      <c r="P30" s="106">
        <f>IFERROR(VLOOKUP("SV5_DEMAND",'Company 12'!$B:$E,4,0),"")</f>
        <v>1</v>
      </c>
      <c r="Q30" s="106">
        <f>IFERROR(VLOOKUP("SV5_DEMAND",'Company 13'!$B:$E,4,0),"")</f>
        <v>0</v>
      </c>
      <c r="R30" s="106" t="str">
        <f>IFERROR(VLOOKUP("SV5_DEMAND",#REF!,4,0),"")</f>
        <v/>
      </c>
      <c r="S30" s="106" t="str">
        <f>IFERROR(VLOOKUP("SV5_DEMAND",#REF!,4,0),"")</f>
        <v/>
      </c>
      <c r="T30" s="106" t="str">
        <f>IFERROR(VLOOKUP("SV5_DEMAND",#REF!,4,0),"")</f>
        <v/>
      </c>
      <c r="U30" s="106" t="str">
        <f>IFERROR(VLOOKUP("SV5_DEMAND",#REF!,4,0),"")</f>
        <v/>
      </c>
      <c r="V30" s="106">
        <f>IFERROR(VLOOKUP("SV5_DEMAND",'Company 18'!$B:$E,4,0),"")</f>
        <v>0</v>
      </c>
      <c r="W30" s="106">
        <f>IFERROR(VLOOKUP("SV5_DEMAND",'Company 19'!$B:$E,4,0),"")</f>
        <v>0</v>
      </c>
      <c r="X30" s="106">
        <f>IFERROR(VLOOKUP("SV5_DEMAND",'Company 20'!$B:$E,4,0),"")</f>
        <v>0</v>
      </c>
      <c r="Y30" s="106">
        <f>IFERROR(VLOOKUP("SV5_DEMAND",'Company 21'!$B:$E,4,0),"")</f>
        <v>0</v>
      </c>
      <c r="Z30" s="106">
        <f>IFERROR(VLOOKUP("SV5_DEMAND",'Company 22'!$B:$E,4,0),"")</f>
        <v>0</v>
      </c>
      <c r="AA30" s="106">
        <f>IFERROR(VLOOKUP("SV5_DEMAND",'Company 23'!$B:$E,4,0),"")</f>
        <v>0</v>
      </c>
      <c r="AB30" s="106">
        <f>IFERROR(VLOOKUP("SV5_DEMAND",'Company 24'!$B:$E,4,0),"")</f>
        <v>0</v>
      </c>
      <c r="AC30" s="106">
        <f>IFERROR(VLOOKUP("SV5_DEMAND",'Company 25'!$B:$E,4,0),"")</f>
        <v>0</v>
      </c>
      <c r="AD30" s="106">
        <f>IFERROR(VLOOKUP("SV5_DEMAND",'Company 26'!$B:$E,4,0),"")</f>
        <v>0</v>
      </c>
      <c r="AE30" s="106">
        <f>IFERROR(VLOOKUP("SV5_DEMAND",'Company 27'!$B:$E,4,0),"")</f>
        <v>0</v>
      </c>
      <c r="AF30" s="106">
        <f>IFERROR(VLOOKUP("SV5_DEMAND",'Company 28'!$B:$E,4,0),"")</f>
        <v>0</v>
      </c>
      <c r="AG30" s="106">
        <f>IFERROR(VLOOKUP("SV5_DEMAND",'Company 29'!$B:$E,4,0),"")</f>
        <v>0</v>
      </c>
      <c r="AH30" s="106">
        <f>IFERROR(VLOOKUP("SV5_DEMAND",'Company 30'!$B:$E,4,0),"")</f>
        <v>0</v>
      </c>
    </row>
    <row r="31" spans="2:34" ht="24.95" customHeight="1">
      <c r="B31" s="113" t="s">
        <v>92</v>
      </c>
      <c r="C31" s="114" t="s">
        <v>108</v>
      </c>
      <c r="D31" s="42" t="s">
        <v>109</v>
      </c>
      <c r="E31" s="106">
        <f>IFERROR(VLOOKUP("SV6_ACCOUNT",'Company 1'!$B:$E,4,0),"")</f>
        <v>0</v>
      </c>
      <c r="F31" s="106">
        <f>IFERROR(VLOOKUP("SV6_ACCOUNT",'Company 2'!$B:$E,4,0),"")</f>
        <v>0</v>
      </c>
      <c r="G31" s="106">
        <f>IFERROR(VLOOKUP("SV6_ACCOUNT",'Company 3'!$B:$E,4,0),"")</f>
        <v>0</v>
      </c>
      <c r="H31" s="106">
        <f>IFERROR(VLOOKUP("SV6_ACCOUNT",'Company 4'!$B:$E,4,0),"")</f>
        <v>1</v>
      </c>
      <c r="I31" s="106">
        <f>IFERROR(VLOOKUP("SV6_ACCOUNT",'Company 5'!$B:$E,4,0),"")</f>
        <v>1</v>
      </c>
      <c r="J31" s="106">
        <f>IFERROR(VLOOKUP("SV6_ACCOUNT",'Company 6'!$B:$E,4,0),"")</f>
        <v>1</v>
      </c>
      <c r="K31" s="106">
        <f>IFERROR(VLOOKUP("SV6_ACCOUNT",'Company 7'!$B:$E,4,0),"")</f>
        <v>0</v>
      </c>
      <c r="L31" s="106">
        <f>IFERROR(VLOOKUP("SV6_ACCOUNT",'Company 8'!$B:$E,4,0),"")</f>
        <v>0</v>
      </c>
      <c r="M31" s="106">
        <f>IFERROR(VLOOKUP("SV6_ACCOUNT",'Company 9'!$B:$E,4,0),"")</f>
        <v>0</v>
      </c>
      <c r="N31" s="106">
        <f>IFERROR(VLOOKUP("SV6_ACCOUNT",'Company 10'!$B:$E,4,0),"")</f>
        <v>0</v>
      </c>
      <c r="O31" s="106">
        <f>IFERROR(VLOOKUP("SV6_ACCOUNT",'Company 11'!$B:$E,4,0),"")</f>
        <v>0</v>
      </c>
      <c r="P31" s="106">
        <f>IFERROR(VLOOKUP("SV6_ACCOUNT",'Company 12'!$B:$E,4,0),"")</f>
        <v>0</v>
      </c>
      <c r="Q31" s="106">
        <f>IFERROR(VLOOKUP("SV6_ACCOUNT",'Company 13'!$B:$E,4,0),"")</f>
        <v>0</v>
      </c>
      <c r="R31" s="106" t="str">
        <f>IFERROR(VLOOKUP("SV6_ACCOUNT",#REF!,4,0),"")</f>
        <v/>
      </c>
      <c r="S31" s="106" t="str">
        <f>IFERROR(VLOOKUP("SV6_ACCOUNT",#REF!,4,0),"")</f>
        <v/>
      </c>
      <c r="T31" s="106" t="str">
        <f>IFERROR(VLOOKUP("SV6_ACCOUNT",#REF!,4,0),"")</f>
        <v/>
      </c>
      <c r="U31" s="106" t="str">
        <f>IFERROR(VLOOKUP("SV6_ACCOUNT",#REF!,4,0),"")</f>
        <v/>
      </c>
      <c r="V31" s="106">
        <f>IFERROR(VLOOKUP("SV6_ACCOUNT",'Company 18'!$B:$E,4,0),"")</f>
        <v>0</v>
      </c>
      <c r="W31" s="106">
        <f>IFERROR(VLOOKUP("SV6_ACCOUNT",'Company 19'!$B:$E,4,0),"")</f>
        <v>0</v>
      </c>
      <c r="X31" s="106">
        <f>IFERROR(VLOOKUP("SV6_ACCOUNT",'Company 20'!$B:$E,4,0),"")</f>
        <v>0</v>
      </c>
      <c r="Y31" s="106">
        <f>IFERROR(VLOOKUP("SV6_ACCOUNT",'Company 21'!$B:$E,4,0),"")</f>
        <v>0</v>
      </c>
      <c r="Z31" s="106">
        <f>IFERROR(VLOOKUP("SV6_ACCOUNT",'Company 22'!$B:$E,4,0),"")</f>
        <v>0</v>
      </c>
      <c r="AA31" s="106">
        <f>IFERROR(VLOOKUP("SV6_ACCOUNT",'Company 23'!$B:$E,4,0),"")</f>
        <v>0</v>
      </c>
      <c r="AB31" s="106">
        <f>IFERROR(VLOOKUP("SV6_ACCOUNT",'Company 24'!$B:$E,4,0),"")</f>
        <v>0</v>
      </c>
      <c r="AC31" s="106">
        <f>IFERROR(VLOOKUP("SV6_ACCOUNT",'Company 25'!$B:$E,4,0),"")</f>
        <v>0</v>
      </c>
      <c r="AD31" s="106">
        <f>IFERROR(VLOOKUP("SV6_ACCOUNT",'Company 26'!$B:$E,4,0),"")</f>
        <v>0</v>
      </c>
      <c r="AE31" s="106">
        <f>IFERROR(VLOOKUP("SV6_ACCOUNT",'Company 27'!$B:$E,4,0),"")</f>
        <v>0</v>
      </c>
      <c r="AF31" s="106">
        <f>IFERROR(VLOOKUP("SV6_ACCOUNT",'Company 28'!$B:$E,4,0),"")</f>
        <v>0</v>
      </c>
      <c r="AG31" s="106">
        <f>IFERROR(VLOOKUP("SV6_ACCOUNT",'Company 29'!$B:$E,4,0),"")</f>
        <v>0</v>
      </c>
      <c r="AH31" s="106">
        <f>IFERROR(VLOOKUP("SV6_ACCOUNT",'Company 30'!$B:$E,4,0),"")</f>
        <v>0</v>
      </c>
    </row>
    <row r="32" spans="2:34" ht="24.95" customHeight="1">
      <c r="B32" s="113" t="s">
        <v>92</v>
      </c>
      <c r="C32" s="114" t="s">
        <v>111</v>
      </c>
      <c r="D32" s="42" t="s">
        <v>112</v>
      </c>
      <c r="E32" s="106">
        <f>IFERROR(VLOOKUP("SV7_OPS",'Company 1'!$B:$E,4,0),"")</f>
        <v>0</v>
      </c>
      <c r="F32" s="106">
        <f>IFERROR(VLOOKUP("SV7_OPS",'Company 2'!$B:$E,4,0),"")</f>
        <v>0</v>
      </c>
      <c r="G32" s="106">
        <f>IFERROR(VLOOKUP("SV7_OPS",'Company 3'!$B:$E,4,0),"")</f>
        <v>0</v>
      </c>
      <c r="H32" s="106">
        <f>IFERROR(VLOOKUP("SV7_OPS",'Company 4'!$B:$E,4,0),"")</f>
        <v>1</v>
      </c>
      <c r="I32" s="106">
        <f>IFERROR(VLOOKUP("SV7_OPS",'Company 5'!$B:$E,4,0),"")</f>
        <v>1</v>
      </c>
      <c r="J32" s="106">
        <f>IFERROR(VLOOKUP("SV7_OPS",'Company 6'!$B:$E,4,0),"")</f>
        <v>1</v>
      </c>
      <c r="K32" s="106">
        <f>IFERROR(VLOOKUP("SV7_OPS",'Company 7'!$B:$E,4,0),"")</f>
        <v>1</v>
      </c>
      <c r="L32" s="106">
        <f>IFERROR(VLOOKUP("SV7_OPS",'Company 8'!$B:$E,4,0),"")</f>
        <v>0</v>
      </c>
      <c r="M32" s="106">
        <f>IFERROR(VLOOKUP("SV7_OPS",'Company 9'!$B:$E,4,0),"")</f>
        <v>0</v>
      </c>
      <c r="N32" s="106">
        <f>IFERROR(VLOOKUP("SV7_OPS",'Company 10'!$B:$E,4,0),"")</f>
        <v>0</v>
      </c>
      <c r="O32" s="106">
        <f>IFERROR(VLOOKUP("SV7_OPS",'Company 11'!$B:$E,4,0),"")</f>
        <v>0</v>
      </c>
      <c r="P32" s="106">
        <f>IFERROR(VLOOKUP("SV7_OPS",'Company 12'!$B:$E,4,0),"")</f>
        <v>0</v>
      </c>
      <c r="Q32" s="106">
        <f>IFERROR(VLOOKUP("SV7_OPS",'Company 13'!$B:$E,4,0),"")</f>
        <v>1</v>
      </c>
      <c r="R32" s="106" t="str">
        <f>IFERROR(VLOOKUP("SV7_OPS",#REF!,4,0),"")</f>
        <v/>
      </c>
      <c r="S32" s="106" t="str">
        <f>IFERROR(VLOOKUP("SV7_OPS",#REF!,4,0),"")</f>
        <v/>
      </c>
      <c r="T32" s="106" t="str">
        <f>IFERROR(VLOOKUP("SV7_OPS",#REF!,4,0),"")</f>
        <v/>
      </c>
      <c r="U32" s="106" t="str">
        <f>IFERROR(VLOOKUP("SV7_OPS",#REF!,4,0),"")</f>
        <v/>
      </c>
      <c r="V32" s="106">
        <f>IFERROR(VLOOKUP("SV7_OPS",'Company 18'!$B:$E,4,0),"")</f>
        <v>0</v>
      </c>
      <c r="W32" s="106">
        <f>IFERROR(VLOOKUP("SV7_OPS",'Company 19'!$B:$E,4,0),"")</f>
        <v>0</v>
      </c>
      <c r="X32" s="106">
        <f>IFERROR(VLOOKUP("SV7_OPS",'Company 20'!$B:$E,4,0),"")</f>
        <v>0</v>
      </c>
      <c r="Y32" s="106">
        <f>IFERROR(VLOOKUP("SV7_OPS",'Company 21'!$B:$E,4,0),"")</f>
        <v>0</v>
      </c>
      <c r="Z32" s="106">
        <f>IFERROR(VLOOKUP("SV7_OPS",'Company 22'!$B:$E,4,0),"")</f>
        <v>0</v>
      </c>
      <c r="AA32" s="106">
        <f>IFERROR(VLOOKUP("SV7_OPS",'Company 23'!$B:$E,4,0),"")</f>
        <v>0</v>
      </c>
      <c r="AB32" s="106">
        <f>IFERROR(VLOOKUP("SV7_OPS",'Company 24'!$B:$E,4,0),"")</f>
        <v>0</v>
      </c>
      <c r="AC32" s="106">
        <f>IFERROR(VLOOKUP("SV7_OPS",'Company 25'!$B:$E,4,0),"")</f>
        <v>0</v>
      </c>
      <c r="AD32" s="106">
        <f>IFERROR(VLOOKUP("SV7_OPS",'Company 26'!$B:$E,4,0),"")</f>
        <v>0</v>
      </c>
      <c r="AE32" s="106">
        <f>IFERROR(VLOOKUP("SV7_OPS",'Company 27'!$B:$E,4,0),"")</f>
        <v>0</v>
      </c>
      <c r="AF32" s="106">
        <f>IFERROR(VLOOKUP("SV7_OPS",'Company 28'!$B:$E,4,0),"")</f>
        <v>0</v>
      </c>
      <c r="AG32" s="106">
        <f>IFERROR(VLOOKUP("SV7_OPS",'Company 29'!$B:$E,4,0),"")</f>
        <v>0</v>
      </c>
      <c r="AH32" s="106">
        <f>IFERROR(VLOOKUP("SV7_OPS",'Company 30'!$B:$E,4,0),"")</f>
        <v>0</v>
      </c>
    </row>
    <row r="33" spans="2:34" ht="18" customHeight="1">
      <c r="B33" s="102" t="s">
        <v>215</v>
      </c>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row>
    <row r="34" spans="2:34" ht="24.95" customHeight="1">
      <c r="B34" s="115" t="s">
        <v>114</v>
      </c>
      <c r="C34" s="116" t="s">
        <v>115</v>
      </c>
      <c r="D34" s="42" t="s">
        <v>116</v>
      </c>
      <c r="E34" s="106">
        <f>IFERROR(VLOOKUP("SC1_DATASENS",'Company 1'!$B:$E,4,0),"")</f>
        <v>1</v>
      </c>
      <c r="F34" s="106">
        <f>IFERROR(VLOOKUP("SC1_DATASENS",'Company 2'!$B:$E,4,0),"")</f>
        <v>1</v>
      </c>
      <c r="G34" s="106">
        <f>IFERROR(VLOOKUP("SC1_DATASENS",'Company 3'!$B:$E,4,0),"")</f>
        <v>1</v>
      </c>
      <c r="H34" s="106">
        <f>IFERROR(VLOOKUP("SC1_DATASENS",'Company 4'!$B:$E,4,0),"")</f>
        <v>1</v>
      </c>
      <c r="I34" s="106">
        <f>IFERROR(VLOOKUP("SC1_DATASENS",'Company 5'!$B:$E,4,0),"")</f>
        <v>1</v>
      </c>
      <c r="J34" s="106">
        <f>IFERROR(VLOOKUP("SC1_DATASENS",'Company 6'!$B:$E,4,0),"")</f>
        <v>1</v>
      </c>
      <c r="K34" s="106">
        <f>IFERROR(VLOOKUP("SC1_DATASENS",'Company 7'!$B:$E,4,0),"")</f>
        <v>0</v>
      </c>
      <c r="L34" s="106">
        <f>IFERROR(VLOOKUP("SC1_DATASENS",'Company 8'!$B:$E,4,0),"")</f>
        <v>1</v>
      </c>
      <c r="M34" s="106">
        <f>IFERROR(VLOOKUP("SC1_DATASENS",'Company 9'!$B:$E,4,0),"")</f>
        <v>1</v>
      </c>
      <c r="N34" s="106">
        <f>IFERROR(VLOOKUP("SC1_DATASENS",'Company 10'!$B:$E,4,0),"")</f>
        <v>1</v>
      </c>
      <c r="O34" s="106">
        <f>IFERROR(VLOOKUP("SC1_DATASENS",'Company 11'!$B:$E,4,0),"")</f>
        <v>1</v>
      </c>
      <c r="P34" s="106">
        <f>IFERROR(VLOOKUP("SC1_DATASENS",'Company 12'!$B:$E,4,0),"")</f>
        <v>1</v>
      </c>
      <c r="Q34" s="106">
        <f>IFERROR(VLOOKUP("SC1_DATASENS",'Company 13'!$B:$E,4,0),"")</f>
        <v>1</v>
      </c>
      <c r="R34" s="106" t="str">
        <f>IFERROR(VLOOKUP("SC1_DATASENS",#REF!,4,0),"")</f>
        <v/>
      </c>
      <c r="S34" s="106" t="str">
        <f>IFERROR(VLOOKUP("SC1_DATASENS",#REF!,4,0),"")</f>
        <v/>
      </c>
      <c r="T34" s="106" t="str">
        <f>IFERROR(VLOOKUP("SC1_DATASENS",#REF!,4,0),"")</f>
        <v/>
      </c>
      <c r="U34" s="106" t="str">
        <f>IFERROR(VLOOKUP("SC1_DATASENS",#REF!,4,0),"")</f>
        <v/>
      </c>
      <c r="V34" s="106">
        <f>IFERROR(VLOOKUP("SC1_DATASENS",'Company 18'!$B:$E,4,0),"")</f>
        <v>0</v>
      </c>
      <c r="W34" s="106">
        <f>IFERROR(VLOOKUP("SC1_DATASENS",'Company 19'!$B:$E,4,0),"")</f>
        <v>0</v>
      </c>
      <c r="X34" s="106">
        <f>IFERROR(VLOOKUP("SC1_DATASENS",'Company 20'!$B:$E,4,0),"")</f>
        <v>0</v>
      </c>
      <c r="Y34" s="106">
        <f>IFERROR(VLOOKUP("SC1_DATASENS",'Company 21'!$B:$E,4,0),"")</f>
        <v>0</v>
      </c>
      <c r="Z34" s="106">
        <f>IFERROR(VLOOKUP("SC1_DATASENS",'Company 22'!$B:$E,4,0),"")</f>
        <v>0</v>
      </c>
      <c r="AA34" s="106">
        <f>IFERROR(VLOOKUP("SC1_DATASENS",'Company 23'!$B:$E,4,0),"")</f>
        <v>0</v>
      </c>
      <c r="AB34" s="106">
        <f>IFERROR(VLOOKUP("SC1_DATASENS",'Company 24'!$B:$E,4,0),"")</f>
        <v>0</v>
      </c>
      <c r="AC34" s="106">
        <f>IFERROR(VLOOKUP("SC1_DATASENS",'Company 25'!$B:$E,4,0),"")</f>
        <v>0</v>
      </c>
      <c r="AD34" s="106">
        <f>IFERROR(VLOOKUP("SC1_DATASENS",'Company 26'!$B:$E,4,0),"")</f>
        <v>0</v>
      </c>
      <c r="AE34" s="106">
        <f>IFERROR(VLOOKUP("SC1_DATASENS",'Company 27'!$B:$E,4,0),"")</f>
        <v>0</v>
      </c>
      <c r="AF34" s="106">
        <f>IFERROR(VLOOKUP("SC1_DATASENS",'Company 28'!$B:$E,4,0),"")</f>
        <v>0</v>
      </c>
      <c r="AG34" s="106">
        <f>IFERROR(VLOOKUP("SC1_DATASENS",'Company 29'!$B:$E,4,0),"")</f>
        <v>0</v>
      </c>
      <c r="AH34" s="106">
        <f>IFERROR(VLOOKUP("SC1_DATASENS",'Company 30'!$B:$E,4,0),"")</f>
        <v>0</v>
      </c>
    </row>
    <row r="35" spans="2:34" ht="24.95" customHeight="1">
      <c r="B35" s="115" t="s">
        <v>114</v>
      </c>
      <c r="C35" s="116" t="s">
        <v>118</v>
      </c>
      <c r="D35" s="42" t="s">
        <v>119</v>
      </c>
      <c r="E35" s="106">
        <f>IFERROR(VLOOKUP("SC2_COMPLIANCE",'Company 1'!$B:$E,4,0),"")</f>
        <v>0</v>
      </c>
      <c r="F35" s="106">
        <f>IFERROR(VLOOKUP("SC2_COMPLIANCE",'Company 2'!$B:$E,4,0),"")</f>
        <v>1</v>
      </c>
      <c r="G35" s="106">
        <f>IFERROR(VLOOKUP("SC2_COMPLIANCE",'Company 3'!$B:$E,4,0),"")</f>
        <v>1</v>
      </c>
      <c r="H35" s="106">
        <f>IFERROR(VLOOKUP("SC2_COMPLIANCE",'Company 4'!$B:$E,4,0),"")</f>
        <v>1</v>
      </c>
      <c r="I35" s="106">
        <f>IFERROR(VLOOKUP("SC2_COMPLIANCE",'Company 5'!$B:$E,4,0),"")</f>
        <v>0</v>
      </c>
      <c r="J35" s="106">
        <f>IFERROR(VLOOKUP("SC2_COMPLIANCE",'Company 6'!$B:$E,4,0),"")</f>
        <v>1</v>
      </c>
      <c r="K35" s="106">
        <f>IFERROR(VLOOKUP("SC2_COMPLIANCE",'Company 7'!$B:$E,4,0),"")</f>
        <v>0</v>
      </c>
      <c r="L35" s="106">
        <f>IFERROR(VLOOKUP("SC2_COMPLIANCE",'Company 8'!$B:$E,4,0),"")</f>
        <v>1</v>
      </c>
      <c r="M35" s="106">
        <f>IFERROR(VLOOKUP("SC2_COMPLIANCE",'Company 9'!$B:$E,4,0),"")</f>
        <v>0</v>
      </c>
      <c r="N35" s="106">
        <f>IFERROR(VLOOKUP("SC2_COMPLIANCE",'Company 10'!$B:$E,4,0),"")</f>
        <v>1</v>
      </c>
      <c r="O35" s="106">
        <f>IFERROR(VLOOKUP("SC2_COMPLIANCE",'Company 11'!$B:$E,4,0),"")</f>
        <v>0</v>
      </c>
      <c r="P35" s="106">
        <f>IFERROR(VLOOKUP("SC2_COMPLIANCE",'Company 12'!$B:$E,4,0),"")</f>
        <v>1</v>
      </c>
      <c r="Q35" s="106">
        <f>IFERROR(VLOOKUP("SC2_COMPLIANCE",'Company 13'!$B:$E,4,0),"")</f>
        <v>1</v>
      </c>
      <c r="R35" s="106" t="str">
        <f>IFERROR(VLOOKUP("SC2_COMPLIANCE",#REF!,4,0),"")</f>
        <v/>
      </c>
      <c r="S35" s="106" t="str">
        <f>IFERROR(VLOOKUP("SC2_COMPLIANCE",#REF!,4,0),"")</f>
        <v/>
      </c>
      <c r="T35" s="106" t="str">
        <f>IFERROR(VLOOKUP("SC2_COMPLIANCE",#REF!,4,0),"")</f>
        <v/>
      </c>
      <c r="U35" s="106" t="str">
        <f>IFERROR(VLOOKUP("SC2_COMPLIANCE",#REF!,4,0),"")</f>
        <v/>
      </c>
      <c r="V35" s="106">
        <f>IFERROR(VLOOKUP("SC2_COMPLIANCE",'Company 18'!$B:$E,4,0),"")</f>
        <v>0</v>
      </c>
      <c r="W35" s="106">
        <f>IFERROR(VLOOKUP("SC2_COMPLIANCE",'Company 19'!$B:$E,4,0),"")</f>
        <v>0</v>
      </c>
      <c r="X35" s="106">
        <f>IFERROR(VLOOKUP("SC2_COMPLIANCE",'Company 20'!$B:$E,4,0),"")</f>
        <v>0</v>
      </c>
      <c r="Y35" s="106">
        <f>IFERROR(VLOOKUP("SC2_COMPLIANCE",'Company 21'!$B:$E,4,0),"")</f>
        <v>0</v>
      </c>
      <c r="Z35" s="106">
        <f>IFERROR(VLOOKUP("SC2_COMPLIANCE",'Company 22'!$B:$E,4,0),"")</f>
        <v>0</v>
      </c>
      <c r="AA35" s="106">
        <f>IFERROR(VLOOKUP("SC2_COMPLIANCE",'Company 23'!$B:$E,4,0),"")</f>
        <v>0</v>
      </c>
      <c r="AB35" s="106">
        <f>IFERROR(VLOOKUP("SC2_COMPLIANCE",'Company 24'!$B:$E,4,0),"")</f>
        <v>0</v>
      </c>
      <c r="AC35" s="106">
        <f>IFERROR(VLOOKUP("SC2_COMPLIANCE",'Company 25'!$B:$E,4,0),"")</f>
        <v>0</v>
      </c>
      <c r="AD35" s="106">
        <f>IFERROR(VLOOKUP("SC2_COMPLIANCE",'Company 26'!$B:$E,4,0),"")</f>
        <v>0</v>
      </c>
      <c r="AE35" s="106">
        <f>IFERROR(VLOOKUP("SC2_COMPLIANCE",'Company 27'!$B:$E,4,0),"")</f>
        <v>0</v>
      </c>
      <c r="AF35" s="106">
        <f>IFERROR(VLOOKUP("SC2_COMPLIANCE",'Company 28'!$B:$E,4,0),"")</f>
        <v>0</v>
      </c>
      <c r="AG35" s="106">
        <f>IFERROR(VLOOKUP("SC2_COMPLIANCE",'Company 29'!$B:$E,4,0),"")</f>
        <v>0</v>
      </c>
      <c r="AH35" s="106">
        <f>IFERROR(VLOOKUP("SC2_COMPLIANCE",'Company 30'!$B:$E,4,0),"")</f>
        <v>0</v>
      </c>
    </row>
    <row r="36" spans="2:34" ht="24.95" customHeight="1">
      <c r="B36" s="115" t="s">
        <v>114</v>
      </c>
      <c r="C36" s="116" t="s">
        <v>121</v>
      </c>
      <c r="D36" s="42" t="s">
        <v>122</v>
      </c>
      <c r="E36" s="106">
        <f>IFERROR(VLOOKUP("SC3_TRUST",'Company 1'!$B:$E,4,0),"")</f>
        <v>0</v>
      </c>
      <c r="F36" s="106">
        <f>IFERROR(VLOOKUP("SC3_TRUST",'Company 2'!$B:$E,4,0),"")</f>
        <v>0</v>
      </c>
      <c r="G36" s="106">
        <f>IFERROR(VLOOKUP("SC3_TRUST",'Company 3'!$B:$E,4,0),"")</f>
        <v>1</v>
      </c>
      <c r="H36" s="106">
        <f>IFERROR(VLOOKUP("SC3_TRUST",'Company 4'!$B:$E,4,0),"")</f>
        <v>1</v>
      </c>
      <c r="I36" s="106">
        <f>IFERROR(VLOOKUP("SC3_TRUST",'Company 5'!$B:$E,4,0),"")</f>
        <v>1</v>
      </c>
      <c r="J36" s="106">
        <f>IFERROR(VLOOKUP("SC3_TRUST",'Company 6'!$B:$E,4,0),"")</f>
        <v>1</v>
      </c>
      <c r="K36" s="106">
        <f>IFERROR(VLOOKUP("SC3_TRUST",'Company 7'!$B:$E,4,0),"")</f>
        <v>0</v>
      </c>
      <c r="L36" s="106">
        <f>IFERROR(VLOOKUP("SC3_TRUST",'Company 8'!$B:$E,4,0),"")</f>
        <v>0</v>
      </c>
      <c r="M36" s="106">
        <f>IFERROR(VLOOKUP("SC3_TRUST",'Company 9'!$B:$E,4,0),"")</f>
        <v>0</v>
      </c>
      <c r="N36" s="106">
        <f>IFERROR(VLOOKUP("SC3_TRUST",'Company 10'!$B:$E,4,0),"")</f>
        <v>0</v>
      </c>
      <c r="O36" s="106">
        <f>IFERROR(VLOOKUP("SC3_TRUST",'Company 11'!$B:$E,4,0),"")</f>
        <v>0</v>
      </c>
      <c r="P36" s="106">
        <f>IFERROR(VLOOKUP("SC3_TRUST",'Company 12'!$B:$E,4,0),"")</f>
        <v>0</v>
      </c>
      <c r="Q36" s="106">
        <f>IFERROR(VLOOKUP("SC3_TRUST",'Company 13'!$B:$E,4,0),"")</f>
        <v>1</v>
      </c>
      <c r="R36" s="106" t="str">
        <f>IFERROR(VLOOKUP("SC3_TRUST",#REF!,4,0),"")</f>
        <v/>
      </c>
      <c r="S36" s="106" t="str">
        <f>IFERROR(VLOOKUP("SC3_TRUST",#REF!,4,0),"")</f>
        <v/>
      </c>
      <c r="T36" s="106" t="str">
        <f>IFERROR(VLOOKUP("SC3_TRUST",#REF!,4,0),"")</f>
        <v/>
      </c>
      <c r="U36" s="106" t="str">
        <f>IFERROR(VLOOKUP("SC3_TRUST",#REF!,4,0),"")</f>
        <v/>
      </c>
      <c r="V36" s="106">
        <f>IFERROR(VLOOKUP("SC3_TRUST",'Company 18'!$B:$E,4,0),"")</f>
        <v>0</v>
      </c>
      <c r="W36" s="106">
        <f>IFERROR(VLOOKUP("SC3_TRUST",'Company 19'!$B:$E,4,0),"")</f>
        <v>0</v>
      </c>
      <c r="X36" s="106">
        <f>IFERROR(VLOOKUP("SC3_TRUST",'Company 20'!$B:$E,4,0),"")</f>
        <v>0</v>
      </c>
      <c r="Y36" s="106">
        <f>IFERROR(VLOOKUP("SC3_TRUST",'Company 21'!$B:$E,4,0),"")</f>
        <v>0</v>
      </c>
      <c r="Z36" s="106">
        <f>IFERROR(VLOOKUP("SC3_TRUST",'Company 22'!$B:$E,4,0),"")</f>
        <v>0</v>
      </c>
      <c r="AA36" s="106">
        <f>IFERROR(VLOOKUP("SC3_TRUST",'Company 23'!$B:$E,4,0),"")</f>
        <v>0</v>
      </c>
      <c r="AB36" s="106">
        <f>IFERROR(VLOOKUP("SC3_TRUST",'Company 24'!$B:$E,4,0),"")</f>
        <v>0</v>
      </c>
      <c r="AC36" s="106">
        <f>IFERROR(VLOOKUP("SC3_TRUST",'Company 25'!$B:$E,4,0),"")</f>
        <v>0</v>
      </c>
      <c r="AD36" s="106">
        <f>IFERROR(VLOOKUP("SC3_TRUST",'Company 26'!$B:$E,4,0),"")</f>
        <v>0</v>
      </c>
      <c r="AE36" s="106">
        <f>IFERROR(VLOOKUP("SC3_TRUST",'Company 27'!$B:$E,4,0),"")</f>
        <v>0</v>
      </c>
      <c r="AF36" s="106">
        <f>IFERROR(VLOOKUP("SC3_TRUST",'Company 28'!$B:$E,4,0),"")</f>
        <v>0</v>
      </c>
      <c r="AG36" s="106">
        <f>IFERROR(VLOOKUP("SC3_TRUST",'Company 29'!$B:$E,4,0),"")</f>
        <v>0</v>
      </c>
      <c r="AH36" s="106">
        <f>IFERROR(VLOOKUP("SC3_TRUST",'Company 30'!$B:$E,4,0),"")</f>
        <v>0</v>
      </c>
    </row>
    <row r="37" spans="2:34" ht="24.95" customHeight="1">
      <c r="B37" s="115" t="s">
        <v>114</v>
      </c>
      <c r="C37" s="116" t="s">
        <v>124</v>
      </c>
      <c r="D37" s="42" t="s">
        <v>125</v>
      </c>
      <c r="E37" s="106">
        <f>IFERROR(VLOOKUP("SC4_DATAPROC",'Company 1'!$B:$E,4,0),"")</f>
        <v>0</v>
      </c>
      <c r="F37" s="106">
        <f>IFERROR(VLOOKUP("SC4_DATAPROC",'Company 2'!$B:$E,4,0),"")</f>
        <v>1</v>
      </c>
      <c r="G37" s="106">
        <f>IFERROR(VLOOKUP("SC4_DATAPROC",'Company 3'!$B:$E,4,0),"")</f>
        <v>1</v>
      </c>
      <c r="H37" s="106">
        <f>IFERROR(VLOOKUP("SC4_DATAPROC",'Company 4'!$B:$E,4,0),"")</f>
        <v>1</v>
      </c>
      <c r="I37" s="106">
        <f>IFERROR(VLOOKUP("SC4_DATAPROC",'Company 5'!$B:$E,4,0),"")</f>
        <v>1</v>
      </c>
      <c r="J37" s="106">
        <f>IFERROR(VLOOKUP("SC4_DATAPROC",'Company 6'!$B:$E,4,0),"")</f>
        <v>1</v>
      </c>
      <c r="K37" s="106">
        <f>IFERROR(VLOOKUP("SC4_DATAPROC",'Company 7'!$B:$E,4,0),"")</f>
        <v>1</v>
      </c>
      <c r="L37" s="106">
        <f>IFERROR(VLOOKUP("SC4_DATAPROC",'Company 8'!$B:$E,4,0),"")</f>
        <v>0</v>
      </c>
      <c r="M37" s="106">
        <f>IFERROR(VLOOKUP("SC4_DATAPROC",'Company 9'!$B:$E,4,0),"")</f>
        <v>0</v>
      </c>
      <c r="N37" s="106">
        <f>IFERROR(VLOOKUP("SC4_DATAPROC",'Company 10'!$B:$E,4,0),"")</f>
        <v>1</v>
      </c>
      <c r="O37" s="106">
        <f>IFERROR(VLOOKUP("SC4_DATAPROC",'Company 11'!$B:$E,4,0),"")</f>
        <v>1</v>
      </c>
      <c r="P37" s="106">
        <f>IFERROR(VLOOKUP("SC4_DATAPROC",'Company 12'!$B:$E,4,0),"")</f>
        <v>0</v>
      </c>
      <c r="Q37" s="106">
        <f>IFERROR(VLOOKUP("SC4_DATAPROC",'Company 13'!$B:$E,4,0),"")</f>
        <v>1</v>
      </c>
      <c r="R37" s="106" t="str">
        <f>IFERROR(VLOOKUP("SC4_DATAPROC",#REF!,4,0),"")</f>
        <v/>
      </c>
      <c r="S37" s="106" t="str">
        <f>IFERROR(VLOOKUP("SC4_DATAPROC",#REF!,4,0),"")</f>
        <v/>
      </c>
      <c r="T37" s="106" t="str">
        <f>IFERROR(VLOOKUP("SC4_DATAPROC",#REF!,4,0),"")</f>
        <v/>
      </c>
      <c r="U37" s="106" t="str">
        <f>IFERROR(VLOOKUP("SC4_DATAPROC",#REF!,4,0),"")</f>
        <v/>
      </c>
      <c r="V37" s="106">
        <f>IFERROR(VLOOKUP("SC4_DATAPROC",'Company 18'!$B:$E,4,0),"")</f>
        <v>0</v>
      </c>
      <c r="W37" s="106">
        <f>IFERROR(VLOOKUP("SC4_DATAPROC",'Company 19'!$B:$E,4,0),"")</f>
        <v>0</v>
      </c>
      <c r="X37" s="106">
        <f>IFERROR(VLOOKUP("SC4_DATAPROC",'Company 20'!$B:$E,4,0),"")</f>
        <v>0</v>
      </c>
      <c r="Y37" s="106">
        <f>IFERROR(VLOOKUP("SC4_DATAPROC",'Company 21'!$B:$E,4,0),"")</f>
        <v>0</v>
      </c>
      <c r="Z37" s="106">
        <f>IFERROR(VLOOKUP("SC4_DATAPROC",'Company 22'!$B:$E,4,0),"")</f>
        <v>0</v>
      </c>
      <c r="AA37" s="106">
        <f>IFERROR(VLOOKUP("SC4_DATAPROC",'Company 23'!$B:$E,4,0),"")</f>
        <v>0</v>
      </c>
      <c r="AB37" s="106">
        <f>IFERROR(VLOOKUP("SC4_DATAPROC",'Company 24'!$B:$E,4,0),"")</f>
        <v>0</v>
      </c>
      <c r="AC37" s="106">
        <f>IFERROR(VLOOKUP("SC4_DATAPROC",'Company 25'!$B:$E,4,0),"")</f>
        <v>0</v>
      </c>
      <c r="AD37" s="106">
        <f>IFERROR(VLOOKUP("SC4_DATAPROC",'Company 26'!$B:$E,4,0),"")</f>
        <v>0</v>
      </c>
      <c r="AE37" s="106">
        <f>IFERROR(VLOOKUP("SC4_DATAPROC",'Company 27'!$B:$E,4,0),"")</f>
        <v>0</v>
      </c>
      <c r="AF37" s="106">
        <f>IFERROR(VLOOKUP("SC4_DATAPROC",'Company 28'!$B:$E,4,0),"")</f>
        <v>0</v>
      </c>
      <c r="AG37" s="106">
        <f>IFERROR(VLOOKUP("SC4_DATAPROC",'Company 29'!$B:$E,4,0),"")</f>
        <v>0</v>
      </c>
      <c r="AH37" s="106">
        <f>IFERROR(VLOOKUP("SC4_DATAPROC",'Company 30'!$B:$E,4,0),"")</f>
        <v>0</v>
      </c>
    </row>
    <row r="38" spans="2:34" ht="18" customHeight="1">
      <c r="B38" s="107" t="s">
        <v>216</v>
      </c>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row>
    <row r="39" spans="2:34" ht="24.95" customHeight="1">
      <c r="B39" s="109" t="s">
        <v>127</v>
      </c>
      <c r="C39" s="110" t="s">
        <v>128</v>
      </c>
      <c r="D39" s="42" t="s">
        <v>129</v>
      </c>
      <c r="E39" s="106">
        <f>IFERROR(VLOOKUP("SF1_REALTIME",'Company 1'!$B:$E,4,0),"")</f>
        <v>0</v>
      </c>
      <c r="F39" s="106">
        <f>IFERROR(VLOOKUP("SF1_REALTIME",'Company 2'!$B:$E,4,0),"")</f>
        <v>0</v>
      </c>
      <c r="G39" s="106">
        <f>IFERROR(VLOOKUP("SF1_REALTIME",'Company 3'!$B:$E,4,0),"")</f>
        <v>1</v>
      </c>
      <c r="H39" s="106">
        <f>IFERROR(VLOOKUP("SF1_REALTIME",'Company 4'!$B:$E,4,0),"")</f>
        <v>0</v>
      </c>
      <c r="I39" s="106">
        <f>IFERROR(VLOOKUP("SF1_REALTIME",'Company 5'!$B:$E,4,0),"")</f>
        <v>1</v>
      </c>
      <c r="J39" s="106">
        <f>IFERROR(VLOOKUP("SF1_REALTIME",'Company 6'!$B:$E,4,0),"")</f>
        <v>1</v>
      </c>
      <c r="K39" s="106">
        <f>IFERROR(VLOOKUP("SF1_REALTIME",'Company 7'!$B:$E,4,0),"")</f>
        <v>1</v>
      </c>
      <c r="L39" s="106">
        <f>IFERROR(VLOOKUP("SF1_REALTIME",'Company 8'!$B:$E,4,0),"")</f>
        <v>0</v>
      </c>
      <c r="M39" s="106">
        <f>IFERROR(VLOOKUP("SF1_REALTIME",'Company 9'!$B:$E,4,0),"")</f>
        <v>0</v>
      </c>
      <c r="N39" s="106">
        <f>IFERROR(VLOOKUP("SF1_REALTIME",'Company 10'!$B:$E,4,0),"")</f>
        <v>1</v>
      </c>
      <c r="O39" s="106">
        <f>IFERROR(VLOOKUP("SF1_REALTIME",'Company 11'!$B:$E,4,0),"")</f>
        <v>0</v>
      </c>
      <c r="P39" s="106">
        <f>IFERROR(VLOOKUP("SF1_REALTIME",'Company 12'!$B:$E,4,0),"")</f>
        <v>0</v>
      </c>
      <c r="Q39" s="106">
        <f>IFERROR(VLOOKUP("SF1_REALTIME",'Company 13'!$B:$E,4,0),"")</f>
        <v>0</v>
      </c>
      <c r="R39" s="106" t="str">
        <f>IFERROR(VLOOKUP("SF1_REALTIME",#REF!,4,0),"")</f>
        <v/>
      </c>
      <c r="S39" s="106" t="str">
        <f>IFERROR(VLOOKUP("SF1_REALTIME",#REF!,4,0),"")</f>
        <v/>
      </c>
      <c r="T39" s="106" t="str">
        <f>IFERROR(VLOOKUP("SF1_REALTIME",#REF!,4,0),"")</f>
        <v/>
      </c>
      <c r="U39" s="106" t="str">
        <f>IFERROR(VLOOKUP("SF1_REALTIME",#REF!,4,0),"")</f>
        <v/>
      </c>
      <c r="V39" s="106">
        <f>IFERROR(VLOOKUP("SF1_REALTIME",'Company 18'!$B:$E,4,0),"")</f>
        <v>0</v>
      </c>
      <c r="W39" s="106">
        <f>IFERROR(VLOOKUP("SF1_REALTIME",'Company 19'!$B:$E,4,0),"")</f>
        <v>0</v>
      </c>
      <c r="X39" s="106">
        <f>IFERROR(VLOOKUP("SF1_REALTIME",'Company 20'!$B:$E,4,0),"")</f>
        <v>0</v>
      </c>
      <c r="Y39" s="106">
        <f>IFERROR(VLOOKUP("SF1_REALTIME",'Company 21'!$B:$E,4,0),"")</f>
        <v>0</v>
      </c>
      <c r="Z39" s="106">
        <f>IFERROR(VLOOKUP("SF1_REALTIME",'Company 22'!$B:$E,4,0),"")</f>
        <v>0</v>
      </c>
      <c r="AA39" s="106">
        <f>IFERROR(VLOOKUP("SF1_REALTIME",'Company 23'!$B:$E,4,0),"")</f>
        <v>0</v>
      </c>
      <c r="AB39" s="106">
        <f>IFERROR(VLOOKUP("SF1_REALTIME",'Company 24'!$B:$E,4,0),"")</f>
        <v>0</v>
      </c>
      <c r="AC39" s="106">
        <f>IFERROR(VLOOKUP("SF1_REALTIME",'Company 25'!$B:$E,4,0),"")</f>
        <v>0</v>
      </c>
      <c r="AD39" s="106">
        <f>IFERROR(VLOOKUP("SF1_REALTIME",'Company 26'!$B:$E,4,0),"")</f>
        <v>0</v>
      </c>
      <c r="AE39" s="106">
        <f>IFERROR(VLOOKUP("SF1_REALTIME",'Company 27'!$B:$E,4,0),"")</f>
        <v>0</v>
      </c>
      <c r="AF39" s="106">
        <f>IFERROR(VLOOKUP("SF1_REALTIME",'Company 28'!$B:$E,4,0),"")</f>
        <v>0</v>
      </c>
      <c r="AG39" s="106">
        <f>IFERROR(VLOOKUP("SF1_REALTIME",'Company 29'!$B:$E,4,0),"")</f>
        <v>0</v>
      </c>
      <c r="AH39" s="106">
        <f>IFERROR(VLOOKUP("SF1_REALTIME",'Company 30'!$B:$E,4,0),"")</f>
        <v>0</v>
      </c>
    </row>
    <row r="40" spans="2:34" ht="24.95" customHeight="1">
      <c r="B40" s="109" t="s">
        <v>127</v>
      </c>
      <c r="C40" s="110" t="s">
        <v>131</v>
      </c>
      <c r="D40" s="42" t="s">
        <v>132</v>
      </c>
      <c r="E40" s="106">
        <f>IFERROR(VLOOKUP("SF2_ACCESS",'Company 1'!$B:$E,4,0),"")</f>
        <v>0</v>
      </c>
      <c r="F40" s="106">
        <f>IFERROR(VLOOKUP("SF2_ACCESS",'Company 2'!$B:$E,4,0),"")</f>
        <v>0</v>
      </c>
      <c r="G40" s="106">
        <f>IFERROR(VLOOKUP("SF2_ACCESS",'Company 3'!$B:$E,4,0),"")</f>
        <v>1</v>
      </c>
      <c r="H40" s="106">
        <f>IFERROR(VLOOKUP("SF2_ACCESS",'Company 4'!$B:$E,4,0),"")</f>
        <v>0</v>
      </c>
      <c r="I40" s="106">
        <f>IFERROR(VLOOKUP("SF2_ACCESS",'Company 5'!$B:$E,4,0),"")</f>
        <v>0</v>
      </c>
      <c r="J40" s="106">
        <f>IFERROR(VLOOKUP("SF2_ACCESS",'Company 6'!$B:$E,4,0),"")</f>
        <v>1</v>
      </c>
      <c r="K40" s="106">
        <f>IFERROR(VLOOKUP("SF2_ACCESS",'Company 7'!$B:$E,4,0),"")</f>
        <v>0</v>
      </c>
      <c r="L40" s="106">
        <f>IFERROR(VLOOKUP("SF2_ACCESS",'Company 8'!$B:$E,4,0),"")</f>
        <v>0</v>
      </c>
      <c r="M40" s="106">
        <f>IFERROR(VLOOKUP("SF2_ACCESS",'Company 9'!$B:$E,4,0),"")</f>
        <v>1</v>
      </c>
      <c r="N40" s="106">
        <f>IFERROR(VLOOKUP("SF2_ACCESS",'Company 10'!$B:$E,4,0),"")</f>
        <v>0</v>
      </c>
      <c r="O40" s="106">
        <f>IFERROR(VLOOKUP("SF2_ACCESS",'Company 11'!$B:$E,4,0),"")</f>
        <v>0</v>
      </c>
      <c r="P40" s="106">
        <f>IFERROR(VLOOKUP("SF2_ACCESS",'Company 12'!$B:$E,4,0),"")</f>
        <v>0</v>
      </c>
      <c r="Q40" s="106">
        <f>IFERROR(VLOOKUP("SF2_ACCESS",'Company 13'!$B:$E,4,0),"")</f>
        <v>1</v>
      </c>
      <c r="R40" s="106" t="str">
        <f>IFERROR(VLOOKUP("SF2_ACCESS",#REF!,4,0),"")</f>
        <v/>
      </c>
      <c r="S40" s="106" t="str">
        <f>IFERROR(VLOOKUP("SF2_ACCESS",#REF!,4,0),"")</f>
        <v/>
      </c>
      <c r="T40" s="106" t="str">
        <f>IFERROR(VLOOKUP("SF2_ACCESS",#REF!,4,0),"")</f>
        <v/>
      </c>
      <c r="U40" s="106" t="str">
        <f>IFERROR(VLOOKUP("SF2_ACCESS",#REF!,4,0),"")</f>
        <v/>
      </c>
      <c r="V40" s="106">
        <f>IFERROR(VLOOKUP("SF2_ACCESS",'Company 18'!$B:$E,4,0),"")</f>
        <v>0</v>
      </c>
      <c r="W40" s="106">
        <f>IFERROR(VLOOKUP("SF2_ACCESS",'Company 19'!$B:$E,4,0),"")</f>
        <v>0</v>
      </c>
      <c r="X40" s="106">
        <f>IFERROR(VLOOKUP("SF2_ACCESS",'Company 20'!$B:$E,4,0),"")</f>
        <v>0</v>
      </c>
      <c r="Y40" s="106">
        <f>IFERROR(VLOOKUP("SF2_ACCESS",'Company 21'!$B:$E,4,0),"")</f>
        <v>0</v>
      </c>
      <c r="Z40" s="106">
        <f>IFERROR(VLOOKUP("SF2_ACCESS",'Company 22'!$B:$E,4,0),"")</f>
        <v>0</v>
      </c>
      <c r="AA40" s="106">
        <f>IFERROR(VLOOKUP("SF2_ACCESS",'Company 23'!$B:$E,4,0),"")</f>
        <v>0</v>
      </c>
      <c r="AB40" s="106">
        <f>IFERROR(VLOOKUP("SF2_ACCESS",'Company 24'!$B:$E,4,0),"")</f>
        <v>0</v>
      </c>
      <c r="AC40" s="106">
        <f>IFERROR(VLOOKUP("SF2_ACCESS",'Company 25'!$B:$E,4,0),"")</f>
        <v>0</v>
      </c>
      <c r="AD40" s="106">
        <f>IFERROR(VLOOKUP("SF2_ACCESS",'Company 26'!$B:$E,4,0),"")</f>
        <v>0</v>
      </c>
      <c r="AE40" s="106">
        <f>IFERROR(VLOOKUP("SF2_ACCESS",'Company 27'!$B:$E,4,0),"")</f>
        <v>0</v>
      </c>
      <c r="AF40" s="106">
        <f>IFERROR(VLOOKUP("SF2_ACCESS",'Company 28'!$B:$E,4,0),"")</f>
        <v>0</v>
      </c>
      <c r="AG40" s="106">
        <f>IFERROR(VLOOKUP("SF2_ACCESS",'Company 29'!$B:$E,4,0),"")</f>
        <v>0</v>
      </c>
      <c r="AH40" s="106">
        <f>IFERROR(VLOOKUP("SF2_ACCESS",'Company 30'!$B:$E,4,0),"")</f>
        <v>0</v>
      </c>
    </row>
    <row r="41" spans="2:34" ht="24.95" customHeight="1">
      <c r="B41" s="109" t="s">
        <v>127</v>
      </c>
      <c r="C41" s="110" t="s">
        <v>134</v>
      </c>
      <c r="D41" s="42" t="s">
        <v>135</v>
      </c>
      <c r="E41" s="106">
        <f>IFERROR(VLOOKUP("SF3_UX",'Company 1'!$B:$E,4,0),"")</f>
        <v>0</v>
      </c>
      <c r="F41" s="106">
        <f>IFERROR(VLOOKUP("SF3_UX",'Company 2'!$B:$E,4,0),"")</f>
        <v>0</v>
      </c>
      <c r="G41" s="106">
        <f>IFERROR(VLOOKUP("SF3_UX",'Company 3'!$B:$E,4,0),"")</f>
        <v>0</v>
      </c>
      <c r="H41" s="106">
        <f>IFERROR(VLOOKUP("SF3_UX",'Company 4'!$B:$E,4,0),"")</f>
        <v>1</v>
      </c>
      <c r="I41" s="106">
        <f>IFERROR(VLOOKUP("SF3_UX",'Company 5'!$B:$E,4,0),"")</f>
        <v>1</v>
      </c>
      <c r="J41" s="106">
        <f>IFERROR(VLOOKUP("SF3_UX",'Company 6'!$B:$E,4,0),"")</f>
        <v>0</v>
      </c>
      <c r="K41" s="106">
        <f>IFERROR(VLOOKUP("SF3_UX",'Company 7'!$B:$E,4,0),"")</f>
        <v>1</v>
      </c>
      <c r="L41" s="106">
        <f>IFERROR(VLOOKUP("SF3_UX",'Company 8'!$B:$E,4,0),"")</f>
        <v>0</v>
      </c>
      <c r="M41" s="106">
        <f>IFERROR(VLOOKUP("SF3_UX",'Company 9'!$B:$E,4,0),"")</f>
        <v>1</v>
      </c>
      <c r="N41" s="106">
        <f>IFERROR(VLOOKUP("SF3_UX",'Company 10'!$B:$E,4,0),"")</f>
        <v>1</v>
      </c>
      <c r="O41" s="106">
        <f>IFERROR(VLOOKUP("SF3_UX",'Company 11'!$B:$E,4,0),"")</f>
        <v>1</v>
      </c>
      <c r="P41" s="106">
        <f>IFERROR(VLOOKUP("SF3_UX",'Company 12'!$B:$E,4,0),"")</f>
        <v>0</v>
      </c>
      <c r="Q41" s="106">
        <f>IFERROR(VLOOKUP("SF3_UX",'Company 13'!$B:$E,4,0),"")</f>
        <v>0</v>
      </c>
      <c r="R41" s="106" t="str">
        <f>IFERROR(VLOOKUP("SF3_UX",#REF!,4,0),"")</f>
        <v/>
      </c>
      <c r="S41" s="106" t="str">
        <f>IFERROR(VLOOKUP("SF3_UX",#REF!,4,0),"")</f>
        <v/>
      </c>
      <c r="T41" s="106" t="str">
        <f>IFERROR(VLOOKUP("SF3_UX",#REF!,4,0),"")</f>
        <v/>
      </c>
      <c r="U41" s="106" t="str">
        <f>IFERROR(VLOOKUP("SF3_UX",#REF!,4,0),"")</f>
        <v/>
      </c>
      <c r="V41" s="106">
        <f>IFERROR(VLOOKUP("SF3_UX",'Company 18'!$B:$E,4,0),"")</f>
        <v>0</v>
      </c>
      <c r="W41" s="106">
        <f>IFERROR(VLOOKUP("SF3_UX",'Company 19'!$B:$E,4,0),"")</f>
        <v>0</v>
      </c>
      <c r="X41" s="106">
        <f>IFERROR(VLOOKUP("SF3_UX",'Company 20'!$B:$E,4,0),"")</f>
        <v>0</v>
      </c>
      <c r="Y41" s="106">
        <f>IFERROR(VLOOKUP("SF3_UX",'Company 21'!$B:$E,4,0),"")</f>
        <v>0</v>
      </c>
      <c r="Z41" s="106">
        <f>IFERROR(VLOOKUP("SF3_UX",'Company 22'!$B:$E,4,0),"")</f>
        <v>0</v>
      </c>
      <c r="AA41" s="106">
        <f>IFERROR(VLOOKUP("SF3_UX",'Company 23'!$B:$E,4,0),"")</f>
        <v>0</v>
      </c>
      <c r="AB41" s="106">
        <f>IFERROR(VLOOKUP("SF3_UX",'Company 24'!$B:$E,4,0),"")</f>
        <v>0</v>
      </c>
      <c r="AC41" s="106">
        <f>IFERROR(VLOOKUP("SF3_UX",'Company 25'!$B:$E,4,0),"")</f>
        <v>0</v>
      </c>
      <c r="AD41" s="106">
        <f>IFERROR(VLOOKUP("SF3_UX",'Company 26'!$B:$E,4,0),"")</f>
        <v>0</v>
      </c>
      <c r="AE41" s="106">
        <f>IFERROR(VLOOKUP("SF3_UX",'Company 27'!$B:$E,4,0),"")</f>
        <v>0</v>
      </c>
      <c r="AF41" s="106">
        <f>IFERROR(VLOOKUP("SF3_UX",'Company 28'!$B:$E,4,0),"")</f>
        <v>0</v>
      </c>
      <c r="AG41" s="106">
        <f>IFERROR(VLOOKUP("SF3_UX",'Company 29'!$B:$E,4,0),"")</f>
        <v>0</v>
      </c>
      <c r="AH41" s="106">
        <f>IFERROR(VLOOKUP("SF3_UX",'Company 30'!$B:$E,4,0),"")</f>
        <v>0</v>
      </c>
    </row>
    <row r="42" spans="2:34" ht="24.95" customHeight="1">
      <c r="B42" s="109" t="s">
        <v>127</v>
      </c>
      <c r="C42" s="110" t="s">
        <v>137</v>
      </c>
      <c r="D42" s="42" t="s">
        <v>138</v>
      </c>
      <c r="E42" s="106">
        <f>IFERROR(VLOOKUP("SF4_DECISION",'Company 1'!$B:$E,4,0),"")</f>
        <v>0</v>
      </c>
      <c r="F42" s="106">
        <f>IFERROR(VLOOKUP("SF4_DECISION",'Company 2'!$B:$E,4,0),"")</f>
        <v>0</v>
      </c>
      <c r="G42" s="106">
        <f>IFERROR(VLOOKUP("SF4_DECISION",'Company 3'!$B:$E,4,0),"")</f>
        <v>1</v>
      </c>
      <c r="H42" s="106">
        <f>IFERROR(VLOOKUP("SF4_DECISION",'Company 4'!$B:$E,4,0),"")</f>
        <v>0</v>
      </c>
      <c r="I42" s="106">
        <f>IFERROR(VLOOKUP("SF4_DECISION",'Company 5'!$B:$E,4,0),"")</f>
        <v>1</v>
      </c>
      <c r="J42" s="106">
        <f>IFERROR(VLOOKUP("SF4_DECISION",'Company 6'!$B:$E,4,0),"")</f>
        <v>1</v>
      </c>
      <c r="K42" s="106">
        <f>IFERROR(VLOOKUP("SF4_DECISION",'Company 7'!$B:$E,4,0),"")</f>
        <v>0</v>
      </c>
      <c r="L42" s="106">
        <f>IFERROR(VLOOKUP("SF4_DECISION",'Company 8'!$B:$E,4,0),"")</f>
        <v>0</v>
      </c>
      <c r="M42" s="106">
        <f>IFERROR(VLOOKUP("SF4_DECISION",'Company 9'!$B:$E,4,0),"")</f>
        <v>0</v>
      </c>
      <c r="N42" s="106">
        <f>IFERROR(VLOOKUP("SF4_DECISION",'Company 10'!$B:$E,4,0),"")</f>
        <v>0</v>
      </c>
      <c r="O42" s="106">
        <f>IFERROR(VLOOKUP("SF4_DECISION",'Company 11'!$B:$E,4,0),"")</f>
        <v>0</v>
      </c>
      <c r="P42" s="106">
        <f>IFERROR(VLOOKUP("SF4_DECISION",'Company 12'!$B:$E,4,0),"")</f>
        <v>0</v>
      </c>
      <c r="Q42" s="106">
        <f>IFERROR(VLOOKUP("SF4_DECISION",'Company 13'!$B:$E,4,0),"")</f>
        <v>1</v>
      </c>
      <c r="R42" s="106" t="str">
        <f>IFERROR(VLOOKUP("SF4_DECISION",#REF!,4,0),"")</f>
        <v/>
      </c>
      <c r="S42" s="106" t="str">
        <f>IFERROR(VLOOKUP("SF4_DECISION",#REF!,4,0),"")</f>
        <v/>
      </c>
      <c r="T42" s="106" t="str">
        <f>IFERROR(VLOOKUP("SF4_DECISION",#REF!,4,0),"")</f>
        <v/>
      </c>
      <c r="U42" s="106" t="str">
        <f>IFERROR(VLOOKUP("SF4_DECISION",#REF!,4,0),"")</f>
        <v/>
      </c>
      <c r="V42" s="106">
        <f>IFERROR(VLOOKUP("SF4_DECISION",'Company 18'!$B:$E,4,0),"")</f>
        <v>0</v>
      </c>
      <c r="W42" s="106">
        <f>IFERROR(VLOOKUP("SF4_DECISION",'Company 19'!$B:$E,4,0),"")</f>
        <v>0</v>
      </c>
      <c r="X42" s="106">
        <f>IFERROR(VLOOKUP("SF4_DECISION",'Company 20'!$B:$E,4,0),"")</f>
        <v>0</v>
      </c>
      <c r="Y42" s="106">
        <f>IFERROR(VLOOKUP("SF4_DECISION",'Company 21'!$B:$E,4,0),"")</f>
        <v>0</v>
      </c>
      <c r="Z42" s="106">
        <f>IFERROR(VLOOKUP("SF4_DECISION",'Company 22'!$B:$E,4,0),"")</f>
        <v>0</v>
      </c>
      <c r="AA42" s="106">
        <f>IFERROR(VLOOKUP("SF4_DECISION",'Company 23'!$B:$E,4,0),"")</f>
        <v>0</v>
      </c>
      <c r="AB42" s="106">
        <f>IFERROR(VLOOKUP("SF4_DECISION",'Company 24'!$B:$E,4,0),"")</f>
        <v>0</v>
      </c>
      <c r="AC42" s="106">
        <f>IFERROR(VLOOKUP("SF4_DECISION",'Company 25'!$B:$E,4,0),"")</f>
        <v>0</v>
      </c>
      <c r="AD42" s="106">
        <f>IFERROR(VLOOKUP("SF4_DECISION",'Company 26'!$B:$E,4,0),"")</f>
        <v>0</v>
      </c>
      <c r="AE42" s="106">
        <f>IFERROR(VLOOKUP("SF4_DECISION",'Company 27'!$B:$E,4,0),"")</f>
        <v>0</v>
      </c>
      <c r="AF42" s="106">
        <f>IFERROR(VLOOKUP("SF4_DECISION",'Company 28'!$B:$E,4,0),"")</f>
        <v>0</v>
      </c>
      <c r="AG42" s="106">
        <f>IFERROR(VLOOKUP("SF4_DECISION",'Company 29'!$B:$E,4,0),"")</f>
        <v>0</v>
      </c>
      <c r="AH42" s="106">
        <f>IFERROR(VLOOKUP("SF4_DECISION",'Company 30'!$B:$E,4,0),"")</f>
        <v>0</v>
      </c>
    </row>
    <row r="43" spans="2:34" ht="24.95" customHeight="1">
      <c r="B43" s="109" t="s">
        <v>127</v>
      </c>
      <c r="C43" s="110" t="s">
        <v>140</v>
      </c>
      <c r="D43" s="42" t="s">
        <v>141</v>
      </c>
      <c r="E43" s="106">
        <f>IFERROR(VLOOKUP("SF5_MASKING",'Company 1'!$B:$E,4,0),"")</f>
        <v>1</v>
      </c>
      <c r="F43" s="106">
        <f>IFERROR(VLOOKUP("SF5_MASKING",'Company 2'!$B:$E,4,0),"")</f>
        <v>1</v>
      </c>
      <c r="G43" s="106">
        <f>IFERROR(VLOOKUP("SF5_MASKING",'Company 3'!$B:$E,4,0),"")</f>
        <v>0</v>
      </c>
      <c r="H43" s="106">
        <f>IFERROR(VLOOKUP("SF5_MASKING",'Company 4'!$B:$E,4,0),"")</f>
        <v>0</v>
      </c>
      <c r="I43" s="106">
        <f>IFERROR(VLOOKUP("SF5_MASKING",'Company 5'!$B:$E,4,0),"")</f>
        <v>0</v>
      </c>
      <c r="J43" s="106">
        <f>IFERROR(VLOOKUP("SF5_MASKING",'Company 6'!$B:$E,4,0),"")</f>
        <v>0</v>
      </c>
      <c r="K43" s="106">
        <f>IFERROR(VLOOKUP("SF5_MASKING",'Company 7'!$B:$E,4,0),"")</f>
        <v>0</v>
      </c>
      <c r="L43" s="106">
        <f>IFERROR(VLOOKUP("SF5_MASKING",'Company 8'!$B:$E,4,0),"")</f>
        <v>0</v>
      </c>
      <c r="M43" s="106">
        <f>IFERROR(VLOOKUP("SF5_MASKING",'Company 9'!$B:$E,4,0),"")</f>
        <v>0</v>
      </c>
      <c r="N43" s="106">
        <f>IFERROR(VLOOKUP("SF5_MASKING",'Company 10'!$B:$E,4,0),"")</f>
        <v>0</v>
      </c>
      <c r="O43" s="106">
        <f>IFERROR(VLOOKUP("SF5_MASKING",'Company 11'!$B:$E,4,0),"")</f>
        <v>0</v>
      </c>
      <c r="P43" s="106">
        <f>IFERROR(VLOOKUP("SF5_MASKING",'Company 12'!$B:$E,4,0),"")</f>
        <v>1</v>
      </c>
      <c r="Q43" s="106">
        <f>IFERROR(VLOOKUP("SF5_MASKING",'Company 13'!$B:$E,4,0),"")</f>
        <v>1</v>
      </c>
      <c r="R43" s="106" t="str">
        <f>IFERROR(VLOOKUP("SF5_MASKING",#REF!,4,0),"")</f>
        <v/>
      </c>
      <c r="S43" s="106" t="str">
        <f>IFERROR(VLOOKUP("SF5_MASKING",#REF!,4,0),"")</f>
        <v/>
      </c>
      <c r="T43" s="106" t="str">
        <f>IFERROR(VLOOKUP("SF5_MASKING",#REF!,4,0),"")</f>
        <v/>
      </c>
      <c r="U43" s="106" t="str">
        <f>IFERROR(VLOOKUP("SF5_MASKING",#REF!,4,0),"")</f>
        <v/>
      </c>
      <c r="V43" s="106">
        <f>IFERROR(VLOOKUP("SF5_MASKING",'Company 18'!$B:$E,4,0),"")</f>
        <v>0</v>
      </c>
      <c r="W43" s="106">
        <f>IFERROR(VLOOKUP("SF5_MASKING",'Company 19'!$B:$E,4,0),"")</f>
        <v>0</v>
      </c>
      <c r="X43" s="106">
        <f>IFERROR(VLOOKUP("SF5_MASKING",'Company 20'!$B:$E,4,0),"")</f>
        <v>0</v>
      </c>
      <c r="Y43" s="106">
        <f>IFERROR(VLOOKUP("SF5_MASKING",'Company 21'!$B:$E,4,0),"")</f>
        <v>0</v>
      </c>
      <c r="Z43" s="106">
        <f>IFERROR(VLOOKUP("SF5_MASKING",'Company 22'!$B:$E,4,0),"")</f>
        <v>0</v>
      </c>
      <c r="AA43" s="106">
        <f>IFERROR(VLOOKUP("SF5_MASKING",'Company 23'!$B:$E,4,0),"")</f>
        <v>0</v>
      </c>
      <c r="AB43" s="106">
        <f>IFERROR(VLOOKUP("SF5_MASKING",'Company 24'!$B:$E,4,0),"")</f>
        <v>0</v>
      </c>
      <c r="AC43" s="106">
        <f>IFERROR(VLOOKUP("SF5_MASKING",'Company 25'!$B:$E,4,0),"")</f>
        <v>0</v>
      </c>
      <c r="AD43" s="106">
        <f>IFERROR(VLOOKUP("SF5_MASKING",'Company 26'!$B:$E,4,0),"")</f>
        <v>0</v>
      </c>
      <c r="AE43" s="106">
        <f>IFERROR(VLOOKUP("SF5_MASKING",'Company 27'!$B:$E,4,0),"")</f>
        <v>0</v>
      </c>
      <c r="AF43" s="106">
        <f>IFERROR(VLOOKUP("SF5_MASKING",'Company 28'!$B:$E,4,0),"")</f>
        <v>0</v>
      </c>
      <c r="AG43" s="106">
        <f>IFERROR(VLOOKUP("SF5_MASKING",'Company 29'!$B:$E,4,0),"")</f>
        <v>0</v>
      </c>
      <c r="AH43" s="106">
        <f>IFERROR(VLOOKUP("SF5_MASKING",'Company 30'!$B:$E,4,0),"")</f>
        <v>0</v>
      </c>
    </row>
    <row r="44" spans="2:34" ht="18" customHeight="1">
      <c r="B44" s="102" t="s">
        <v>217</v>
      </c>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row>
    <row r="45" spans="2:34" ht="24.95" customHeight="1">
      <c r="B45" s="104" t="s">
        <v>143</v>
      </c>
      <c r="C45" s="105" t="s">
        <v>144</v>
      </c>
      <c r="D45" s="42" t="s">
        <v>145</v>
      </c>
      <c r="E45" s="106">
        <f>IFERROR(VLOOKUP("SD1_TRENDS",'Company 1'!$B:$E,4,0),"")</f>
        <v>1</v>
      </c>
      <c r="F45" s="106">
        <f>IFERROR(VLOOKUP("SD1_TRENDS",'Company 2'!$B:$E,4,0),"")</f>
        <v>0</v>
      </c>
      <c r="G45" s="106">
        <f>IFERROR(VLOOKUP("SD1_TRENDS",'Company 3'!$B:$E,4,0),"")</f>
        <v>0</v>
      </c>
      <c r="H45" s="106">
        <f>IFERROR(VLOOKUP("SD1_TRENDS",'Company 4'!$B:$E,4,0),"")</f>
        <v>0</v>
      </c>
      <c r="I45" s="106">
        <f>IFERROR(VLOOKUP("SD1_TRENDS",'Company 5'!$B:$E,4,0),"")</f>
        <v>0</v>
      </c>
      <c r="J45" s="106">
        <f>IFERROR(VLOOKUP("SD1_TRENDS",'Company 6'!$B:$E,4,0),"")</f>
        <v>1</v>
      </c>
      <c r="K45" s="106">
        <f>IFERROR(VLOOKUP("SD1_TRENDS",'Company 7'!$B:$E,4,0),"")</f>
        <v>0</v>
      </c>
      <c r="L45" s="106">
        <f>IFERROR(VLOOKUP("SD1_TRENDS",'Company 8'!$B:$E,4,0),"")</f>
        <v>1</v>
      </c>
      <c r="M45" s="106">
        <f>IFERROR(VLOOKUP("SD1_TRENDS",'Company 9'!$B:$E,4,0),"")</f>
        <v>1</v>
      </c>
      <c r="N45" s="106">
        <f>IFERROR(VLOOKUP("SD1_TRENDS",'Company 10'!$B:$E,4,0),"")</f>
        <v>1</v>
      </c>
      <c r="O45" s="106">
        <f>IFERROR(VLOOKUP("SD1_TRENDS",'Company 11'!$B:$E,4,0),"")</f>
        <v>1</v>
      </c>
      <c r="P45" s="106">
        <f>IFERROR(VLOOKUP("SD1_TRENDS",'Company 12'!$B:$E,4,0),"")</f>
        <v>1</v>
      </c>
      <c r="Q45" s="106">
        <f>IFERROR(VLOOKUP("SD1_TRENDS",'Company 13'!$B:$E,4,0),"")</f>
        <v>1</v>
      </c>
      <c r="R45" s="106" t="str">
        <f>IFERROR(VLOOKUP("SD1_TRENDS",#REF!,4,0),"")</f>
        <v/>
      </c>
      <c r="S45" s="106" t="str">
        <f>IFERROR(VLOOKUP("SD1_TRENDS",#REF!,4,0),"")</f>
        <v/>
      </c>
      <c r="T45" s="106" t="str">
        <f>IFERROR(VLOOKUP("SD1_TRENDS",#REF!,4,0),"")</f>
        <v/>
      </c>
      <c r="U45" s="106" t="str">
        <f>IFERROR(VLOOKUP("SD1_TRENDS",#REF!,4,0),"")</f>
        <v/>
      </c>
      <c r="V45" s="106">
        <f>IFERROR(VLOOKUP("SD1_TRENDS",'Company 18'!$B:$E,4,0),"")</f>
        <v>0</v>
      </c>
      <c r="W45" s="106">
        <f>IFERROR(VLOOKUP("SD1_TRENDS",'Company 19'!$B:$E,4,0),"")</f>
        <v>0</v>
      </c>
      <c r="X45" s="106">
        <f>IFERROR(VLOOKUP("SD1_TRENDS",'Company 20'!$B:$E,4,0),"")</f>
        <v>0</v>
      </c>
      <c r="Y45" s="106">
        <f>IFERROR(VLOOKUP("SD1_TRENDS",'Company 21'!$B:$E,4,0),"")</f>
        <v>0</v>
      </c>
      <c r="Z45" s="106">
        <f>IFERROR(VLOOKUP("SD1_TRENDS",'Company 22'!$B:$E,4,0),"")</f>
        <v>0</v>
      </c>
      <c r="AA45" s="106">
        <f>IFERROR(VLOOKUP("SD1_TRENDS",'Company 23'!$B:$E,4,0),"")</f>
        <v>0</v>
      </c>
      <c r="AB45" s="106">
        <f>IFERROR(VLOOKUP("SD1_TRENDS",'Company 24'!$B:$E,4,0),"")</f>
        <v>0</v>
      </c>
      <c r="AC45" s="106">
        <f>IFERROR(VLOOKUP("SD1_TRENDS",'Company 25'!$B:$E,4,0),"")</f>
        <v>0</v>
      </c>
      <c r="AD45" s="106">
        <f>IFERROR(VLOOKUP("SD1_TRENDS",'Company 26'!$B:$E,4,0),"")</f>
        <v>0</v>
      </c>
      <c r="AE45" s="106">
        <f>IFERROR(VLOOKUP("SD1_TRENDS",'Company 27'!$B:$E,4,0),"")</f>
        <v>0</v>
      </c>
      <c r="AF45" s="106">
        <f>IFERROR(VLOOKUP("SD1_TRENDS",'Company 28'!$B:$E,4,0),"")</f>
        <v>0</v>
      </c>
      <c r="AG45" s="106">
        <f>IFERROR(VLOOKUP("SD1_TRENDS",'Company 29'!$B:$E,4,0),"")</f>
        <v>0</v>
      </c>
      <c r="AH45" s="106">
        <f>IFERROR(VLOOKUP("SD1_TRENDS",'Company 30'!$B:$E,4,0),"")</f>
        <v>0</v>
      </c>
    </row>
    <row r="46" spans="2:34" ht="24.95" customHeight="1">
      <c r="B46" s="104" t="s">
        <v>143</v>
      </c>
      <c r="C46" s="105" t="s">
        <v>147</v>
      </c>
      <c r="D46" s="42" t="s">
        <v>148</v>
      </c>
      <c r="E46" s="106">
        <f>IFERROR(VLOOKUP("SD2_MARKET",'Company 1'!$B:$E,4,0),"")</f>
        <v>1</v>
      </c>
      <c r="F46" s="106">
        <f>IFERROR(VLOOKUP("SD2_MARKET",'Company 2'!$B:$E,4,0),"")</f>
        <v>1</v>
      </c>
      <c r="G46" s="106">
        <f>IFERROR(VLOOKUP("SD2_MARKET",'Company 3'!$B:$E,4,0),"")</f>
        <v>0</v>
      </c>
      <c r="H46" s="106">
        <f>IFERROR(VLOOKUP("SD2_MARKET",'Company 4'!$B:$E,4,0),"")</f>
        <v>1</v>
      </c>
      <c r="I46" s="106">
        <f>IFERROR(VLOOKUP("SD2_MARKET",'Company 5'!$B:$E,4,0),"")</f>
        <v>0</v>
      </c>
      <c r="J46" s="106">
        <f>IFERROR(VLOOKUP("SD2_MARKET",'Company 6'!$B:$E,4,0),"")</f>
        <v>1</v>
      </c>
      <c r="K46" s="106">
        <f>IFERROR(VLOOKUP("SD2_MARKET",'Company 7'!$B:$E,4,0),"")</f>
        <v>1</v>
      </c>
      <c r="L46" s="106">
        <f>IFERROR(VLOOKUP("SD2_MARKET",'Company 8'!$B:$E,4,0),"")</f>
        <v>1</v>
      </c>
      <c r="M46" s="106">
        <f>IFERROR(VLOOKUP("SD2_MARKET",'Company 9'!$B:$E,4,0),"")</f>
        <v>1</v>
      </c>
      <c r="N46" s="106">
        <f>IFERROR(VLOOKUP("SD2_MARKET",'Company 10'!$B:$E,4,0),"")</f>
        <v>1</v>
      </c>
      <c r="O46" s="106">
        <f>IFERROR(VLOOKUP("SD2_MARKET",'Company 11'!$B:$E,4,0),"")</f>
        <v>1</v>
      </c>
      <c r="P46" s="106">
        <f>IFERROR(VLOOKUP("SD2_MARKET",'Company 12'!$B:$E,4,0),"")</f>
        <v>1</v>
      </c>
      <c r="Q46" s="106">
        <f>IFERROR(VLOOKUP("SD2_MARKET",'Company 13'!$B:$E,4,0),"")</f>
        <v>1</v>
      </c>
      <c r="R46" s="106" t="str">
        <f>IFERROR(VLOOKUP("SD2_MARKET",#REF!,4,0),"")</f>
        <v/>
      </c>
      <c r="S46" s="106" t="str">
        <f>IFERROR(VLOOKUP("SD2_MARKET",#REF!,4,0),"")</f>
        <v/>
      </c>
      <c r="T46" s="106" t="str">
        <f>IFERROR(VLOOKUP("SD2_MARKET",#REF!,4,0),"")</f>
        <v/>
      </c>
      <c r="U46" s="106" t="str">
        <f>IFERROR(VLOOKUP("SD2_MARKET",#REF!,4,0),"")</f>
        <v/>
      </c>
      <c r="V46" s="106">
        <f>IFERROR(VLOOKUP("SD2_MARKET",'Company 18'!$B:$E,4,0),"")</f>
        <v>0</v>
      </c>
      <c r="W46" s="106">
        <f>IFERROR(VLOOKUP("SD2_MARKET",'Company 19'!$B:$E,4,0),"")</f>
        <v>0</v>
      </c>
      <c r="X46" s="106">
        <f>IFERROR(VLOOKUP("SD2_MARKET",'Company 20'!$B:$E,4,0),"")</f>
        <v>0</v>
      </c>
      <c r="Y46" s="106">
        <f>IFERROR(VLOOKUP("SD2_MARKET",'Company 21'!$B:$E,4,0),"")</f>
        <v>0</v>
      </c>
      <c r="Z46" s="106">
        <f>IFERROR(VLOOKUP("SD2_MARKET",'Company 22'!$B:$E,4,0),"")</f>
        <v>0</v>
      </c>
      <c r="AA46" s="106">
        <f>IFERROR(VLOOKUP("SD2_MARKET",'Company 23'!$B:$E,4,0),"")</f>
        <v>0</v>
      </c>
      <c r="AB46" s="106">
        <f>IFERROR(VLOOKUP("SD2_MARKET",'Company 24'!$B:$E,4,0),"")</f>
        <v>0</v>
      </c>
      <c r="AC46" s="106">
        <f>IFERROR(VLOOKUP("SD2_MARKET",'Company 25'!$B:$E,4,0),"")</f>
        <v>0</v>
      </c>
      <c r="AD46" s="106">
        <f>IFERROR(VLOOKUP("SD2_MARKET",'Company 26'!$B:$E,4,0),"")</f>
        <v>0</v>
      </c>
      <c r="AE46" s="106">
        <f>IFERROR(VLOOKUP("SD2_MARKET",'Company 27'!$B:$E,4,0),"")</f>
        <v>0</v>
      </c>
      <c r="AF46" s="106">
        <f>IFERROR(VLOOKUP("SD2_MARKET",'Company 28'!$B:$E,4,0),"")</f>
        <v>0</v>
      </c>
      <c r="AG46" s="106">
        <f>IFERROR(VLOOKUP("SD2_MARKET",'Company 29'!$B:$E,4,0),"")</f>
        <v>0</v>
      </c>
      <c r="AH46" s="106">
        <f>IFERROR(VLOOKUP("SD2_MARKET",'Company 30'!$B:$E,4,0),"")</f>
        <v>0</v>
      </c>
    </row>
    <row r="47" spans="2:34" ht="24.95" customHeight="1">
      <c r="B47" s="104" t="s">
        <v>143</v>
      </c>
      <c r="C47" s="105" t="s">
        <v>150</v>
      </c>
      <c r="D47" s="42" t="s">
        <v>151</v>
      </c>
      <c r="E47" s="106">
        <f>IFERROR(VLOOKUP("SD3_CATEGORY",'Company 1'!$B:$E,4,0),"")</f>
        <v>1</v>
      </c>
      <c r="F47" s="106">
        <f>IFERROR(VLOOKUP("SD3_CATEGORY",'Company 2'!$B:$E,4,0),"")</f>
        <v>0</v>
      </c>
      <c r="G47" s="106">
        <f>IFERROR(VLOOKUP("SD3_CATEGORY",'Company 3'!$B:$E,4,0),"")</f>
        <v>1</v>
      </c>
      <c r="H47" s="106">
        <f>IFERROR(VLOOKUP("SD3_CATEGORY",'Company 4'!$B:$E,4,0),"")</f>
        <v>1</v>
      </c>
      <c r="I47" s="106">
        <f>IFERROR(VLOOKUP("SD3_CATEGORY",'Company 5'!$B:$E,4,0),"")</f>
        <v>0</v>
      </c>
      <c r="J47" s="106">
        <f>IFERROR(VLOOKUP("SD3_CATEGORY",'Company 6'!$B:$E,4,0),"")</f>
        <v>1</v>
      </c>
      <c r="K47" s="106">
        <f>IFERROR(VLOOKUP("SD3_CATEGORY",'Company 7'!$B:$E,4,0),"")</f>
        <v>1</v>
      </c>
      <c r="L47" s="106">
        <f>IFERROR(VLOOKUP("SD3_CATEGORY",'Company 8'!$B:$E,4,0),"")</f>
        <v>1</v>
      </c>
      <c r="M47" s="106">
        <f>IFERROR(VLOOKUP("SD3_CATEGORY",'Company 9'!$B:$E,4,0),"")</f>
        <v>1</v>
      </c>
      <c r="N47" s="106">
        <f>IFERROR(VLOOKUP("SD3_CATEGORY",'Company 10'!$B:$E,4,0),"")</f>
        <v>1</v>
      </c>
      <c r="O47" s="106">
        <f>IFERROR(VLOOKUP("SD3_CATEGORY",'Company 11'!$B:$E,4,0),"")</f>
        <v>1</v>
      </c>
      <c r="P47" s="106">
        <f>IFERROR(VLOOKUP("SD3_CATEGORY",'Company 12'!$B:$E,4,0),"")</f>
        <v>0</v>
      </c>
      <c r="Q47" s="106">
        <f>IFERROR(VLOOKUP("SD3_CATEGORY",'Company 13'!$B:$E,4,0),"")</f>
        <v>1</v>
      </c>
      <c r="R47" s="106" t="str">
        <f>IFERROR(VLOOKUP("SD3_CATEGORY",#REF!,4,0),"")</f>
        <v/>
      </c>
      <c r="S47" s="106" t="str">
        <f>IFERROR(VLOOKUP("SD3_CATEGORY",#REF!,4,0),"")</f>
        <v/>
      </c>
      <c r="T47" s="106" t="str">
        <f>IFERROR(VLOOKUP("SD3_CATEGORY",#REF!,4,0),"")</f>
        <v/>
      </c>
      <c r="U47" s="106" t="str">
        <f>IFERROR(VLOOKUP("SD3_CATEGORY",#REF!,4,0),"")</f>
        <v/>
      </c>
      <c r="V47" s="106">
        <f>IFERROR(VLOOKUP("SD3_CATEGORY",'Company 18'!$B:$E,4,0),"")</f>
        <v>0</v>
      </c>
      <c r="W47" s="106">
        <f>IFERROR(VLOOKUP("SD3_CATEGORY",'Company 19'!$B:$E,4,0),"")</f>
        <v>0</v>
      </c>
      <c r="X47" s="106">
        <f>IFERROR(VLOOKUP("SD3_CATEGORY",'Company 20'!$B:$E,4,0),"")</f>
        <v>0</v>
      </c>
      <c r="Y47" s="106">
        <f>IFERROR(VLOOKUP("SD3_CATEGORY",'Company 21'!$B:$E,4,0),"")</f>
        <v>0</v>
      </c>
      <c r="Z47" s="106">
        <f>IFERROR(VLOOKUP("SD3_CATEGORY",'Company 22'!$B:$E,4,0),"")</f>
        <v>0</v>
      </c>
      <c r="AA47" s="106">
        <f>IFERROR(VLOOKUP("SD3_CATEGORY",'Company 23'!$B:$E,4,0),"")</f>
        <v>0</v>
      </c>
      <c r="AB47" s="106">
        <f>IFERROR(VLOOKUP("SD3_CATEGORY",'Company 24'!$B:$E,4,0),"")</f>
        <v>0</v>
      </c>
      <c r="AC47" s="106">
        <f>IFERROR(VLOOKUP("SD3_CATEGORY",'Company 25'!$B:$E,4,0),"")</f>
        <v>0</v>
      </c>
      <c r="AD47" s="106">
        <f>IFERROR(VLOOKUP("SD3_CATEGORY",'Company 26'!$B:$E,4,0),"")</f>
        <v>0</v>
      </c>
      <c r="AE47" s="106">
        <f>IFERROR(VLOOKUP("SD3_CATEGORY",'Company 27'!$B:$E,4,0),"")</f>
        <v>0</v>
      </c>
      <c r="AF47" s="106">
        <f>IFERROR(VLOOKUP("SD3_CATEGORY",'Company 28'!$B:$E,4,0),"")</f>
        <v>0</v>
      </c>
      <c r="AG47" s="106">
        <f>IFERROR(VLOOKUP("SD3_CATEGORY",'Company 29'!$B:$E,4,0),"")</f>
        <v>0</v>
      </c>
      <c r="AH47" s="106">
        <f>IFERROR(VLOOKUP("SD3_CATEGORY",'Company 30'!$B:$E,4,0),"")</f>
        <v>0</v>
      </c>
    </row>
    <row r="48" spans="2:34" ht="24.95" customHeight="1">
      <c r="B48" s="104" t="s">
        <v>143</v>
      </c>
      <c r="C48" s="105" t="s">
        <v>153</v>
      </c>
      <c r="D48" s="42" t="s">
        <v>154</v>
      </c>
      <c r="E48" s="106">
        <f>IFERROR(VLOOKUP("SD4_SHIPMENT",'Company 1'!$B:$E,4,0),"")</f>
        <v>0</v>
      </c>
      <c r="F48" s="106">
        <f>IFERROR(VLOOKUP("SD4_SHIPMENT",'Company 2'!$B:$E,4,0),"")</f>
        <v>0</v>
      </c>
      <c r="G48" s="106">
        <f>IFERROR(VLOOKUP("SD4_SHIPMENT",'Company 3'!$B:$E,4,0),"")</f>
        <v>0</v>
      </c>
      <c r="H48" s="106">
        <f>IFERROR(VLOOKUP("SD4_SHIPMENT",'Company 4'!$B:$E,4,0),"")</f>
        <v>1</v>
      </c>
      <c r="I48" s="106">
        <f>IFERROR(VLOOKUP("SD4_SHIPMENT",'Company 5'!$B:$E,4,0),"")</f>
        <v>1</v>
      </c>
      <c r="J48" s="106">
        <f>IFERROR(VLOOKUP("SD4_SHIPMENT",'Company 6'!$B:$E,4,0),"")</f>
        <v>1</v>
      </c>
      <c r="K48" s="106">
        <f>IFERROR(VLOOKUP("SD4_SHIPMENT",'Company 7'!$B:$E,4,0),"")</f>
        <v>0</v>
      </c>
      <c r="L48" s="106">
        <f>IFERROR(VLOOKUP("SD4_SHIPMENT",'Company 8'!$B:$E,4,0),"")</f>
        <v>0</v>
      </c>
      <c r="M48" s="106">
        <f>IFERROR(VLOOKUP("SD4_SHIPMENT",'Company 9'!$B:$E,4,0),"")</f>
        <v>1</v>
      </c>
      <c r="N48" s="106">
        <f>IFERROR(VLOOKUP("SD4_SHIPMENT",'Company 10'!$B:$E,4,0),"")</f>
        <v>0</v>
      </c>
      <c r="O48" s="106">
        <f>IFERROR(VLOOKUP("SD4_SHIPMENT",'Company 11'!$B:$E,4,0),"")</f>
        <v>0</v>
      </c>
      <c r="P48" s="106">
        <f>IFERROR(VLOOKUP("SD4_SHIPMENT",'Company 12'!$B:$E,4,0),"")</f>
        <v>1</v>
      </c>
      <c r="Q48" s="106">
        <f>IFERROR(VLOOKUP("SD4_SHIPMENT",'Company 13'!$B:$E,4,0),"")</f>
        <v>1</v>
      </c>
      <c r="R48" s="106" t="str">
        <f>IFERROR(VLOOKUP("SD4_SHIPMENT",#REF!,4,0),"")</f>
        <v/>
      </c>
      <c r="S48" s="106" t="str">
        <f>IFERROR(VLOOKUP("SD4_SHIPMENT",#REF!,4,0),"")</f>
        <v/>
      </c>
      <c r="T48" s="106" t="str">
        <f>IFERROR(VLOOKUP("SD4_SHIPMENT",#REF!,4,0),"")</f>
        <v/>
      </c>
      <c r="U48" s="106" t="str">
        <f>IFERROR(VLOOKUP("SD4_SHIPMENT",#REF!,4,0),"")</f>
        <v/>
      </c>
      <c r="V48" s="106">
        <f>IFERROR(VLOOKUP("SD4_SHIPMENT",'Company 18'!$B:$E,4,0),"")</f>
        <v>0</v>
      </c>
      <c r="W48" s="106">
        <f>IFERROR(VLOOKUP("SD4_SHIPMENT",'Company 19'!$B:$E,4,0),"")</f>
        <v>0</v>
      </c>
      <c r="X48" s="106">
        <f>IFERROR(VLOOKUP("SD4_SHIPMENT",'Company 20'!$B:$E,4,0),"")</f>
        <v>0</v>
      </c>
      <c r="Y48" s="106">
        <f>IFERROR(VLOOKUP("SD4_SHIPMENT",'Company 21'!$B:$E,4,0),"")</f>
        <v>0</v>
      </c>
      <c r="Z48" s="106">
        <f>IFERROR(VLOOKUP("SD4_SHIPMENT",'Company 22'!$B:$E,4,0),"")</f>
        <v>0</v>
      </c>
      <c r="AA48" s="106">
        <f>IFERROR(VLOOKUP("SD4_SHIPMENT",'Company 23'!$B:$E,4,0),"")</f>
        <v>0</v>
      </c>
      <c r="AB48" s="106">
        <f>IFERROR(VLOOKUP("SD4_SHIPMENT",'Company 24'!$B:$E,4,0),"")</f>
        <v>0</v>
      </c>
      <c r="AC48" s="106">
        <f>IFERROR(VLOOKUP("SD4_SHIPMENT",'Company 25'!$B:$E,4,0),"")</f>
        <v>0</v>
      </c>
      <c r="AD48" s="106">
        <f>IFERROR(VLOOKUP("SD4_SHIPMENT",'Company 26'!$B:$E,4,0),"")</f>
        <v>0</v>
      </c>
      <c r="AE48" s="106">
        <f>IFERROR(VLOOKUP("SD4_SHIPMENT",'Company 27'!$B:$E,4,0),"")</f>
        <v>0</v>
      </c>
      <c r="AF48" s="106">
        <f>IFERROR(VLOOKUP("SD4_SHIPMENT",'Company 28'!$B:$E,4,0),"")</f>
        <v>0</v>
      </c>
      <c r="AG48" s="106">
        <f>IFERROR(VLOOKUP("SD4_SHIPMENT",'Company 29'!$B:$E,4,0),"")</f>
        <v>0</v>
      </c>
      <c r="AH48" s="106">
        <f>IFERROR(VLOOKUP("SD4_SHIPMENT",'Company 30'!$B:$E,4,0),"")</f>
        <v>0</v>
      </c>
    </row>
    <row r="49" spans="2:34" ht="24.95" customHeight="1">
      <c r="B49" s="104" t="s">
        <v>143</v>
      </c>
      <c r="C49" s="105" t="s">
        <v>156</v>
      </c>
      <c r="D49" s="42" t="s">
        <v>157</v>
      </c>
      <c r="E49" s="106">
        <f>IFERROR(VLOOKUP("SD5_LEAD",'Company 1'!$B:$E,4,0),"")</f>
        <v>0</v>
      </c>
      <c r="F49" s="106">
        <f>IFERROR(VLOOKUP("SD5_LEAD",'Company 2'!$B:$E,4,0),"")</f>
        <v>0</v>
      </c>
      <c r="G49" s="106">
        <f>IFERROR(VLOOKUP("SD5_LEAD",'Company 3'!$B:$E,4,0),"")</f>
        <v>0</v>
      </c>
      <c r="H49" s="106">
        <f>IFERROR(VLOOKUP("SD5_LEAD",'Company 4'!$B:$E,4,0),"")</f>
        <v>1</v>
      </c>
      <c r="I49" s="106">
        <f>IFERROR(VLOOKUP("SD5_LEAD",'Company 5'!$B:$E,4,0),"")</f>
        <v>1</v>
      </c>
      <c r="J49" s="106">
        <f>IFERROR(VLOOKUP("SD5_LEAD",'Company 6'!$B:$E,4,0),"")</f>
        <v>0</v>
      </c>
      <c r="K49" s="106">
        <f>IFERROR(VLOOKUP("SD5_LEAD",'Company 7'!$B:$E,4,0),"")</f>
        <v>0</v>
      </c>
      <c r="L49" s="106">
        <f>IFERROR(VLOOKUP("SD5_LEAD",'Company 8'!$B:$E,4,0),"")</f>
        <v>0</v>
      </c>
      <c r="M49" s="106">
        <f>IFERROR(VLOOKUP("SD5_LEAD",'Company 9'!$B:$E,4,0),"")</f>
        <v>0</v>
      </c>
      <c r="N49" s="106">
        <f>IFERROR(VLOOKUP("SD5_LEAD",'Company 10'!$B:$E,4,0),"")</f>
        <v>0</v>
      </c>
      <c r="O49" s="106">
        <f>IFERROR(VLOOKUP("SD5_LEAD",'Company 11'!$B:$E,4,0),"")</f>
        <v>0</v>
      </c>
      <c r="P49" s="106">
        <f>IFERROR(VLOOKUP("SD5_LEAD",'Company 12'!$B:$E,4,0),"")</f>
        <v>0</v>
      </c>
      <c r="Q49" s="106">
        <f>IFERROR(VLOOKUP("SD5_LEAD",'Company 13'!$B:$E,4,0),"")</f>
        <v>1</v>
      </c>
      <c r="R49" s="106" t="str">
        <f>IFERROR(VLOOKUP("SD5_LEAD",#REF!,4,0),"")</f>
        <v/>
      </c>
      <c r="S49" s="106" t="str">
        <f>IFERROR(VLOOKUP("SD5_LEAD",#REF!,4,0),"")</f>
        <v/>
      </c>
      <c r="T49" s="106" t="str">
        <f>IFERROR(VLOOKUP("SD5_LEAD",#REF!,4,0),"")</f>
        <v/>
      </c>
      <c r="U49" s="106" t="str">
        <f>IFERROR(VLOOKUP("SD5_LEAD",#REF!,4,0),"")</f>
        <v/>
      </c>
      <c r="V49" s="106">
        <f>IFERROR(VLOOKUP("SD5_LEAD",'Company 18'!$B:$E,4,0),"")</f>
        <v>0</v>
      </c>
      <c r="W49" s="106">
        <f>IFERROR(VLOOKUP("SD5_LEAD",'Company 19'!$B:$E,4,0),"")</f>
        <v>0</v>
      </c>
      <c r="X49" s="106">
        <f>IFERROR(VLOOKUP("SD5_LEAD",'Company 20'!$B:$E,4,0),"")</f>
        <v>0</v>
      </c>
      <c r="Y49" s="106">
        <f>IFERROR(VLOOKUP("SD5_LEAD",'Company 21'!$B:$E,4,0),"")</f>
        <v>0</v>
      </c>
      <c r="Z49" s="106">
        <f>IFERROR(VLOOKUP("SD5_LEAD",'Company 22'!$B:$E,4,0),"")</f>
        <v>0</v>
      </c>
      <c r="AA49" s="106">
        <f>IFERROR(VLOOKUP("SD5_LEAD",'Company 23'!$B:$E,4,0),"")</f>
        <v>0</v>
      </c>
      <c r="AB49" s="106">
        <f>IFERROR(VLOOKUP("SD5_LEAD",'Company 24'!$B:$E,4,0),"")</f>
        <v>0</v>
      </c>
      <c r="AC49" s="106">
        <f>IFERROR(VLOOKUP("SD5_LEAD",'Company 25'!$B:$E,4,0),"")</f>
        <v>0</v>
      </c>
      <c r="AD49" s="106">
        <f>IFERROR(VLOOKUP("SD5_LEAD",'Company 26'!$B:$E,4,0),"")</f>
        <v>0</v>
      </c>
      <c r="AE49" s="106">
        <f>IFERROR(VLOOKUP("SD5_LEAD",'Company 27'!$B:$E,4,0),"")</f>
        <v>0</v>
      </c>
      <c r="AF49" s="106">
        <f>IFERROR(VLOOKUP("SD5_LEAD",'Company 28'!$B:$E,4,0),"")</f>
        <v>0</v>
      </c>
      <c r="AG49" s="106">
        <f>IFERROR(VLOOKUP("SD5_LEAD",'Company 29'!$B:$E,4,0),"")</f>
        <v>0</v>
      </c>
      <c r="AH49" s="106">
        <f>IFERROR(VLOOKUP("SD5_LEAD",'Company 30'!$B:$E,4,0),"")</f>
        <v>0</v>
      </c>
    </row>
    <row r="50" spans="2:34" ht="24.95" customHeight="1">
      <c r="B50" s="104" t="s">
        <v>143</v>
      </c>
      <c r="C50" s="117" t="s">
        <v>159</v>
      </c>
      <c r="D50" s="1" t="s">
        <v>160</v>
      </c>
      <c r="E50" s="106">
        <f>IFERROR(VLOOKUP("SD6_CONJOINT",'Company 1'!$B:$E,4,0),"")</f>
        <v>0</v>
      </c>
      <c r="F50" s="106">
        <f>IFERROR(VLOOKUP("SD6_CONJOINT",'Company 2'!$B:$E,4,0),"")</f>
        <v>0</v>
      </c>
      <c r="G50" s="106">
        <f>IFERROR(VLOOKUP("SD6_CONJOINT",'Company 3'!$B:$E,4,0),"")</f>
        <v>0</v>
      </c>
      <c r="H50" s="106">
        <f>IFERROR(VLOOKUP("SD6_CONJOINT",'Company 4'!$B:$E,4,0),"")</f>
        <v>0</v>
      </c>
      <c r="I50" s="106">
        <f>IFERROR(VLOOKUP("SD6_CONJOINT",'Company 5'!$B:$E,4,0),"")</f>
        <v>0</v>
      </c>
      <c r="J50" s="106">
        <f>IFERROR(VLOOKUP("SD6_CONJOINT",'Company 6'!$B:$E,4,0),"")</f>
        <v>0</v>
      </c>
      <c r="K50" s="106">
        <f>IFERROR(VLOOKUP("SD6_CONJOINT",'Company 7'!$B:$E,4,0),"")</f>
        <v>0</v>
      </c>
      <c r="L50" s="106">
        <f>IFERROR(VLOOKUP("SD6_CONJOINT",'Company 8'!$B:$E,4,0),"")</f>
        <v>0</v>
      </c>
      <c r="M50" s="106">
        <f>IFERROR(VLOOKUP("SD6_CONJOINT",'Company 9'!$B:$E,4,0),"")</f>
        <v>0</v>
      </c>
      <c r="N50" s="106">
        <f>IFERROR(VLOOKUP("SD6_CONJOINT",'Company 10'!$B:$E,4,0),"")</f>
        <v>0</v>
      </c>
      <c r="O50" s="106">
        <f>IFERROR(VLOOKUP("SD6_CONJOINT",'Company 11'!$B:$E,4,0),"")</f>
        <v>0</v>
      </c>
      <c r="P50" s="106">
        <f>IFERROR(VLOOKUP("SD6_CONJOINT",'Company 12'!$B:$E,4,0),"")</f>
        <v>0</v>
      </c>
      <c r="Q50" s="106">
        <f>IFERROR(VLOOKUP("SD6_CONJOINT",'Company 13'!$B:$E,4,0),"")</f>
        <v>0</v>
      </c>
      <c r="R50" s="106" t="str">
        <f>IFERROR(VLOOKUP("SD6_CONJOINT",#REF!,4,0),"")</f>
        <v/>
      </c>
      <c r="S50" s="106" t="str">
        <f>IFERROR(VLOOKUP("SD6_CONJOINT",#REF!,4,0),"")</f>
        <v/>
      </c>
      <c r="T50" s="106" t="str">
        <f>IFERROR(VLOOKUP("SD6_CONJOINT",#REF!,4,0),"")</f>
        <v/>
      </c>
      <c r="U50" s="106" t="str">
        <f>IFERROR(VLOOKUP("SD6_CONJOINT",#REF!,4,0),"")</f>
        <v/>
      </c>
      <c r="V50" s="106">
        <f>IFERROR(VLOOKUP("SD6_CONJOINT",'Company 18'!$B:$E,4,0),"")</f>
        <v>0</v>
      </c>
      <c r="W50" s="106">
        <f>IFERROR(VLOOKUP("SD6_CONJOINT",'Company 19'!$B:$E,4,0),"")</f>
        <v>0</v>
      </c>
      <c r="X50" s="106">
        <f>IFERROR(VLOOKUP("SD6_CONJOINT",'Company 20'!$B:$E,4,0),"")</f>
        <v>0</v>
      </c>
      <c r="Y50" s="106">
        <f>IFERROR(VLOOKUP("SD6_CONJOINT",'Company 21'!$B:$E,4,0),"")</f>
        <v>0</v>
      </c>
      <c r="Z50" s="106">
        <f>IFERROR(VLOOKUP("SD6_CONJOINT",'Company 22'!$B:$E,4,0),"")</f>
        <v>0</v>
      </c>
      <c r="AA50" s="106">
        <f>IFERROR(VLOOKUP("SD6_CONJOINT",'Company 23'!$B:$E,4,0),"")</f>
        <v>0</v>
      </c>
      <c r="AB50" s="106">
        <f>IFERROR(VLOOKUP("SD6_CONJOINT",'Company 24'!$B:$E,4,0),"")</f>
        <v>0</v>
      </c>
      <c r="AC50" s="106">
        <f>IFERROR(VLOOKUP("SD6_CONJOINT",'Company 25'!$B:$E,4,0),"")</f>
        <v>0</v>
      </c>
      <c r="AD50" s="106">
        <f>IFERROR(VLOOKUP("SD6_CONJOINT",'Company 26'!$B:$E,4,0),"")</f>
        <v>0</v>
      </c>
      <c r="AE50" s="106">
        <f>IFERROR(VLOOKUP("SD6_CONJOINT",'Company 27'!$B:$E,4,0),"")</f>
        <v>0</v>
      </c>
      <c r="AF50" s="106">
        <f>IFERROR(VLOOKUP("SD6_CONJOINT",'Company 28'!$B:$E,4,0),"")</f>
        <v>0</v>
      </c>
      <c r="AG50" s="106">
        <f>IFERROR(VLOOKUP("SD6_CONJOINT",'Company 29'!$B:$E,4,0),"")</f>
        <v>0</v>
      </c>
      <c r="AH50" s="106">
        <f>IFERROR(VLOOKUP("SD6_CONJOINT",'Company 30'!$B:$E,4,0),"")</f>
        <v>0</v>
      </c>
    </row>
    <row r="51" spans="2:34" ht="27.95" customHeight="1"/>
    <row r="52" spans="2:34">
      <c r="B52" s="86" t="s">
        <v>218</v>
      </c>
      <c r="C52" s="159" t="s">
        <v>219</v>
      </c>
      <c r="D52" s="190"/>
      <c r="E52" s="190"/>
      <c r="F52" s="190"/>
      <c r="G52" s="190"/>
      <c r="H52" s="190"/>
      <c r="I52" s="190"/>
      <c r="J52" s="190"/>
      <c r="K52" s="190"/>
      <c r="L52" s="190"/>
      <c r="M52" s="190"/>
      <c r="N52" s="190"/>
      <c r="O52" s="190"/>
      <c r="P52" s="190"/>
      <c r="Q52" s="190"/>
      <c r="R52" s="190"/>
      <c r="S52" s="190"/>
      <c r="T52" s="190"/>
      <c r="U52" s="190"/>
      <c r="V52" s="190"/>
      <c r="W52" s="190"/>
      <c r="X52" s="190"/>
      <c r="Y52" s="190"/>
      <c r="Z52" s="190"/>
      <c r="AA52" s="190"/>
      <c r="AB52" s="190"/>
      <c r="AC52" s="190"/>
      <c r="AD52" s="190"/>
      <c r="AE52" s="190"/>
      <c r="AF52" s="190"/>
      <c r="AG52" s="190"/>
      <c r="AH52" s="191"/>
    </row>
    <row r="53" spans="2:34">
      <c r="C53" s="192"/>
      <c r="D53" s="192"/>
      <c r="E53" s="192"/>
      <c r="F53" s="192"/>
      <c r="G53" s="192"/>
      <c r="H53" s="192"/>
      <c r="I53" s="192"/>
    </row>
  </sheetData>
  <autoFilter ref="B9:AH9" xr:uid="{00000000-0009-0000-0000-000001000000}"/>
  <mergeCells count="2">
    <mergeCell ref="C52:AH52"/>
    <mergeCell ref="C53:I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B1:O67"/>
  <sheetViews>
    <sheetView zoomScale="85" zoomScaleNormal="85" workbookViewId="0">
      <pane xSplit="7" ySplit="13" topLeftCell="H18" activePane="bottomRight" state="frozen"/>
      <selection pane="bottomRight" activeCell="C21" sqref="C21"/>
      <selection pane="bottomLeft" activeCell="C21" sqref="C21"/>
      <selection pane="topRight"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220</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226</v>
      </c>
      <c r="D3" s="120" t="s">
        <v>227</v>
      </c>
      <c r="E3" s="121"/>
      <c r="F3" s="121"/>
      <c r="G3" s="121"/>
      <c r="H3" s="121"/>
    </row>
    <row r="4" spans="2:15" ht="15" customHeight="1">
      <c r="B4" s="119" t="s">
        <v>204</v>
      </c>
      <c r="C4" s="42" t="s">
        <v>228</v>
      </c>
      <c r="D4" s="121"/>
      <c r="E4" s="121"/>
      <c r="F4" s="121"/>
      <c r="G4" s="121"/>
      <c r="H4" s="121"/>
    </row>
    <row r="5" spans="2:15" ht="15.95" customHeight="1">
      <c r="B5" s="119" t="s">
        <v>229</v>
      </c>
      <c r="C5" s="42" t="s">
        <v>28</v>
      </c>
      <c r="D5" s="121"/>
      <c r="E5" s="121"/>
      <c r="F5" s="121"/>
      <c r="G5" s="121"/>
      <c r="H5" s="121"/>
    </row>
    <row r="6" spans="2:15" ht="15.95" customHeight="1">
      <c r="B6" s="119" t="s">
        <v>230</v>
      </c>
      <c r="C6" s="42" t="s">
        <v>167</v>
      </c>
      <c r="D6" s="121"/>
      <c r="E6" s="121"/>
      <c r="F6" s="121"/>
      <c r="G6" s="121"/>
      <c r="H6" s="121"/>
    </row>
    <row r="7" spans="2:15" ht="15.95" customHeight="1">
      <c r="B7" s="119" t="s">
        <v>231</v>
      </c>
      <c r="C7" s="42" t="s">
        <v>232</v>
      </c>
      <c r="D7" s="121"/>
      <c r="E7" s="121"/>
      <c r="F7" s="121"/>
      <c r="G7" s="121"/>
      <c r="H7" s="121"/>
    </row>
    <row r="8" spans="2:15" ht="15.95" customHeight="1">
      <c r="B8" s="119" t="s">
        <v>233</v>
      </c>
      <c r="C8" s="42" t="s">
        <v>234</v>
      </c>
      <c r="D8" s="121"/>
      <c r="E8" s="121"/>
      <c r="F8" s="121"/>
      <c r="G8" s="121"/>
      <c r="H8" s="121"/>
    </row>
    <row r="9" spans="2:15" ht="15.95" customHeight="1">
      <c r="B9" s="119" t="s">
        <v>235</v>
      </c>
      <c r="C9" s="42"/>
      <c r="D9" s="121"/>
      <c r="E9" s="121"/>
      <c r="F9" s="121"/>
      <c r="G9" s="121"/>
      <c r="H9" s="121"/>
    </row>
    <row r="10" spans="2:15" ht="15.95" customHeight="1">
      <c r="B10" s="119" t="s">
        <v>206</v>
      </c>
      <c r="C10" s="42" t="s">
        <v>9</v>
      </c>
      <c r="D10" s="121"/>
      <c r="E10" s="121"/>
      <c r="F10" s="121"/>
      <c r="G10" s="121"/>
      <c r="H10" s="121"/>
    </row>
    <row r="11" spans="2:15" ht="15.95" customHeight="1">
      <c r="B11" s="119" t="s">
        <v>208</v>
      </c>
      <c r="C11" s="42" t="s">
        <v>9</v>
      </c>
      <c r="D11" s="121"/>
      <c r="E11" s="121"/>
      <c r="F11" s="121"/>
      <c r="G11" s="121"/>
      <c r="H11" s="121"/>
    </row>
    <row r="12" spans="2:15" ht="15.95" customHeight="1">
      <c r="B12" s="119" t="s">
        <v>236</v>
      </c>
      <c r="C12" s="122">
        <v>160000000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c r="I16" t="s">
        <v>22</v>
      </c>
    </row>
    <row r="17" spans="2:9" ht="54.95" customHeight="1">
      <c r="B17" s="105" t="s">
        <v>57</v>
      </c>
      <c r="C17" s="119" t="s">
        <v>239</v>
      </c>
      <c r="D17" s="125" t="s">
        <v>240</v>
      </c>
      <c r="E17" s="126">
        <v>7</v>
      </c>
      <c r="F17" s="127" t="s">
        <v>241</v>
      </c>
      <c r="G17" s="128" t="s">
        <v>242</v>
      </c>
      <c r="H17" s="129" t="s">
        <v>243</v>
      </c>
      <c r="I17" s="4" t="s">
        <v>244</v>
      </c>
    </row>
    <row r="18" spans="2:9" ht="54.95" customHeight="1">
      <c r="B18" s="130" t="s">
        <v>245</v>
      </c>
      <c r="C18" s="131" t="s">
        <v>246</v>
      </c>
      <c r="D18" s="1"/>
      <c r="E18" s="1"/>
      <c r="F18" s="1"/>
      <c r="G18" s="1"/>
      <c r="H18" s="2"/>
    </row>
    <row r="19" spans="2:9" ht="54.95" customHeight="1">
      <c r="B19" s="105" t="s">
        <v>61</v>
      </c>
      <c r="C19" s="119" t="s">
        <v>247</v>
      </c>
      <c r="D19" s="125" t="s">
        <v>248</v>
      </c>
      <c r="E19" s="126">
        <v>1</v>
      </c>
      <c r="F19" s="127" t="s">
        <v>249</v>
      </c>
      <c r="G19" s="128" t="s">
        <v>250</v>
      </c>
      <c r="H19" s="129" t="s">
        <v>251</v>
      </c>
    </row>
    <row r="20" spans="2:9" ht="18" customHeight="1">
      <c r="B20" s="105" t="s">
        <v>64</v>
      </c>
      <c r="C20" s="119" t="s">
        <v>252</v>
      </c>
      <c r="D20" s="125" t="s">
        <v>248</v>
      </c>
      <c r="E20" s="126">
        <v>1</v>
      </c>
      <c r="F20" s="127" t="s">
        <v>253</v>
      </c>
      <c r="G20" s="128" t="s">
        <v>254</v>
      </c>
      <c r="H20" s="129" t="s">
        <v>255</v>
      </c>
    </row>
    <row r="21" spans="2:9" ht="15.95" customHeight="1">
      <c r="B21" s="105" t="s">
        <v>67</v>
      </c>
      <c r="C21" s="119" t="s">
        <v>256</v>
      </c>
      <c r="D21" s="125" t="s">
        <v>248</v>
      </c>
      <c r="E21" s="126">
        <v>0</v>
      </c>
      <c r="F21" s="127" t="s">
        <v>257</v>
      </c>
      <c r="G21" s="128" t="s">
        <v>258</v>
      </c>
      <c r="H21" s="129" t="s">
        <v>259</v>
      </c>
    </row>
    <row r="22" spans="2:9" ht="54.95" customHeight="1">
      <c r="B22" s="102" t="s">
        <v>260</v>
      </c>
      <c r="C22" s="103"/>
      <c r="D22" s="103"/>
      <c r="E22" s="103"/>
      <c r="F22" s="103"/>
      <c r="G22" s="103"/>
      <c r="H22" s="103"/>
    </row>
    <row r="23" spans="2:9" ht="54.95" customHeight="1">
      <c r="B23" s="132" t="s">
        <v>51</v>
      </c>
      <c r="C23" s="133" t="s">
        <v>52</v>
      </c>
      <c r="D23" s="132" t="s">
        <v>261</v>
      </c>
      <c r="E23" s="134" t="s">
        <v>262</v>
      </c>
      <c r="F23" s="135" t="s">
        <v>263</v>
      </c>
      <c r="G23" s="136" t="s">
        <v>264</v>
      </c>
      <c r="H23" s="133" t="s">
        <v>265</v>
      </c>
    </row>
    <row r="24" spans="2:9" ht="54.95" customHeight="1">
      <c r="B24" s="105" t="s">
        <v>71</v>
      </c>
      <c r="C24" s="42" t="s">
        <v>266</v>
      </c>
      <c r="D24" s="137" t="s">
        <v>267</v>
      </c>
      <c r="E24" s="126">
        <v>3</v>
      </c>
      <c r="F24" s="127" t="s">
        <v>268</v>
      </c>
      <c r="G24" s="128" t="s">
        <v>269</v>
      </c>
      <c r="H24" s="129" t="s">
        <v>270</v>
      </c>
    </row>
    <row r="25" spans="2:9" ht="54.95" customHeight="1">
      <c r="B25" s="105" t="s">
        <v>74</v>
      </c>
      <c r="C25" s="42" t="s">
        <v>271</v>
      </c>
      <c r="D25" s="137" t="s">
        <v>267</v>
      </c>
      <c r="E25" s="126">
        <v>2</v>
      </c>
      <c r="F25" s="127" t="s">
        <v>272</v>
      </c>
      <c r="G25" s="128" t="s">
        <v>273</v>
      </c>
      <c r="H25" s="129" t="s">
        <v>274</v>
      </c>
    </row>
    <row r="26" spans="2:9" ht="54.95" customHeight="1">
      <c r="B26" s="105" t="s">
        <v>76</v>
      </c>
      <c r="C26" s="42" t="s">
        <v>275</v>
      </c>
      <c r="D26" s="137" t="s">
        <v>267</v>
      </c>
      <c r="E26" s="126">
        <v>2</v>
      </c>
      <c r="F26" s="127" t="s">
        <v>276</v>
      </c>
      <c r="G26" s="128" t="s">
        <v>277</v>
      </c>
      <c r="H26" s="129" t="s">
        <v>278</v>
      </c>
    </row>
    <row r="27" spans="2:9" ht="54.95" customHeight="1">
      <c r="B27" s="105" t="s">
        <v>78</v>
      </c>
      <c r="C27" s="42" t="s">
        <v>279</v>
      </c>
      <c r="D27" s="137" t="s">
        <v>267</v>
      </c>
      <c r="E27" s="126">
        <v>2</v>
      </c>
      <c r="F27" s="127" t="s">
        <v>280</v>
      </c>
      <c r="G27" s="128" t="s">
        <v>281</v>
      </c>
      <c r="H27" s="129" t="s">
        <v>282</v>
      </c>
    </row>
    <row r="28" spans="2:9" ht="54.95" customHeight="1">
      <c r="B28" s="105" t="s">
        <v>80</v>
      </c>
      <c r="C28" s="42" t="s">
        <v>283</v>
      </c>
      <c r="D28" s="137" t="s">
        <v>267</v>
      </c>
      <c r="E28" s="126">
        <v>2</v>
      </c>
      <c r="F28" s="127" t="s">
        <v>284</v>
      </c>
      <c r="G28" s="128" t="s">
        <v>285</v>
      </c>
      <c r="H28" s="129" t="s">
        <v>286</v>
      </c>
    </row>
    <row r="29" spans="2:9" ht="54.95" customHeight="1">
      <c r="B29" s="105" t="s">
        <v>82</v>
      </c>
      <c r="C29" s="42" t="s">
        <v>287</v>
      </c>
      <c r="D29" s="137" t="s">
        <v>267</v>
      </c>
      <c r="E29" s="126">
        <v>4</v>
      </c>
      <c r="F29" s="127" t="s">
        <v>288</v>
      </c>
      <c r="G29" s="128" t="s">
        <v>289</v>
      </c>
      <c r="H29" s="129" t="s">
        <v>290</v>
      </c>
    </row>
    <row r="30" spans="2:9" ht="54.95" customHeight="1">
      <c r="B30" s="105" t="s">
        <v>84</v>
      </c>
      <c r="C30" s="42" t="s">
        <v>291</v>
      </c>
      <c r="D30" s="137" t="s">
        <v>267</v>
      </c>
      <c r="E30" s="126">
        <v>3</v>
      </c>
      <c r="F30" s="127" t="s">
        <v>292</v>
      </c>
      <c r="G30" s="128" t="s">
        <v>293</v>
      </c>
      <c r="H30" s="129" t="s">
        <v>294</v>
      </c>
    </row>
    <row r="31" spans="2:9" ht="18" customHeight="1">
      <c r="B31" s="105" t="s">
        <v>86</v>
      </c>
      <c r="C31" s="42" t="s">
        <v>295</v>
      </c>
      <c r="D31" s="1"/>
      <c r="E31" s="1"/>
      <c r="F31" s="1"/>
      <c r="G31" s="1"/>
      <c r="H31" s="2"/>
    </row>
    <row r="32" spans="2:9" ht="30" customHeight="1">
      <c r="B32" s="105" t="s">
        <v>89</v>
      </c>
      <c r="C32" s="42" t="s">
        <v>296</v>
      </c>
      <c r="D32" s="138" t="s">
        <v>240</v>
      </c>
      <c r="E32" s="126">
        <v>6</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0</v>
      </c>
      <c r="F35" s="144" t="s">
        <v>303</v>
      </c>
      <c r="G35" s="145" t="s">
        <v>304</v>
      </c>
      <c r="H35" s="121"/>
    </row>
    <row r="36" spans="2:8" ht="20.100000000000001" customHeight="1">
      <c r="B36" s="130" t="s">
        <v>245</v>
      </c>
      <c r="C36" s="131" t="s">
        <v>305</v>
      </c>
      <c r="D36" s="1"/>
      <c r="E36" s="1"/>
      <c r="F36" s="1"/>
      <c r="G36" s="1"/>
      <c r="H36" s="2"/>
    </row>
    <row r="37" spans="2:8" ht="20.100000000000001" customHeight="1">
      <c r="B37" s="143" t="s">
        <v>96</v>
      </c>
      <c r="C37" s="42" t="s">
        <v>97</v>
      </c>
      <c r="D37" s="137" t="s">
        <v>248</v>
      </c>
      <c r="E37" s="126">
        <v>0</v>
      </c>
      <c r="F37" s="144" t="s">
        <v>303</v>
      </c>
      <c r="G37" s="145" t="s">
        <v>304</v>
      </c>
      <c r="H37" s="121"/>
    </row>
    <row r="38" spans="2:8" ht="20.100000000000001" customHeight="1">
      <c r="B38" s="143" t="s">
        <v>99</v>
      </c>
      <c r="C38" s="42" t="s">
        <v>306</v>
      </c>
      <c r="D38" s="137" t="s">
        <v>248</v>
      </c>
      <c r="E38" s="126">
        <v>0</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t="s">
        <v>309</v>
      </c>
    </row>
    <row r="46" spans="2:8" ht="20.100000000000001" customHeight="1">
      <c r="B46" s="143" t="s">
        <v>118</v>
      </c>
      <c r="C46" s="42" t="s">
        <v>119</v>
      </c>
      <c r="D46" s="137" t="s">
        <v>248</v>
      </c>
      <c r="E46" s="126">
        <v>0</v>
      </c>
      <c r="F46" s="144" t="s">
        <v>303</v>
      </c>
      <c r="G46" s="145" t="s">
        <v>304</v>
      </c>
      <c r="H46" s="121"/>
    </row>
    <row r="47" spans="2:8" ht="18" customHeight="1">
      <c r="B47" s="143" t="s">
        <v>121</v>
      </c>
      <c r="C47" s="42" t="s">
        <v>122</v>
      </c>
      <c r="D47" s="84" t="s">
        <v>248</v>
      </c>
      <c r="E47" s="126">
        <v>0</v>
      </c>
      <c r="F47" s="127" t="s">
        <v>303</v>
      </c>
      <c r="G47" s="128" t="s">
        <v>304</v>
      </c>
      <c r="H47" s="129" t="s">
        <v>302</v>
      </c>
    </row>
    <row r="48" spans="2:8" ht="30" customHeight="1">
      <c r="B48" s="143" t="s">
        <v>124</v>
      </c>
      <c r="C48" s="42" t="s">
        <v>125</v>
      </c>
      <c r="D48" s="84" t="s">
        <v>248</v>
      </c>
      <c r="E48" s="126">
        <v>0</v>
      </c>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31" t="s">
        <v>312</v>
      </c>
      <c r="D52" s="1"/>
      <c r="E52" s="1"/>
      <c r="F52" s="1"/>
      <c r="G52" s="1"/>
      <c r="H52" s="2"/>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0</v>
      </c>
      <c r="F54" s="144" t="s">
        <v>303</v>
      </c>
      <c r="G54" s="145" t="s">
        <v>304</v>
      </c>
      <c r="H54" s="121"/>
    </row>
    <row r="55" spans="2:8" ht="18" customHeight="1">
      <c r="B55" s="143" t="s">
        <v>137</v>
      </c>
      <c r="C55" s="42" t="s">
        <v>314</v>
      </c>
      <c r="D55" s="137" t="s">
        <v>248</v>
      </c>
      <c r="E55" s="126">
        <v>0</v>
      </c>
      <c r="F55" s="144" t="s">
        <v>303</v>
      </c>
      <c r="G55" s="145" t="s">
        <v>304</v>
      </c>
      <c r="H55" s="2"/>
    </row>
    <row r="56" spans="2:8" ht="30" customHeight="1">
      <c r="B56" s="143" t="s">
        <v>140</v>
      </c>
      <c r="C56" s="42" t="s">
        <v>315</v>
      </c>
      <c r="D56" s="137" t="s">
        <v>248</v>
      </c>
      <c r="E56" s="126">
        <v>1</v>
      </c>
      <c r="F56" s="144" t="s">
        <v>303</v>
      </c>
      <c r="G56" s="145" t="s">
        <v>304</v>
      </c>
      <c r="H56" s="2" t="s">
        <v>316</v>
      </c>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37" t="s">
        <v>248</v>
      </c>
      <c r="E63" s="126">
        <v>0</v>
      </c>
      <c r="F63" s="144" t="s">
        <v>303</v>
      </c>
      <c r="G63" s="145" t="s">
        <v>304</v>
      </c>
      <c r="H63" s="2"/>
    </row>
    <row r="64" spans="2:8" ht="30" customHeight="1">
      <c r="B64" s="143" t="s">
        <v>159</v>
      </c>
      <c r="C64" s="42" t="s">
        <v>160</v>
      </c>
      <c r="D64" s="137" t="s">
        <v>248</v>
      </c>
      <c r="E64" s="126">
        <v>0</v>
      </c>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6">
    <mergeCell ref="C67:H67"/>
    <mergeCell ref="C16:H16"/>
    <mergeCell ref="C50:H50"/>
    <mergeCell ref="N12:O12"/>
    <mergeCell ref="C34:H34"/>
    <mergeCell ref="H12:M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O67"/>
  <sheetViews>
    <sheetView zoomScale="85" zoomScaleNormal="85" workbookViewId="0">
      <pane xSplit="7" ySplit="13" topLeftCell="H29" activePane="bottomRight" state="frozen"/>
      <selection pane="bottomRight" activeCell="C21" sqref="C21"/>
      <selection pane="bottomLeft" activeCell="C21" sqref="C21"/>
      <selection pane="topRight"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323</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148" t="s">
        <v>324</v>
      </c>
      <c r="D3" s="121"/>
      <c r="E3" s="121"/>
      <c r="F3" s="121"/>
      <c r="G3" s="121"/>
      <c r="H3" s="121"/>
    </row>
    <row r="4" spans="2:15" ht="15.95" customHeight="1">
      <c r="B4" s="119" t="s">
        <v>204</v>
      </c>
      <c r="C4" s="148" t="s">
        <v>325</v>
      </c>
      <c r="D4" s="121"/>
      <c r="E4" s="121"/>
      <c r="F4" s="121"/>
      <c r="G4" s="121"/>
      <c r="H4" s="121"/>
    </row>
    <row r="5" spans="2:15" ht="15.95" customHeight="1">
      <c r="B5" s="119" t="s">
        <v>229</v>
      </c>
      <c r="C5" s="42" t="s">
        <v>326</v>
      </c>
      <c r="D5" s="121"/>
      <c r="E5" s="121"/>
      <c r="F5" s="121"/>
      <c r="G5" s="121"/>
      <c r="H5" s="121"/>
    </row>
    <row r="6" spans="2:15" ht="15.95" customHeight="1">
      <c r="B6" s="119" t="s">
        <v>230</v>
      </c>
      <c r="C6" s="42" t="s">
        <v>168</v>
      </c>
      <c r="D6" s="121"/>
      <c r="E6" s="121"/>
      <c r="F6" s="121"/>
      <c r="G6" s="121"/>
      <c r="H6" s="121"/>
    </row>
    <row r="7" spans="2:15" ht="15.95" customHeight="1">
      <c r="B7" s="119" t="s">
        <v>231</v>
      </c>
      <c r="C7" s="42" t="s">
        <v>232</v>
      </c>
      <c r="D7" s="121"/>
      <c r="E7" s="121"/>
      <c r="F7" s="121"/>
      <c r="G7" s="121"/>
      <c r="H7" s="121"/>
    </row>
    <row r="8" spans="2:15" ht="15.95" customHeight="1">
      <c r="B8" s="119" t="s">
        <v>233</v>
      </c>
      <c r="C8" s="42" t="s">
        <v>327</v>
      </c>
      <c r="D8" s="121"/>
      <c r="E8" s="121"/>
      <c r="F8" s="121"/>
      <c r="G8" s="121"/>
      <c r="H8" s="121"/>
    </row>
    <row r="9" spans="2:15" ht="15.95" customHeight="1">
      <c r="B9" s="119" t="s">
        <v>235</v>
      </c>
      <c r="C9" s="42" t="s">
        <v>327</v>
      </c>
      <c r="D9" s="121"/>
      <c r="E9" s="121"/>
      <c r="F9" s="121"/>
      <c r="G9" s="121"/>
      <c r="H9" s="121"/>
    </row>
    <row r="10" spans="2:15" ht="15.95" customHeight="1">
      <c r="B10" s="119" t="s">
        <v>206</v>
      </c>
      <c r="C10" s="42" t="s">
        <v>328</v>
      </c>
      <c r="D10" s="121"/>
      <c r="E10" s="121"/>
      <c r="F10" s="121"/>
      <c r="G10" s="121"/>
      <c r="H10" s="121"/>
    </row>
    <row r="11" spans="2:15" ht="15.95" customHeight="1">
      <c r="B11" s="119" t="s">
        <v>208</v>
      </c>
      <c r="C11" s="42" t="s">
        <v>9</v>
      </c>
      <c r="D11" s="121"/>
      <c r="E11" s="121"/>
      <c r="F11" s="121"/>
      <c r="G11" s="121"/>
      <c r="H11" s="121"/>
    </row>
    <row r="12" spans="2:15" ht="15.95" customHeight="1">
      <c r="B12" s="119" t="s">
        <v>236</v>
      </c>
      <c r="C12" s="122">
        <v>2000000000</v>
      </c>
      <c r="D12" s="121"/>
      <c r="E12" s="121"/>
      <c r="F12" s="121"/>
      <c r="G12" s="121"/>
      <c r="H12" s="162"/>
      <c r="I12" s="190"/>
      <c r="J12" s="190"/>
      <c r="K12" s="190"/>
      <c r="L12" s="190"/>
      <c r="M12" s="191"/>
      <c r="N12" s="192"/>
      <c r="O12" s="192"/>
    </row>
    <row r="13" spans="2:15" ht="15.95" customHeight="1">
      <c r="B13" s="119" t="s">
        <v>166</v>
      </c>
      <c r="C13" s="42" t="s">
        <v>329</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03"/>
      <c r="D16" s="103"/>
      <c r="E16" s="103"/>
      <c r="F16" s="103"/>
      <c r="G16" s="103"/>
      <c r="H16" s="103"/>
    </row>
    <row r="17" spans="2:8" ht="54.95" customHeight="1">
      <c r="B17" s="105" t="s">
        <v>57</v>
      </c>
      <c r="C17" s="119" t="s">
        <v>239</v>
      </c>
      <c r="D17" s="125" t="s">
        <v>240</v>
      </c>
      <c r="E17" s="126">
        <v>2</v>
      </c>
      <c r="F17" s="127" t="s">
        <v>241</v>
      </c>
      <c r="G17" s="128" t="s">
        <v>242</v>
      </c>
      <c r="H17" s="129" t="s">
        <v>243</v>
      </c>
    </row>
    <row r="18" spans="2:8" ht="54.95" customHeight="1">
      <c r="B18" s="130" t="s">
        <v>245</v>
      </c>
      <c r="C18" s="164" t="s">
        <v>330</v>
      </c>
      <c r="D18" s="190"/>
      <c r="E18" s="190"/>
      <c r="F18" s="190"/>
      <c r="G18" s="190"/>
      <c r="H18" s="191"/>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1</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49"/>
      <c r="F24" s="127" t="s">
        <v>268</v>
      </c>
      <c r="G24" s="128" t="s">
        <v>269</v>
      </c>
      <c r="H24" s="129" t="s">
        <v>270</v>
      </c>
    </row>
    <row r="25" spans="2:8" ht="54.95" customHeight="1">
      <c r="B25" s="105" t="s">
        <v>74</v>
      </c>
      <c r="C25" s="42" t="s">
        <v>271</v>
      </c>
      <c r="D25" s="137" t="s">
        <v>267</v>
      </c>
      <c r="E25" s="149"/>
      <c r="F25" s="127" t="s">
        <v>272</v>
      </c>
      <c r="G25" s="128" t="s">
        <v>273</v>
      </c>
      <c r="H25" s="129" t="s">
        <v>274</v>
      </c>
    </row>
    <row r="26" spans="2:8" ht="54.95" customHeight="1">
      <c r="B26" s="105" t="s">
        <v>76</v>
      </c>
      <c r="C26" s="42" t="s">
        <v>275</v>
      </c>
      <c r="D26" s="137" t="s">
        <v>267</v>
      </c>
      <c r="E26" s="126">
        <v>1</v>
      </c>
      <c r="F26" s="127" t="s">
        <v>276</v>
      </c>
      <c r="G26" s="128" t="s">
        <v>277</v>
      </c>
      <c r="H26" s="129" t="s">
        <v>278</v>
      </c>
    </row>
    <row r="27" spans="2:8" ht="54.95" customHeight="1">
      <c r="B27" s="105" t="s">
        <v>78</v>
      </c>
      <c r="C27" s="42" t="s">
        <v>279</v>
      </c>
      <c r="D27" s="137" t="s">
        <v>267</v>
      </c>
      <c r="E27" s="126">
        <v>1</v>
      </c>
      <c r="F27" s="127" t="s">
        <v>280</v>
      </c>
      <c r="G27" s="128" t="s">
        <v>281</v>
      </c>
      <c r="H27" s="129" t="s">
        <v>282</v>
      </c>
    </row>
    <row r="28" spans="2:8" ht="54.95" customHeight="1">
      <c r="B28" s="105" t="s">
        <v>80</v>
      </c>
      <c r="C28" s="42" t="s">
        <v>283</v>
      </c>
      <c r="D28" s="137" t="s">
        <v>267</v>
      </c>
      <c r="E28" s="126">
        <v>1</v>
      </c>
      <c r="F28" s="127" t="s">
        <v>284</v>
      </c>
      <c r="G28" s="128" t="s">
        <v>285</v>
      </c>
      <c r="H28" s="129" t="s">
        <v>286</v>
      </c>
    </row>
    <row r="29" spans="2:8" ht="54.95" customHeight="1">
      <c r="B29" s="105" t="s">
        <v>82</v>
      </c>
      <c r="C29" s="42" t="s">
        <v>287</v>
      </c>
      <c r="D29" s="137" t="s">
        <v>267</v>
      </c>
      <c r="E29" s="149"/>
      <c r="F29" s="127" t="s">
        <v>288</v>
      </c>
      <c r="G29" s="128" t="s">
        <v>289</v>
      </c>
      <c r="H29" s="129" t="s">
        <v>290</v>
      </c>
    </row>
    <row r="30" spans="2:8" ht="54.95" customHeight="1">
      <c r="B30" s="105" t="s">
        <v>84</v>
      </c>
      <c r="C30" s="42" t="s">
        <v>291</v>
      </c>
      <c r="D30" s="137" t="s">
        <v>267</v>
      </c>
      <c r="E30" s="126">
        <v>5</v>
      </c>
      <c r="F30" s="127" t="s">
        <v>292</v>
      </c>
      <c r="G30" s="128" t="s">
        <v>293</v>
      </c>
      <c r="H30" s="129" t="s">
        <v>294</v>
      </c>
    </row>
    <row r="31" spans="2:8" ht="18" customHeight="1">
      <c r="B31" s="105" t="s">
        <v>86</v>
      </c>
      <c r="C31" s="42" t="s">
        <v>295</v>
      </c>
      <c r="D31" s="137" t="s">
        <v>267</v>
      </c>
      <c r="E31" s="149"/>
      <c r="F31" s="127" t="s">
        <v>331</v>
      </c>
      <c r="G31" s="128" t="s">
        <v>332</v>
      </c>
      <c r="H31" s="129" t="s">
        <v>333</v>
      </c>
    </row>
    <row r="32" spans="2:8" ht="30" customHeight="1">
      <c r="B32" s="105" t="s">
        <v>89</v>
      </c>
      <c r="C32" s="42" t="s">
        <v>296</v>
      </c>
      <c r="D32" s="138" t="s">
        <v>240</v>
      </c>
      <c r="E32" s="126">
        <v>2</v>
      </c>
      <c r="F32" s="139" t="s">
        <v>297</v>
      </c>
      <c r="G32" s="128" t="s">
        <v>298</v>
      </c>
      <c r="H32" s="140" t="s">
        <v>299</v>
      </c>
    </row>
    <row r="33" spans="2:8" ht="20.100000000000001" customHeight="1">
      <c r="B33" s="102" t="s">
        <v>300</v>
      </c>
      <c r="C33" s="103"/>
      <c r="D33" s="103"/>
      <c r="E33" s="103"/>
      <c r="F33" s="103"/>
      <c r="G33" s="103"/>
      <c r="H33" s="103"/>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0</v>
      </c>
      <c r="F35" s="144" t="s">
        <v>303</v>
      </c>
      <c r="G35" s="145" t="s">
        <v>304</v>
      </c>
      <c r="H35" s="121"/>
    </row>
    <row r="36" spans="2:8" ht="20.100000000000001" customHeight="1">
      <c r="B36" s="130" t="s">
        <v>245</v>
      </c>
      <c r="C36" s="163" t="s">
        <v>334</v>
      </c>
      <c r="D36" s="190"/>
      <c r="E36" s="190"/>
      <c r="F36" s="190"/>
      <c r="G36" s="190"/>
      <c r="H36" s="191"/>
    </row>
    <row r="37" spans="2:8" ht="20.100000000000001" customHeight="1">
      <c r="B37" s="143" t="s">
        <v>96</v>
      </c>
      <c r="C37" s="42" t="s">
        <v>97</v>
      </c>
      <c r="D37" s="137" t="s">
        <v>248</v>
      </c>
      <c r="E37" s="126">
        <v>0</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0</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0</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61" t="s">
        <v>302</v>
      </c>
      <c r="D44" s="190"/>
      <c r="E44" s="190"/>
      <c r="F44" s="190"/>
      <c r="G44" s="190"/>
      <c r="H44" s="191"/>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0</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03"/>
      <c r="E49" s="103"/>
      <c r="F49" s="103"/>
      <c r="G49" s="103"/>
      <c r="H49" s="103"/>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63" t="s">
        <v>334</v>
      </c>
      <c r="D52" s="190"/>
      <c r="E52" s="190"/>
      <c r="F52" s="190"/>
      <c r="G52" s="190"/>
      <c r="H52" s="191"/>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0</v>
      </c>
      <c r="F54" s="144" t="s">
        <v>303</v>
      </c>
      <c r="G54" s="145" t="s">
        <v>304</v>
      </c>
      <c r="H54" s="121"/>
    </row>
    <row r="55" spans="2:8" ht="18" customHeight="1">
      <c r="B55" s="143" t="s">
        <v>137</v>
      </c>
      <c r="C55" s="42" t="s">
        <v>314</v>
      </c>
      <c r="D55" s="137" t="s">
        <v>248</v>
      </c>
      <c r="E55" s="126">
        <v>0</v>
      </c>
      <c r="F55" s="144" t="s">
        <v>303</v>
      </c>
      <c r="G55" s="145" t="s">
        <v>304</v>
      </c>
      <c r="H55" s="121"/>
    </row>
    <row r="56" spans="2:8" ht="30" customHeight="1">
      <c r="B56" s="143" t="s">
        <v>140</v>
      </c>
      <c r="C56" s="42" t="s">
        <v>315</v>
      </c>
      <c r="D56" s="137" t="s">
        <v>248</v>
      </c>
      <c r="E56" s="126">
        <v>1</v>
      </c>
      <c r="F56" s="144" t="s">
        <v>303</v>
      </c>
      <c r="G56" s="145" t="s">
        <v>304</v>
      </c>
      <c r="H56" s="121"/>
    </row>
    <row r="57" spans="2:8" ht="20.100000000000001" customHeight="1">
      <c r="B57" s="102" t="s">
        <v>317</v>
      </c>
      <c r="C57" s="103"/>
      <c r="D57" s="103"/>
      <c r="E57" s="103"/>
      <c r="F57" s="103"/>
      <c r="G57" s="103"/>
      <c r="H57" s="103"/>
    </row>
    <row r="58" spans="2:8" ht="20.100000000000001" customHeight="1">
      <c r="B58" s="141" t="s">
        <v>301</v>
      </c>
      <c r="C58" s="161" t="s">
        <v>302</v>
      </c>
      <c r="D58" s="190"/>
      <c r="E58" s="190"/>
      <c r="F58" s="190"/>
      <c r="G58" s="190"/>
      <c r="H58" s="191"/>
    </row>
    <row r="59" spans="2:8" ht="20.100000000000001" customHeight="1">
      <c r="B59" s="143" t="s">
        <v>144</v>
      </c>
      <c r="C59" s="42" t="s">
        <v>318</v>
      </c>
      <c r="D59" s="137" t="s">
        <v>248</v>
      </c>
      <c r="E59" s="126">
        <v>0</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0</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37" t="s">
        <v>248</v>
      </c>
      <c r="E63" s="126">
        <v>0</v>
      </c>
      <c r="F63" s="144" t="s">
        <v>303</v>
      </c>
      <c r="G63" s="145" t="s">
        <v>304</v>
      </c>
      <c r="H63" s="121"/>
    </row>
    <row r="64" spans="2:8" ht="30" customHeight="1">
      <c r="B64" s="143" t="s">
        <v>159</v>
      </c>
      <c r="C64" s="42" t="s">
        <v>160</v>
      </c>
      <c r="D64" s="137" t="s">
        <v>248</v>
      </c>
      <c r="E64" s="126">
        <v>0</v>
      </c>
      <c r="F64" s="144" t="s">
        <v>303</v>
      </c>
      <c r="G64" s="145" t="s">
        <v>304</v>
      </c>
      <c r="H64" s="12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10">
    <mergeCell ref="C67:H67"/>
    <mergeCell ref="C58:H58"/>
    <mergeCell ref="C50:H50"/>
    <mergeCell ref="N12:O12"/>
    <mergeCell ref="C44:H44"/>
    <mergeCell ref="C36:H36"/>
    <mergeCell ref="C52:H52"/>
    <mergeCell ref="C18:H18"/>
    <mergeCell ref="C34:H34"/>
    <mergeCell ref="H12:M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B1:O67"/>
  <sheetViews>
    <sheetView zoomScale="84" zoomScaleNormal="115" workbookViewId="0">
      <pane xSplit="7" ySplit="13" topLeftCell="H30" activePane="bottomRight" state="frozen"/>
      <selection pane="bottomRight" activeCell="C21" sqref="C21"/>
      <selection pane="bottomLeft" activeCell="C21" sqref="C21"/>
      <selection pane="topRight"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335</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148" t="s">
        <v>336</v>
      </c>
      <c r="D3" s="121"/>
      <c r="E3" s="121"/>
      <c r="F3" s="121"/>
      <c r="G3" s="121"/>
      <c r="H3" s="121"/>
    </row>
    <row r="4" spans="2:15" ht="15.95" customHeight="1">
      <c r="B4" s="119" t="s">
        <v>204</v>
      </c>
      <c r="C4" s="42" t="s">
        <v>337</v>
      </c>
      <c r="D4" s="121"/>
      <c r="E4" s="121"/>
      <c r="F4" s="121"/>
      <c r="G4" s="121"/>
      <c r="H4" s="121"/>
    </row>
    <row r="5" spans="2:15" ht="15.95" customHeight="1">
      <c r="B5" s="119" t="s">
        <v>229</v>
      </c>
      <c r="C5" s="42" t="s">
        <v>35</v>
      </c>
      <c r="D5" s="121"/>
      <c r="E5" s="121"/>
      <c r="F5" s="121"/>
      <c r="G5" s="121"/>
      <c r="H5" s="121"/>
    </row>
    <row r="6" spans="2:15" ht="15.95" customHeight="1">
      <c r="B6" s="119" t="s">
        <v>230</v>
      </c>
      <c r="C6" s="42" t="s">
        <v>169</v>
      </c>
      <c r="D6" s="121"/>
      <c r="E6" s="121"/>
      <c r="F6" s="121"/>
      <c r="G6" s="121"/>
      <c r="H6" s="121"/>
    </row>
    <row r="7" spans="2:15" ht="15.95" customHeight="1">
      <c r="B7" s="119" t="s">
        <v>231</v>
      </c>
      <c r="C7" s="151">
        <v>46239</v>
      </c>
      <c r="D7" s="121"/>
      <c r="E7" s="121"/>
      <c r="F7" s="121"/>
      <c r="G7" s="121"/>
      <c r="H7" s="121"/>
    </row>
    <row r="8" spans="2:15" ht="15.95" customHeight="1">
      <c r="B8" s="119" t="s">
        <v>233</v>
      </c>
      <c r="C8" s="42" t="s">
        <v>338</v>
      </c>
      <c r="D8" s="121"/>
      <c r="E8" s="121"/>
      <c r="F8" s="121"/>
      <c r="G8" s="121"/>
      <c r="H8" s="121"/>
    </row>
    <row r="9" spans="2:15" ht="15.95" customHeight="1">
      <c r="B9" s="119" t="s">
        <v>235</v>
      </c>
      <c r="C9" s="42"/>
      <c r="D9" s="121"/>
      <c r="E9" s="121"/>
      <c r="F9" s="121"/>
      <c r="G9" s="121"/>
      <c r="H9" s="121"/>
    </row>
    <row r="10" spans="2:15" ht="15.95" customHeight="1">
      <c r="B10" s="119" t="s">
        <v>206</v>
      </c>
      <c r="C10" s="42" t="s">
        <v>339</v>
      </c>
      <c r="D10" s="121"/>
      <c r="E10" s="121"/>
      <c r="F10" s="121"/>
      <c r="G10" s="121"/>
      <c r="H10" s="121"/>
    </row>
    <row r="11" spans="2:15" ht="15.95" customHeight="1">
      <c r="B11" s="119" t="s">
        <v>208</v>
      </c>
      <c r="C11" s="42" t="s">
        <v>12</v>
      </c>
      <c r="D11" s="121"/>
      <c r="E11" s="121"/>
      <c r="F11" s="121"/>
      <c r="G11" s="121"/>
      <c r="H11" s="121"/>
    </row>
    <row r="12" spans="2:15" ht="15.95" customHeight="1">
      <c r="B12" s="119" t="s">
        <v>236</v>
      </c>
      <c r="C12" s="152">
        <v>332000000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03"/>
      <c r="D16" s="103"/>
      <c r="E16" s="103"/>
      <c r="F16" s="103"/>
      <c r="G16" s="103"/>
      <c r="H16" s="103"/>
    </row>
    <row r="17" spans="2:8" ht="54.95" customHeight="1">
      <c r="B17" s="105" t="s">
        <v>57</v>
      </c>
      <c r="C17" s="119" t="s">
        <v>239</v>
      </c>
      <c r="D17" s="125" t="s">
        <v>240</v>
      </c>
      <c r="E17" s="126">
        <v>7</v>
      </c>
      <c r="F17" s="127" t="s">
        <v>241</v>
      </c>
      <c r="G17" s="128" t="s">
        <v>242</v>
      </c>
      <c r="H17" s="129" t="s">
        <v>243</v>
      </c>
    </row>
    <row r="18" spans="2:8" ht="54.95" customHeight="1">
      <c r="B18" s="130" t="s">
        <v>245</v>
      </c>
      <c r="C18" s="164" t="s">
        <v>340</v>
      </c>
      <c r="D18" s="190"/>
      <c r="E18" s="190"/>
      <c r="F18" s="190"/>
      <c r="G18" s="190"/>
      <c r="H18" s="191"/>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1</v>
      </c>
      <c r="F20" s="127" t="s">
        <v>253</v>
      </c>
      <c r="G20" s="128" t="s">
        <v>254</v>
      </c>
      <c r="H20" s="129" t="s">
        <v>255</v>
      </c>
    </row>
    <row r="21" spans="2:8" ht="15.95" customHeight="1">
      <c r="B21" s="105" t="s">
        <v>67</v>
      </c>
      <c r="C21" s="119" t="s">
        <v>256</v>
      </c>
      <c r="D21" s="125" t="s">
        <v>248</v>
      </c>
      <c r="E21" s="126">
        <v>1</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4</v>
      </c>
      <c r="F24" s="127" t="s">
        <v>268</v>
      </c>
      <c r="G24" s="128" t="s">
        <v>269</v>
      </c>
      <c r="H24" s="129" t="s">
        <v>270</v>
      </c>
    </row>
    <row r="25" spans="2:8" ht="54.95" customHeight="1">
      <c r="B25" s="105" t="s">
        <v>74</v>
      </c>
      <c r="C25" s="42" t="s">
        <v>271</v>
      </c>
      <c r="D25" s="137" t="s">
        <v>267</v>
      </c>
      <c r="E25" s="126">
        <v>4</v>
      </c>
      <c r="F25" s="127" t="s">
        <v>272</v>
      </c>
      <c r="G25" s="128" t="s">
        <v>273</v>
      </c>
      <c r="H25" s="129" t="s">
        <v>274</v>
      </c>
    </row>
    <row r="26" spans="2:8" ht="54.95" customHeight="1">
      <c r="B26" s="105" t="s">
        <v>76</v>
      </c>
      <c r="C26" s="42" t="s">
        <v>275</v>
      </c>
      <c r="D26" s="137" t="s">
        <v>267</v>
      </c>
      <c r="E26" s="126">
        <v>4</v>
      </c>
      <c r="F26" s="127" t="s">
        <v>276</v>
      </c>
      <c r="G26" s="128" t="s">
        <v>277</v>
      </c>
      <c r="H26" s="129" t="s">
        <v>278</v>
      </c>
    </row>
    <row r="27" spans="2:8" ht="54.95" customHeight="1">
      <c r="B27" s="105" t="s">
        <v>78</v>
      </c>
      <c r="C27" s="42" t="s">
        <v>279</v>
      </c>
      <c r="D27" s="137" t="s">
        <v>267</v>
      </c>
      <c r="E27" s="126">
        <v>5</v>
      </c>
      <c r="F27" s="127" t="s">
        <v>280</v>
      </c>
      <c r="G27" s="128" t="s">
        <v>281</v>
      </c>
      <c r="H27" s="129" t="s">
        <v>282</v>
      </c>
    </row>
    <row r="28" spans="2:8" ht="54.95" customHeight="1">
      <c r="B28" s="105" t="s">
        <v>80</v>
      </c>
      <c r="C28" s="42" t="s">
        <v>283</v>
      </c>
      <c r="D28" s="137" t="s">
        <v>267</v>
      </c>
      <c r="E28" s="126">
        <v>4</v>
      </c>
      <c r="F28" s="127" t="s">
        <v>284</v>
      </c>
      <c r="G28" s="128" t="s">
        <v>285</v>
      </c>
      <c r="H28" s="129" t="s">
        <v>286</v>
      </c>
    </row>
    <row r="29" spans="2:8" ht="54.95" customHeight="1">
      <c r="B29" s="105" t="s">
        <v>82</v>
      </c>
      <c r="C29" s="42" t="s">
        <v>287</v>
      </c>
      <c r="D29" s="137" t="s">
        <v>267</v>
      </c>
      <c r="E29" s="126">
        <v>3</v>
      </c>
      <c r="F29" s="127" t="s">
        <v>288</v>
      </c>
      <c r="G29" s="128" t="s">
        <v>289</v>
      </c>
      <c r="H29" s="129" t="s">
        <v>290</v>
      </c>
    </row>
    <row r="30" spans="2:8" ht="54.95" customHeight="1">
      <c r="B30" s="105" t="s">
        <v>84</v>
      </c>
      <c r="C30" s="42" t="s">
        <v>291</v>
      </c>
      <c r="D30" s="137" t="s">
        <v>267</v>
      </c>
      <c r="E30" s="126">
        <v>4</v>
      </c>
      <c r="F30" s="127" t="s">
        <v>292</v>
      </c>
      <c r="G30" s="128" t="s">
        <v>293</v>
      </c>
      <c r="H30" s="129" t="s">
        <v>294</v>
      </c>
    </row>
    <row r="31" spans="2:8" ht="18" customHeight="1">
      <c r="B31" s="105" t="s">
        <v>86</v>
      </c>
      <c r="C31" s="42" t="s">
        <v>295</v>
      </c>
      <c r="D31" s="137" t="s">
        <v>267</v>
      </c>
      <c r="E31" s="126">
        <v>3</v>
      </c>
      <c r="F31" s="127" t="s">
        <v>331</v>
      </c>
      <c r="G31" s="128" t="s">
        <v>332</v>
      </c>
      <c r="H31" s="129" t="s">
        <v>333</v>
      </c>
    </row>
    <row r="32" spans="2:8" ht="30" customHeight="1">
      <c r="B32" s="105" t="s">
        <v>89</v>
      </c>
      <c r="C32" s="42" t="s">
        <v>296</v>
      </c>
      <c r="D32" s="138" t="s">
        <v>240</v>
      </c>
      <c r="E32" s="126">
        <v>8</v>
      </c>
      <c r="F32" s="139" t="s">
        <v>297</v>
      </c>
      <c r="G32" s="128" t="s">
        <v>298</v>
      </c>
      <c r="H32" s="140" t="s">
        <v>299</v>
      </c>
    </row>
    <row r="33" spans="2:8" ht="20.100000000000001" customHeight="1">
      <c r="B33" s="102" t="s">
        <v>300</v>
      </c>
      <c r="C33" s="103"/>
      <c r="D33" s="103"/>
      <c r="E33" s="103"/>
      <c r="F33" s="103"/>
      <c r="G33" s="103"/>
      <c r="H33" s="103"/>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64" t="s">
        <v>341</v>
      </c>
      <c r="D36" s="190"/>
      <c r="E36" s="190"/>
      <c r="F36" s="190"/>
      <c r="G36" s="190"/>
      <c r="H36" s="191"/>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0</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0</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61" t="s">
        <v>302</v>
      </c>
      <c r="D44" s="190"/>
      <c r="E44" s="190"/>
      <c r="F44" s="190"/>
      <c r="G44" s="190"/>
      <c r="H44" s="191"/>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1</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03"/>
      <c r="E49" s="103"/>
      <c r="F49" s="103"/>
      <c r="G49" s="103"/>
      <c r="H49" s="103"/>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1</v>
      </c>
      <c r="F51" s="144" t="s">
        <v>303</v>
      </c>
      <c r="G51" s="145" t="s">
        <v>304</v>
      </c>
      <c r="H51" s="121"/>
    </row>
    <row r="52" spans="2:8" ht="20.100000000000001" customHeight="1">
      <c r="B52" s="130" t="s">
        <v>245</v>
      </c>
      <c r="C52" s="164" t="s">
        <v>342</v>
      </c>
      <c r="D52" s="190"/>
      <c r="E52" s="190"/>
      <c r="F52" s="190"/>
      <c r="G52" s="190"/>
      <c r="H52" s="191"/>
    </row>
    <row r="53" spans="2:8" ht="20.100000000000001" customHeight="1">
      <c r="B53" s="143" t="s">
        <v>131</v>
      </c>
      <c r="C53" s="42" t="s">
        <v>313</v>
      </c>
      <c r="D53" s="137" t="s">
        <v>248</v>
      </c>
      <c r="E53" s="126">
        <v>1</v>
      </c>
      <c r="F53" s="144" t="s">
        <v>303</v>
      </c>
      <c r="G53" s="145" t="s">
        <v>304</v>
      </c>
      <c r="H53" s="121"/>
    </row>
    <row r="54" spans="2:8" ht="20.100000000000001" customHeight="1">
      <c r="B54" s="143" t="s">
        <v>134</v>
      </c>
      <c r="C54" s="42" t="s">
        <v>135</v>
      </c>
      <c r="D54" s="137" t="s">
        <v>248</v>
      </c>
      <c r="E54" s="126">
        <v>0</v>
      </c>
      <c r="F54" s="144" t="s">
        <v>303</v>
      </c>
      <c r="G54" s="145" t="s">
        <v>304</v>
      </c>
      <c r="H54" s="121"/>
    </row>
    <row r="55" spans="2:8" ht="18" customHeight="1">
      <c r="B55" s="143" t="s">
        <v>137</v>
      </c>
      <c r="C55" s="42" t="s">
        <v>314</v>
      </c>
      <c r="D55" s="137" t="s">
        <v>248</v>
      </c>
      <c r="E55" s="126">
        <v>1</v>
      </c>
      <c r="F55" s="144" t="s">
        <v>303</v>
      </c>
      <c r="G55" s="145" t="s">
        <v>304</v>
      </c>
      <c r="H55" s="121"/>
    </row>
    <row r="56" spans="2:8" ht="30" customHeight="1">
      <c r="B56" s="143" t="s">
        <v>140</v>
      </c>
      <c r="C56" s="42" t="s">
        <v>315</v>
      </c>
      <c r="D56" s="137" t="s">
        <v>248</v>
      </c>
      <c r="E56" s="126">
        <v>0</v>
      </c>
      <c r="F56" s="144" t="s">
        <v>303</v>
      </c>
      <c r="G56" s="145" t="s">
        <v>304</v>
      </c>
      <c r="H56" s="121"/>
    </row>
    <row r="57" spans="2:8" ht="20.100000000000001" customHeight="1">
      <c r="B57" s="102" t="s">
        <v>317</v>
      </c>
      <c r="C57" s="103"/>
      <c r="D57" s="103"/>
      <c r="E57" s="103"/>
      <c r="F57" s="103"/>
      <c r="G57" s="103"/>
      <c r="H57" s="103"/>
    </row>
    <row r="58" spans="2:8" ht="20.100000000000001" customHeight="1">
      <c r="B58" s="141" t="s">
        <v>301</v>
      </c>
      <c r="C58" s="161" t="s">
        <v>302</v>
      </c>
      <c r="D58" s="190"/>
      <c r="E58" s="190"/>
      <c r="F58" s="190"/>
      <c r="G58" s="190"/>
      <c r="H58" s="191"/>
    </row>
    <row r="59" spans="2:8" ht="20.100000000000001" customHeight="1">
      <c r="B59" s="143" t="s">
        <v>144</v>
      </c>
      <c r="C59" s="42" t="s">
        <v>318</v>
      </c>
      <c r="D59" s="137" t="s">
        <v>248</v>
      </c>
      <c r="E59" s="126">
        <v>0</v>
      </c>
      <c r="F59" s="144" t="s">
        <v>303</v>
      </c>
      <c r="G59" s="145" t="s">
        <v>304</v>
      </c>
      <c r="H59" s="121"/>
    </row>
    <row r="60" spans="2:8" ht="20.100000000000001" customHeight="1">
      <c r="B60" s="143" t="s">
        <v>147</v>
      </c>
      <c r="C60" s="42" t="s">
        <v>148</v>
      </c>
      <c r="D60" s="137" t="s">
        <v>248</v>
      </c>
      <c r="E60" s="126">
        <v>0</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37" t="s">
        <v>248</v>
      </c>
      <c r="E63" s="126">
        <v>0</v>
      </c>
      <c r="F63" s="144" t="s">
        <v>303</v>
      </c>
      <c r="G63" s="145" t="s">
        <v>304</v>
      </c>
      <c r="H63" s="121"/>
    </row>
    <row r="64" spans="2:8" ht="30" customHeight="1">
      <c r="B64" s="143" t="s">
        <v>159</v>
      </c>
      <c r="C64" s="42" t="s">
        <v>160</v>
      </c>
      <c r="D64" s="137" t="s">
        <v>248</v>
      </c>
      <c r="E64" s="126">
        <v>0</v>
      </c>
      <c r="F64" s="144" t="s">
        <v>303</v>
      </c>
      <c r="G64" s="145" t="s">
        <v>304</v>
      </c>
      <c r="H64" s="12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10">
    <mergeCell ref="C67:H67"/>
    <mergeCell ref="C58:H58"/>
    <mergeCell ref="C50:H50"/>
    <mergeCell ref="N12:O12"/>
    <mergeCell ref="C44:H44"/>
    <mergeCell ref="C36:H36"/>
    <mergeCell ref="C52:H52"/>
    <mergeCell ref="C18:H18"/>
    <mergeCell ref="C34:H34"/>
    <mergeCell ref="H12:M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1:O67"/>
  <sheetViews>
    <sheetView zoomScale="85" zoomScaleNormal="85" workbookViewId="0">
      <pane xSplit="7" ySplit="13" topLeftCell="H24" activePane="bottomRight" state="frozen"/>
      <selection pane="bottomRight" activeCell="C21" sqref="C21"/>
      <selection pane="bottomLeft" activeCell="C21" sqref="C21"/>
      <selection pane="topRight"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343</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344</v>
      </c>
      <c r="D3" s="121"/>
      <c r="E3" s="121"/>
      <c r="F3" s="121"/>
      <c r="G3" s="121"/>
      <c r="H3" s="121"/>
    </row>
    <row r="4" spans="2:15" ht="22.5" customHeight="1">
      <c r="B4" s="119" t="s">
        <v>204</v>
      </c>
      <c r="C4" s="42" t="s">
        <v>345</v>
      </c>
      <c r="D4" s="121"/>
      <c r="E4" s="121"/>
      <c r="F4" s="121"/>
      <c r="G4" s="121"/>
      <c r="H4" s="121"/>
    </row>
    <row r="5" spans="2:15" ht="15.95" customHeight="1">
      <c r="B5" s="119" t="s">
        <v>229</v>
      </c>
      <c r="C5" s="42" t="s">
        <v>346</v>
      </c>
      <c r="D5" s="121"/>
      <c r="E5" s="121"/>
      <c r="F5" s="121"/>
      <c r="G5" s="121"/>
      <c r="H5" s="121"/>
    </row>
    <row r="6" spans="2:15" ht="15.95" customHeight="1">
      <c r="B6" s="119" t="s">
        <v>230</v>
      </c>
      <c r="C6" s="42" t="s">
        <v>169</v>
      </c>
      <c r="D6" s="121"/>
      <c r="E6" s="121"/>
      <c r="F6" s="121"/>
      <c r="G6" s="121"/>
      <c r="H6" s="121"/>
    </row>
    <row r="7" spans="2:15" ht="15.95" customHeight="1">
      <c r="B7" s="119" t="s">
        <v>231</v>
      </c>
      <c r="C7" s="42" t="s">
        <v>347</v>
      </c>
      <c r="D7" s="121"/>
      <c r="E7" s="121"/>
      <c r="F7" s="121"/>
      <c r="G7" s="121"/>
      <c r="H7" s="121"/>
    </row>
    <row r="8" spans="2:15" ht="15.95" customHeight="1">
      <c r="B8" s="119" t="s">
        <v>233</v>
      </c>
      <c r="C8" s="42" t="s">
        <v>348</v>
      </c>
      <c r="D8" s="121"/>
      <c r="E8" s="121"/>
      <c r="F8" s="121"/>
      <c r="G8" s="121"/>
      <c r="H8" s="121"/>
    </row>
    <row r="9" spans="2:15" ht="15.95" customHeight="1">
      <c r="B9" s="119" t="s">
        <v>235</v>
      </c>
      <c r="C9" s="42" t="s">
        <v>349</v>
      </c>
      <c r="D9" s="121"/>
      <c r="E9" s="121"/>
      <c r="F9" s="121"/>
      <c r="G9" s="121"/>
      <c r="H9" s="121"/>
    </row>
    <row r="10" spans="2:15" ht="15.95" customHeight="1">
      <c r="B10" s="119" t="s">
        <v>206</v>
      </c>
      <c r="C10" s="42" t="s">
        <v>350</v>
      </c>
      <c r="D10" s="121"/>
      <c r="E10" s="121"/>
      <c r="F10" s="121"/>
      <c r="G10" s="121"/>
      <c r="H10" s="121"/>
    </row>
    <row r="11" spans="2:15" ht="15.95" customHeight="1">
      <c r="B11" s="119" t="s">
        <v>208</v>
      </c>
      <c r="C11" s="42" t="s">
        <v>12</v>
      </c>
      <c r="D11" s="121"/>
      <c r="E11" s="121"/>
      <c r="F11" s="121"/>
      <c r="G11" s="121"/>
      <c r="H11" s="121"/>
    </row>
    <row r="12" spans="2:15" ht="15.95" customHeight="1">
      <c r="B12" s="119" t="s">
        <v>236</v>
      </c>
      <c r="C12" s="152">
        <v>332000000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03"/>
      <c r="D16" s="103"/>
      <c r="E16" s="103"/>
      <c r="F16" s="103"/>
      <c r="G16" s="103"/>
      <c r="H16" s="103"/>
    </row>
    <row r="17" spans="2:8" ht="54.95" customHeight="1">
      <c r="B17" s="105" t="s">
        <v>57</v>
      </c>
      <c r="C17" s="119" t="s">
        <v>239</v>
      </c>
      <c r="D17" s="125" t="s">
        <v>240</v>
      </c>
      <c r="E17" s="126">
        <v>7.5</v>
      </c>
      <c r="F17" s="127" t="s">
        <v>241</v>
      </c>
      <c r="G17" s="128" t="s">
        <v>242</v>
      </c>
      <c r="H17" s="129" t="s">
        <v>243</v>
      </c>
    </row>
    <row r="18" spans="2:8" ht="54.95" customHeight="1">
      <c r="B18" s="130" t="s">
        <v>245</v>
      </c>
      <c r="C18" s="164" t="s">
        <v>351</v>
      </c>
      <c r="D18" s="190"/>
      <c r="E18" s="190"/>
      <c r="F18" s="190"/>
      <c r="G18" s="190"/>
      <c r="H18" s="191"/>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1</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3</v>
      </c>
      <c r="F24" s="127" t="s">
        <v>268</v>
      </c>
      <c r="G24" s="128" t="s">
        <v>269</v>
      </c>
      <c r="H24" s="129" t="s">
        <v>270</v>
      </c>
    </row>
    <row r="25" spans="2:8" ht="54.95" customHeight="1">
      <c r="B25" s="105" t="s">
        <v>74</v>
      </c>
      <c r="C25" s="42" t="s">
        <v>271</v>
      </c>
      <c r="D25" s="137" t="s">
        <v>267</v>
      </c>
      <c r="E25" s="126">
        <v>2</v>
      </c>
      <c r="F25" s="127" t="s">
        <v>272</v>
      </c>
      <c r="G25" s="128" t="s">
        <v>273</v>
      </c>
      <c r="H25" s="129" t="s">
        <v>274</v>
      </c>
    </row>
    <row r="26" spans="2:8" ht="54.95" customHeight="1">
      <c r="B26" s="105" t="s">
        <v>76</v>
      </c>
      <c r="C26" s="42" t="s">
        <v>275</v>
      </c>
      <c r="D26" s="137" t="s">
        <v>267</v>
      </c>
      <c r="E26" s="126">
        <v>4</v>
      </c>
      <c r="F26" s="127" t="s">
        <v>276</v>
      </c>
      <c r="G26" s="128" t="s">
        <v>277</v>
      </c>
      <c r="H26" s="129" t="s">
        <v>278</v>
      </c>
    </row>
    <row r="27" spans="2:8" ht="54.95" customHeight="1">
      <c r="B27" s="105" t="s">
        <v>78</v>
      </c>
      <c r="C27" s="42" t="s">
        <v>279</v>
      </c>
      <c r="D27" s="137" t="s">
        <v>267</v>
      </c>
      <c r="E27" s="126">
        <v>2</v>
      </c>
      <c r="F27" s="127" t="s">
        <v>280</v>
      </c>
      <c r="G27" s="128" t="s">
        <v>281</v>
      </c>
      <c r="H27" s="129" t="s">
        <v>282</v>
      </c>
    </row>
    <row r="28" spans="2:8" ht="54.95" customHeight="1">
      <c r="B28" s="105" t="s">
        <v>80</v>
      </c>
      <c r="C28" s="42" t="s">
        <v>283</v>
      </c>
      <c r="D28" s="137" t="s">
        <v>267</v>
      </c>
      <c r="E28" s="126">
        <v>3</v>
      </c>
      <c r="F28" s="127" t="s">
        <v>284</v>
      </c>
      <c r="G28" s="128" t="s">
        <v>285</v>
      </c>
      <c r="H28" s="129" t="s">
        <v>286</v>
      </c>
    </row>
    <row r="29" spans="2:8" ht="54.95" customHeight="1">
      <c r="B29" s="105" t="s">
        <v>82</v>
      </c>
      <c r="C29" s="42" t="s">
        <v>287</v>
      </c>
      <c r="D29" s="137" t="s">
        <v>267</v>
      </c>
      <c r="E29" s="126">
        <v>2</v>
      </c>
      <c r="F29" s="127" t="s">
        <v>288</v>
      </c>
      <c r="G29" s="128" t="s">
        <v>289</v>
      </c>
      <c r="H29" s="129" t="s">
        <v>290</v>
      </c>
    </row>
    <row r="30" spans="2:8" ht="54.95" customHeight="1">
      <c r="B30" s="105" t="s">
        <v>84</v>
      </c>
      <c r="C30" s="42" t="s">
        <v>291</v>
      </c>
      <c r="D30" s="137" t="s">
        <v>267</v>
      </c>
      <c r="E30" s="126">
        <v>3</v>
      </c>
      <c r="F30" s="127" t="s">
        <v>292</v>
      </c>
      <c r="G30" s="128" t="s">
        <v>293</v>
      </c>
      <c r="H30" s="129" t="s">
        <v>294</v>
      </c>
    </row>
    <row r="31" spans="2:8" ht="18" customHeight="1">
      <c r="B31" s="105" t="s">
        <v>86</v>
      </c>
      <c r="C31" s="42" t="s">
        <v>295</v>
      </c>
      <c r="D31" s="137" t="s">
        <v>267</v>
      </c>
      <c r="E31" s="149"/>
      <c r="F31" s="127" t="s">
        <v>331</v>
      </c>
      <c r="G31" s="128" t="s">
        <v>332</v>
      </c>
      <c r="H31" s="129" t="s">
        <v>333</v>
      </c>
    </row>
    <row r="32" spans="2:8" ht="30" customHeight="1">
      <c r="B32" s="105" t="s">
        <v>89</v>
      </c>
      <c r="C32" s="42" t="s">
        <v>296</v>
      </c>
      <c r="D32" s="138" t="s">
        <v>240</v>
      </c>
      <c r="E32" s="126">
        <v>8</v>
      </c>
      <c r="F32" s="139" t="s">
        <v>297</v>
      </c>
      <c r="G32" s="128" t="s">
        <v>298</v>
      </c>
      <c r="H32" s="140" t="s">
        <v>299</v>
      </c>
    </row>
    <row r="33" spans="2:8" ht="20.100000000000001" customHeight="1">
      <c r="B33" s="102" t="s">
        <v>300</v>
      </c>
      <c r="C33" s="103"/>
      <c r="D33" s="103"/>
      <c r="E33" s="103"/>
      <c r="F33" s="103"/>
      <c r="G33" s="103"/>
      <c r="H33" s="103"/>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64" t="s">
        <v>352</v>
      </c>
      <c r="D36" s="190"/>
      <c r="E36" s="190"/>
      <c r="F36" s="190"/>
      <c r="G36" s="190"/>
      <c r="H36" s="191"/>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1</v>
      </c>
      <c r="F41" s="127" t="s">
        <v>303</v>
      </c>
      <c r="G41" s="128" t="s">
        <v>304</v>
      </c>
      <c r="H41" s="129" t="s">
        <v>302</v>
      </c>
    </row>
    <row r="42" spans="2:8" ht="30" customHeight="1">
      <c r="B42" s="143" t="s">
        <v>111</v>
      </c>
      <c r="C42" s="42" t="s">
        <v>307</v>
      </c>
      <c r="D42" s="84" t="s">
        <v>248</v>
      </c>
      <c r="E42" s="126">
        <v>1</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61" t="s">
        <v>302</v>
      </c>
      <c r="D44" s="190"/>
      <c r="E44" s="190"/>
      <c r="F44" s="190"/>
      <c r="G44" s="190"/>
      <c r="H44" s="191"/>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1</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03"/>
      <c r="E49" s="103"/>
      <c r="F49" s="103"/>
      <c r="G49" s="103"/>
      <c r="H49" s="103"/>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63" t="s">
        <v>334</v>
      </c>
      <c r="D52" s="190"/>
      <c r="E52" s="190"/>
      <c r="F52" s="190"/>
      <c r="G52" s="190"/>
      <c r="H52" s="191"/>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1</v>
      </c>
      <c r="F54" s="144" t="s">
        <v>303</v>
      </c>
      <c r="G54" s="145" t="s">
        <v>304</v>
      </c>
      <c r="H54" s="121"/>
    </row>
    <row r="55" spans="2:8" ht="18" customHeight="1">
      <c r="B55" s="143" t="s">
        <v>137</v>
      </c>
      <c r="C55" s="42" t="s">
        <v>314</v>
      </c>
      <c r="D55" s="137" t="s">
        <v>248</v>
      </c>
      <c r="E55" s="126">
        <v>0</v>
      </c>
      <c r="F55" s="144" t="s">
        <v>303</v>
      </c>
      <c r="G55" s="145" t="s">
        <v>304</v>
      </c>
      <c r="H55" s="121"/>
    </row>
    <row r="56" spans="2:8" ht="30" customHeight="1">
      <c r="B56" s="143" t="s">
        <v>140</v>
      </c>
      <c r="C56" s="42" t="s">
        <v>315</v>
      </c>
      <c r="D56" s="137" t="s">
        <v>248</v>
      </c>
      <c r="E56" s="126">
        <v>0</v>
      </c>
      <c r="F56" s="144" t="s">
        <v>303</v>
      </c>
      <c r="G56" s="145" t="s">
        <v>304</v>
      </c>
      <c r="H56" s="121"/>
    </row>
    <row r="57" spans="2:8" ht="20.100000000000001" customHeight="1">
      <c r="B57" s="102" t="s">
        <v>317</v>
      </c>
      <c r="C57" s="103"/>
      <c r="D57" s="103"/>
      <c r="E57" s="103"/>
      <c r="F57" s="103"/>
      <c r="G57" s="103"/>
      <c r="H57" s="103"/>
    </row>
    <row r="58" spans="2:8" ht="20.100000000000001" customHeight="1">
      <c r="B58" s="141" t="s">
        <v>301</v>
      </c>
      <c r="C58" s="161" t="s">
        <v>302</v>
      </c>
      <c r="D58" s="190"/>
      <c r="E58" s="190"/>
      <c r="F58" s="190"/>
      <c r="G58" s="190"/>
      <c r="H58" s="191"/>
    </row>
    <row r="59" spans="2:8" ht="20.100000000000001" customHeight="1">
      <c r="B59" s="143" t="s">
        <v>144</v>
      </c>
      <c r="C59" s="42" t="s">
        <v>318</v>
      </c>
      <c r="D59" s="137" t="s">
        <v>248</v>
      </c>
      <c r="E59" s="126">
        <v>0</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1</v>
      </c>
      <c r="F62" s="144" t="s">
        <v>303</v>
      </c>
      <c r="G62" s="145" t="s">
        <v>304</v>
      </c>
      <c r="H62" s="121"/>
    </row>
    <row r="63" spans="2:8" ht="18" customHeight="1">
      <c r="B63" s="143" t="s">
        <v>156</v>
      </c>
      <c r="C63" s="42" t="s">
        <v>157</v>
      </c>
      <c r="D63" s="137" t="s">
        <v>248</v>
      </c>
      <c r="E63" s="126">
        <v>1</v>
      </c>
      <c r="F63" s="144" t="s">
        <v>303</v>
      </c>
      <c r="G63" s="145" t="s">
        <v>304</v>
      </c>
      <c r="H63" s="121"/>
    </row>
    <row r="64" spans="2:8" ht="30" customHeight="1">
      <c r="B64" s="143" t="s">
        <v>159</v>
      </c>
      <c r="C64" s="42" t="s">
        <v>160</v>
      </c>
      <c r="D64" s="137" t="s">
        <v>248</v>
      </c>
      <c r="E64" s="126">
        <v>0</v>
      </c>
      <c r="F64" s="144" t="s">
        <v>303</v>
      </c>
      <c r="G64" s="145" t="s">
        <v>304</v>
      </c>
      <c r="H64" s="12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10">
    <mergeCell ref="C67:H67"/>
    <mergeCell ref="C58:H58"/>
    <mergeCell ref="C50:H50"/>
    <mergeCell ref="N12:O12"/>
    <mergeCell ref="C44:H44"/>
    <mergeCell ref="C36:H36"/>
    <mergeCell ref="C52:H52"/>
    <mergeCell ref="C18:H18"/>
    <mergeCell ref="C34:H34"/>
    <mergeCell ref="H12:M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1:O67"/>
  <sheetViews>
    <sheetView zoomScale="85" zoomScaleNormal="85" workbookViewId="0">
      <pane xSplit="7" ySplit="13" topLeftCell="H28" activePane="bottomRight" state="frozen"/>
      <selection pane="bottomRight" activeCell="C21" sqref="C21"/>
      <selection pane="bottomLeft" activeCell="C21" sqref="C21"/>
      <selection pane="topRight"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353</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354</v>
      </c>
      <c r="D3" s="121"/>
      <c r="E3" s="121"/>
      <c r="F3" s="121"/>
      <c r="G3" s="121"/>
      <c r="H3" s="121"/>
    </row>
    <row r="4" spans="2:15" ht="15.95" customHeight="1">
      <c r="B4" s="119" t="s">
        <v>204</v>
      </c>
      <c r="C4" s="42" t="s">
        <v>355</v>
      </c>
      <c r="D4" s="121"/>
      <c r="E4" s="121"/>
      <c r="F4" s="121"/>
      <c r="G4" s="121"/>
      <c r="H4" s="121"/>
    </row>
    <row r="5" spans="2:15" ht="15.95" customHeight="1">
      <c r="B5" s="119" t="s">
        <v>229</v>
      </c>
      <c r="C5" s="42" t="s">
        <v>356</v>
      </c>
      <c r="D5" s="121"/>
      <c r="E5" s="121"/>
      <c r="F5" s="121"/>
      <c r="G5" s="121"/>
      <c r="H5" s="121"/>
    </row>
    <row r="6" spans="2:15" ht="15.95" customHeight="1">
      <c r="B6" s="119" t="s">
        <v>230</v>
      </c>
      <c r="C6" s="42" t="s">
        <v>171</v>
      </c>
      <c r="D6" s="121"/>
      <c r="E6" s="121"/>
      <c r="F6" s="121"/>
      <c r="G6" s="121"/>
      <c r="H6" s="121"/>
    </row>
    <row r="7" spans="2:15" ht="15.95" customHeight="1">
      <c r="B7" s="119" t="s">
        <v>231</v>
      </c>
      <c r="C7" s="42" t="s">
        <v>357</v>
      </c>
      <c r="D7" s="121"/>
      <c r="E7" s="121"/>
      <c r="F7" s="121"/>
      <c r="G7" s="121"/>
      <c r="H7" s="121"/>
    </row>
    <row r="8" spans="2:15" ht="15.95" customHeight="1">
      <c r="B8" s="119" t="s">
        <v>233</v>
      </c>
      <c r="C8" s="42" t="s">
        <v>358</v>
      </c>
      <c r="D8" s="121"/>
      <c r="E8" s="121"/>
      <c r="F8" s="121"/>
      <c r="G8" s="121"/>
      <c r="H8" s="121"/>
    </row>
    <row r="9" spans="2:15" ht="15.95" customHeight="1">
      <c r="B9" s="119" t="s">
        <v>235</v>
      </c>
      <c r="C9" s="42" t="s">
        <v>359</v>
      </c>
      <c r="D9" s="121"/>
      <c r="E9" s="121"/>
      <c r="F9" s="121"/>
      <c r="G9" s="121"/>
      <c r="H9" s="121"/>
    </row>
    <row r="10" spans="2:15" ht="15.95" customHeight="1">
      <c r="B10" s="119" t="s">
        <v>206</v>
      </c>
      <c r="C10" s="42" t="s">
        <v>360</v>
      </c>
      <c r="D10" s="121"/>
      <c r="E10" s="121"/>
      <c r="F10" s="121"/>
      <c r="G10" s="121"/>
      <c r="H10" s="121"/>
    </row>
    <row r="11" spans="2:15" ht="15.95" customHeight="1">
      <c r="B11" s="119" t="s">
        <v>208</v>
      </c>
      <c r="C11" s="42" t="s">
        <v>6</v>
      </c>
      <c r="D11" s="121"/>
      <c r="E11" s="121"/>
      <c r="F11" s="121"/>
      <c r="G11" s="121"/>
      <c r="H11" s="121"/>
    </row>
    <row r="12" spans="2:15" ht="15.95" customHeight="1">
      <c r="B12" s="119" t="s">
        <v>236</v>
      </c>
      <c r="C12" s="122">
        <v>134000000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03"/>
      <c r="D16" s="103"/>
      <c r="E16" s="103"/>
      <c r="F16" s="103"/>
      <c r="G16" s="103"/>
      <c r="H16" s="103"/>
    </row>
    <row r="17" spans="2:9" ht="54.95" customHeight="1">
      <c r="B17" s="105" t="s">
        <v>57</v>
      </c>
      <c r="C17" s="119" t="s">
        <v>239</v>
      </c>
      <c r="D17" s="125" t="s">
        <v>240</v>
      </c>
      <c r="E17" s="126">
        <v>10</v>
      </c>
      <c r="F17" s="153" t="s">
        <v>241</v>
      </c>
      <c r="G17" s="128" t="s">
        <v>242</v>
      </c>
      <c r="H17" s="129" t="s">
        <v>243</v>
      </c>
    </row>
    <row r="18" spans="2:9" ht="54.95" customHeight="1">
      <c r="B18" s="130" t="s">
        <v>245</v>
      </c>
      <c r="C18" s="164" t="s">
        <v>361</v>
      </c>
      <c r="D18" s="190"/>
      <c r="E18" s="190"/>
      <c r="F18" s="190"/>
      <c r="G18" s="190"/>
      <c r="H18" s="191"/>
      <c r="I18" t="s">
        <v>362</v>
      </c>
    </row>
    <row r="19" spans="2:9" ht="54.95" customHeight="1">
      <c r="B19" s="105" t="s">
        <v>61</v>
      </c>
      <c r="C19" s="119" t="s">
        <v>247</v>
      </c>
      <c r="D19" s="125" t="s">
        <v>248</v>
      </c>
      <c r="E19" s="126">
        <v>1</v>
      </c>
      <c r="F19" s="153" t="s">
        <v>249</v>
      </c>
      <c r="G19" s="128" t="s">
        <v>250</v>
      </c>
      <c r="H19" s="129" t="s">
        <v>251</v>
      </c>
    </row>
    <row r="20" spans="2:9" ht="18" customHeight="1">
      <c r="B20" s="105" t="s">
        <v>64</v>
      </c>
      <c r="C20" s="119" t="s">
        <v>252</v>
      </c>
      <c r="D20" s="125" t="s">
        <v>248</v>
      </c>
      <c r="E20" s="126">
        <v>0</v>
      </c>
      <c r="F20" s="153" t="s">
        <v>253</v>
      </c>
      <c r="G20" s="128" t="s">
        <v>254</v>
      </c>
      <c r="H20" s="129" t="s">
        <v>255</v>
      </c>
    </row>
    <row r="21" spans="2:9" ht="15.95" customHeight="1">
      <c r="B21" s="105" t="s">
        <v>67</v>
      </c>
      <c r="C21" s="119" t="s">
        <v>256</v>
      </c>
      <c r="D21" s="125" t="s">
        <v>248</v>
      </c>
      <c r="E21" s="126">
        <v>1</v>
      </c>
      <c r="F21" s="127" t="s">
        <v>257</v>
      </c>
      <c r="G21" s="128" t="s">
        <v>258</v>
      </c>
      <c r="H21" s="129" t="s">
        <v>259</v>
      </c>
    </row>
    <row r="22" spans="2:9" ht="54.95" customHeight="1">
      <c r="B22" s="102" t="s">
        <v>260</v>
      </c>
      <c r="C22" s="103"/>
      <c r="D22" s="103"/>
      <c r="E22" s="103"/>
      <c r="F22" s="103"/>
      <c r="G22" s="103"/>
      <c r="H22" s="103"/>
    </row>
    <row r="23" spans="2:9" ht="54.95" customHeight="1">
      <c r="B23" s="132" t="s">
        <v>51</v>
      </c>
      <c r="C23" s="133" t="s">
        <v>52</v>
      </c>
      <c r="D23" s="132" t="s">
        <v>261</v>
      </c>
      <c r="E23" s="134" t="s">
        <v>262</v>
      </c>
      <c r="F23" s="135" t="s">
        <v>263</v>
      </c>
      <c r="G23" s="136" t="s">
        <v>264</v>
      </c>
      <c r="H23" s="133" t="s">
        <v>265</v>
      </c>
    </row>
    <row r="24" spans="2:9" ht="54.95" customHeight="1">
      <c r="B24" s="105" t="s">
        <v>71</v>
      </c>
      <c r="C24" s="42" t="s">
        <v>266</v>
      </c>
      <c r="D24" s="137" t="s">
        <v>267</v>
      </c>
      <c r="E24" s="126">
        <v>2</v>
      </c>
      <c r="F24" s="127" t="s">
        <v>268</v>
      </c>
      <c r="G24" s="128" t="s">
        <v>269</v>
      </c>
      <c r="H24" s="129" t="s">
        <v>270</v>
      </c>
    </row>
    <row r="25" spans="2:9" ht="54.95" customHeight="1">
      <c r="B25" s="105" t="s">
        <v>74</v>
      </c>
      <c r="C25" s="42" t="s">
        <v>271</v>
      </c>
      <c r="D25" s="137" t="s">
        <v>267</v>
      </c>
      <c r="E25" s="126">
        <v>2</v>
      </c>
      <c r="F25" s="127" t="s">
        <v>272</v>
      </c>
      <c r="G25" s="128" t="s">
        <v>273</v>
      </c>
      <c r="H25" s="129" t="s">
        <v>274</v>
      </c>
    </row>
    <row r="26" spans="2:9" ht="54.95" customHeight="1">
      <c r="B26" s="105" t="s">
        <v>76</v>
      </c>
      <c r="C26" s="42" t="s">
        <v>275</v>
      </c>
      <c r="D26" s="137" t="s">
        <v>267</v>
      </c>
      <c r="E26" s="126">
        <v>2</v>
      </c>
      <c r="F26" s="127" t="s">
        <v>276</v>
      </c>
      <c r="G26" s="128" t="s">
        <v>277</v>
      </c>
      <c r="H26" s="129" t="s">
        <v>278</v>
      </c>
    </row>
    <row r="27" spans="2:9" ht="54.95" customHeight="1">
      <c r="B27" s="105" t="s">
        <v>78</v>
      </c>
      <c r="C27" s="42" t="s">
        <v>279</v>
      </c>
      <c r="D27" s="137" t="s">
        <v>267</v>
      </c>
      <c r="E27" s="126">
        <v>4</v>
      </c>
      <c r="F27" s="127" t="s">
        <v>280</v>
      </c>
      <c r="G27" s="128" t="s">
        <v>281</v>
      </c>
      <c r="H27" s="129" t="s">
        <v>282</v>
      </c>
    </row>
    <row r="28" spans="2:9" ht="54.95" customHeight="1">
      <c r="B28" s="105" t="s">
        <v>80</v>
      </c>
      <c r="C28" s="42" t="s">
        <v>283</v>
      </c>
      <c r="D28" s="137" t="s">
        <v>267</v>
      </c>
      <c r="E28" s="126">
        <v>2</v>
      </c>
      <c r="F28" s="127" t="s">
        <v>284</v>
      </c>
      <c r="G28" s="128" t="s">
        <v>285</v>
      </c>
      <c r="H28" s="129" t="s">
        <v>286</v>
      </c>
    </row>
    <row r="29" spans="2:9" ht="54.95" customHeight="1">
      <c r="B29" s="105" t="s">
        <v>82</v>
      </c>
      <c r="C29" s="42" t="s">
        <v>287</v>
      </c>
      <c r="D29" s="137" t="s">
        <v>267</v>
      </c>
      <c r="E29" s="126">
        <v>2</v>
      </c>
      <c r="F29" s="127" t="s">
        <v>288</v>
      </c>
      <c r="G29" s="128" t="s">
        <v>289</v>
      </c>
      <c r="H29" s="129" t="s">
        <v>290</v>
      </c>
    </row>
    <row r="30" spans="2:9" ht="54.95" customHeight="1">
      <c r="B30" s="105" t="s">
        <v>84</v>
      </c>
      <c r="C30" s="42" t="s">
        <v>291</v>
      </c>
      <c r="D30" s="137" t="s">
        <v>267</v>
      </c>
      <c r="E30" s="126">
        <v>4</v>
      </c>
      <c r="F30" s="127" t="s">
        <v>292</v>
      </c>
      <c r="G30" s="128" t="s">
        <v>293</v>
      </c>
      <c r="H30" s="129" t="s">
        <v>294</v>
      </c>
    </row>
    <row r="31" spans="2:9" ht="18" customHeight="1">
      <c r="B31" s="105" t="s">
        <v>86</v>
      </c>
      <c r="C31" s="42" t="s">
        <v>295</v>
      </c>
      <c r="D31" s="137" t="s">
        <v>267</v>
      </c>
      <c r="E31" s="126">
        <v>2</v>
      </c>
      <c r="F31" s="127" t="s">
        <v>331</v>
      </c>
      <c r="G31" s="128" t="s">
        <v>332</v>
      </c>
      <c r="H31" s="129" t="s">
        <v>333</v>
      </c>
    </row>
    <row r="32" spans="2:9" ht="30" customHeight="1">
      <c r="B32" s="105" t="s">
        <v>89</v>
      </c>
      <c r="C32" s="42" t="s">
        <v>296</v>
      </c>
      <c r="D32" s="138" t="s">
        <v>240</v>
      </c>
      <c r="E32" s="126">
        <v>10</v>
      </c>
      <c r="F32" s="139" t="s">
        <v>297</v>
      </c>
      <c r="G32" s="128" t="s">
        <v>298</v>
      </c>
      <c r="H32" s="140" t="s">
        <v>299</v>
      </c>
    </row>
    <row r="33" spans="2:8" ht="20.100000000000001" customHeight="1">
      <c r="B33" s="102" t="s">
        <v>300</v>
      </c>
      <c r="C33" s="103"/>
      <c r="D33" s="103"/>
      <c r="E33" s="103"/>
      <c r="F33" s="103"/>
      <c r="G33" s="103"/>
      <c r="H33" s="103"/>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64" t="s">
        <v>363</v>
      </c>
      <c r="D36" s="190"/>
      <c r="E36" s="190"/>
      <c r="F36" s="190"/>
      <c r="G36" s="190"/>
      <c r="H36" s="191"/>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0</v>
      </c>
      <c r="F39" s="144" t="s">
        <v>303</v>
      </c>
      <c r="G39" s="145" t="s">
        <v>304</v>
      </c>
      <c r="H39" s="121"/>
    </row>
    <row r="40" spans="2:8" ht="20.100000000000001" customHeight="1">
      <c r="B40" s="143" t="s">
        <v>105</v>
      </c>
      <c r="C40" s="42" t="s">
        <v>106</v>
      </c>
      <c r="D40" s="137" t="s">
        <v>248</v>
      </c>
      <c r="E40" s="126">
        <v>1</v>
      </c>
      <c r="F40" s="144" t="s">
        <v>303</v>
      </c>
      <c r="G40" s="145" t="s">
        <v>304</v>
      </c>
      <c r="H40" s="121"/>
    </row>
    <row r="41" spans="2:8" ht="18" customHeight="1">
      <c r="B41" s="143" t="s">
        <v>108</v>
      </c>
      <c r="C41" s="42" t="s">
        <v>109</v>
      </c>
      <c r="D41" s="84" t="s">
        <v>248</v>
      </c>
      <c r="E41" s="126">
        <v>1</v>
      </c>
      <c r="F41" s="127" t="s">
        <v>303</v>
      </c>
      <c r="G41" s="128" t="s">
        <v>304</v>
      </c>
      <c r="H41" s="129" t="s">
        <v>302</v>
      </c>
    </row>
    <row r="42" spans="2:8" ht="30" customHeight="1">
      <c r="B42" s="143" t="s">
        <v>111</v>
      </c>
      <c r="C42" s="42" t="s">
        <v>307</v>
      </c>
      <c r="D42" s="84" t="s">
        <v>248</v>
      </c>
      <c r="E42" s="126">
        <v>1</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61" t="s">
        <v>302</v>
      </c>
      <c r="D44" s="190"/>
      <c r="E44" s="190"/>
      <c r="F44" s="190"/>
      <c r="G44" s="190"/>
      <c r="H44" s="191"/>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0</v>
      </c>
      <c r="F46" s="144" t="s">
        <v>303</v>
      </c>
      <c r="G46" s="145" t="s">
        <v>304</v>
      </c>
      <c r="H46" s="121"/>
    </row>
    <row r="47" spans="2:8" ht="18" customHeight="1">
      <c r="B47" s="143" t="s">
        <v>121</v>
      </c>
      <c r="C47" s="42" t="s">
        <v>122</v>
      </c>
      <c r="D47" s="84" t="s">
        <v>248</v>
      </c>
      <c r="E47" s="126">
        <v>1</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03"/>
      <c r="E49" s="103"/>
      <c r="F49" s="103"/>
      <c r="G49" s="103"/>
      <c r="H49" s="103"/>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1</v>
      </c>
      <c r="F51" s="144" t="s">
        <v>303</v>
      </c>
      <c r="G51" s="145" t="s">
        <v>304</v>
      </c>
      <c r="H51" s="121"/>
    </row>
    <row r="52" spans="2:8" ht="20.100000000000001" customHeight="1">
      <c r="B52" s="130" t="s">
        <v>245</v>
      </c>
      <c r="C52" s="164" t="s">
        <v>364</v>
      </c>
      <c r="D52" s="190"/>
      <c r="E52" s="190"/>
      <c r="F52" s="190"/>
      <c r="G52" s="190"/>
      <c r="H52" s="191"/>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1</v>
      </c>
      <c r="F54" s="144" t="s">
        <v>303</v>
      </c>
      <c r="G54" s="145" t="s">
        <v>304</v>
      </c>
      <c r="H54" s="121"/>
    </row>
    <row r="55" spans="2:8" ht="18" customHeight="1">
      <c r="B55" s="143" t="s">
        <v>137</v>
      </c>
      <c r="C55" s="42" t="s">
        <v>314</v>
      </c>
      <c r="D55" s="137" t="s">
        <v>248</v>
      </c>
      <c r="E55" s="126">
        <v>1</v>
      </c>
      <c r="F55" s="144" t="s">
        <v>303</v>
      </c>
      <c r="G55" s="145" t="s">
        <v>304</v>
      </c>
      <c r="H55" s="121"/>
    </row>
    <row r="56" spans="2:8" ht="30" customHeight="1">
      <c r="B56" s="143" t="s">
        <v>140</v>
      </c>
      <c r="C56" s="42" t="s">
        <v>315</v>
      </c>
      <c r="D56" s="137" t="s">
        <v>248</v>
      </c>
      <c r="E56" s="126">
        <v>0</v>
      </c>
      <c r="F56" s="144" t="s">
        <v>303</v>
      </c>
      <c r="G56" s="145" t="s">
        <v>304</v>
      </c>
      <c r="H56" s="121"/>
    </row>
    <row r="57" spans="2:8" ht="20.100000000000001" customHeight="1">
      <c r="B57" s="102" t="s">
        <v>317</v>
      </c>
      <c r="C57" s="103"/>
      <c r="D57" s="103"/>
      <c r="E57" s="103"/>
      <c r="F57" s="103"/>
      <c r="G57" s="103"/>
      <c r="H57" s="103"/>
    </row>
    <row r="58" spans="2:8" ht="20.100000000000001" customHeight="1">
      <c r="B58" s="141" t="s">
        <v>301</v>
      </c>
      <c r="C58" s="161" t="s">
        <v>302</v>
      </c>
      <c r="D58" s="190"/>
      <c r="E58" s="190"/>
      <c r="F58" s="190"/>
      <c r="G58" s="190"/>
      <c r="H58" s="191"/>
    </row>
    <row r="59" spans="2:8" ht="20.100000000000001" customHeight="1">
      <c r="B59" s="143" t="s">
        <v>144</v>
      </c>
      <c r="C59" s="42" t="s">
        <v>318</v>
      </c>
      <c r="D59" s="137" t="s">
        <v>248</v>
      </c>
      <c r="E59" s="126">
        <v>0</v>
      </c>
      <c r="F59" s="144" t="s">
        <v>303</v>
      </c>
      <c r="G59" s="145" t="s">
        <v>304</v>
      </c>
      <c r="H59" s="121"/>
    </row>
    <row r="60" spans="2:8" ht="20.100000000000001" customHeight="1">
      <c r="B60" s="143" t="s">
        <v>147</v>
      </c>
      <c r="C60" s="42" t="s">
        <v>148</v>
      </c>
      <c r="D60" s="137" t="s">
        <v>248</v>
      </c>
      <c r="E60" s="126">
        <v>0</v>
      </c>
      <c r="F60" s="144" t="s">
        <v>303</v>
      </c>
      <c r="G60" s="145" t="s">
        <v>304</v>
      </c>
      <c r="H60" s="121"/>
    </row>
    <row r="61" spans="2:8" ht="20.100000000000001" customHeight="1">
      <c r="B61" s="143" t="s">
        <v>150</v>
      </c>
      <c r="C61" s="42" t="s">
        <v>319</v>
      </c>
      <c r="D61" s="137" t="s">
        <v>248</v>
      </c>
      <c r="E61" s="126">
        <v>0</v>
      </c>
      <c r="F61" s="144" t="s">
        <v>303</v>
      </c>
      <c r="G61" s="145" t="s">
        <v>304</v>
      </c>
      <c r="H61" s="121"/>
    </row>
    <row r="62" spans="2:8" ht="20.100000000000001" customHeight="1">
      <c r="B62" s="143" t="s">
        <v>153</v>
      </c>
      <c r="C62" s="42" t="s">
        <v>320</v>
      </c>
      <c r="D62" s="137" t="s">
        <v>248</v>
      </c>
      <c r="E62" s="126">
        <v>1</v>
      </c>
      <c r="F62" s="144" t="s">
        <v>303</v>
      </c>
      <c r="G62" s="145" t="s">
        <v>304</v>
      </c>
      <c r="H62" s="121"/>
    </row>
    <row r="63" spans="2:8" ht="18" customHeight="1">
      <c r="B63" s="143" t="s">
        <v>156</v>
      </c>
      <c r="C63" s="42" t="s">
        <v>157</v>
      </c>
      <c r="D63" s="137" t="s">
        <v>248</v>
      </c>
      <c r="E63" s="126">
        <v>1</v>
      </c>
      <c r="F63" s="144" t="s">
        <v>303</v>
      </c>
      <c r="G63" s="145" t="s">
        <v>304</v>
      </c>
      <c r="H63" s="121"/>
    </row>
    <row r="64" spans="2:8" ht="30" customHeight="1">
      <c r="B64" s="143" t="s">
        <v>159</v>
      </c>
      <c r="C64" s="42" t="s">
        <v>160</v>
      </c>
      <c r="D64" s="137" t="s">
        <v>248</v>
      </c>
      <c r="E64" s="126">
        <v>0</v>
      </c>
      <c r="F64" s="144" t="s">
        <v>303</v>
      </c>
      <c r="G64" s="145" t="s">
        <v>304</v>
      </c>
      <c r="H64" s="12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10">
    <mergeCell ref="C67:H67"/>
    <mergeCell ref="C58:H58"/>
    <mergeCell ref="C50:H50"/>
    <mergeCell ref="N12:O12"/>
    <mergeCell ref="C44:H44"/>
    <mergeCell ref="C36:H36"/>
    <mergeCell ref="C52:H52"/>
    <mergeCell ref="C18:H18"/>
    <mergeCell ref="C34:H34"/>
    <mergeCell ref="H12:M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365</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366</v>
      </c>
      <c r="D3" s="121"/>
      <c r="E3" s="121"/>
      <c r="F3" s="121"/>
      <c r="G3" s="121"/>
      <c r="H3" s="121"/>
    </row>
    <row r="4" spans="2:15" ht="15.95" customHeight="1">
      <c r="B4" s="119" t="s">
        <v>204</v>
      </c>
      <c r="C4" s="42" t="s">
        <v>367</v>
      </c>
      <c r="D4" s="121"/>
      <c r="E4" s="121"/>
      <c r="F4" s="121"/>
      <c r="G4" s="121"/>
      <c r="H4" s="121"/>
    </row>
    <row r="5" spans="2:15" ht="15.95" customHeight="1">
      <c r="B5" s="119" t="s">
        <v>229</v>
      </c>
      <c r="C5" s="42" t="s">
        <v>41</v>
      </c>
      <c r="D5" s="121"/>
      <c r="E5" s="121"/>
      <c r="F5" s="121"/>
      <c r="G5" s="121"/>
      <c r="H5" s="121"/>
    </row>
    <row r="6" spans="2:15" ht="15.95" customHeight="1">
      <c r="B6" s="119" t="s">
        <v>230</v>
      </c>
      <c r="C6" s="42" t="s">
        <v>172</v>
      </c>
      <c r="D6" s="121"/>
      <c r="E6" s="121"/>
      <c r="F6" s="121"/>
      <c r="G6" s="121"/>
      <c r="H6" s="121"/>
    </row>
    <row r="7" spans="2:15" ht="15.95" customHeight="1">
      <c r="B7" s="119" t="s">
        <v>231</v>
      </c>
      <c r="C7" s="42" t="s">
        <v>368</v>
      </c>
      <c r="D7" s="121"/>
      <c r="E7" s="121"/>
      <c r="F7" s="121"/>
      <c r="G7" s="121"/>
      <c r="H7" s="121"/>
    </row>
    <row r="8" spans="2:15" ht="15.95" customHeight="1">
      <c r="B8" s="119" t="s">
        <v>233</v>
      </c>
      <c r="C8" s="42" t="s">
        <v>369</v>
      </c>
      <c r="D8" s="121"/>
      <c r="E8" s="121"/>
      <c r="F8" s="121"/>
      <c r="G8" s="121"/>
      <c r="H8" s="121"/>
    </row>
    <row r="9" spans="2:15" ht="15.95" customHeight="1">
      <c r="B9" s="119" t="s">
        <v>235</v>
      </c>
      <c r="C9" s="42"/>
      <c r="D9" s="121"/>
      <c r="E9" s="121"/>
      <c r="F9" s="121"/>
      <c r="G9" s="121"/>
      <c r="H9" s="121"/>
    </row>
    <row r="10" spans="2:15" ht="15.95" customHeight="1">
      <c r="B10" s="119" t="s">
        <v>206</v>
      </c>
      <c r="C10" s="42" t="s">
        <v>370</v>
      </c>
      <c r="D10" s="121"/>
      <c r="E10" s="121"/>
      <c r="F10" s="121"/>
      <c r="G10" s="121"/>
      <c r="H10" s="121"/>
    </row>
    <row r="11" spans="2:15" ht="15.95" customHeight="1">
      <c r="B11" s="119" t="s">
        <v>208</v>
      </c>
      <c r="C11" s="42" t="s">
        <v>6</v>
      </c>
      <c r="D11" s="121"/>
      <c r="E11" s="121"/>
      <c r="F11" s="121"/>
      <c r="G11" s="121"/>
      <c r="H11" s="121"/>
    </row>
    <row r="12" spans="2:15" ht="15.95" customHeight="1">
      <c r="B12" s="119" t="s">
        <v>236</v>
      </c>
      <c r="C12" s="122">
        <v>380000000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03"/>
      <c r="D16" s="103"/>
      <c r="E16" s="103"/>
      <c r="F16" s="103"/>
      <c r="G16" s="103"/>
      <c r="H16" s="103"/>
    </row>
    <row r="17" spans="2:9" ht="54.95" customHeight="1">
      <c r="B17" s="105" t="s">
        <v>57</v>
      </c>
      <c r="C17" s="119" t="s">
        <v>239</v>
      </c>
      <c r="D17" s="125" t="s">
        <v>240</v>
      </c>
      <c r="E17" s="126">
        <v>8</v>
      </c>
      <c r="F17" s="127" t="s">
        <v>241</v>
      </c>
      <c r="G17" s="128" t="s">
        <v>242</v>
      </c>
      <c r="H17" s="129" t="s">
        <v>243</v>
      </c>
      <c r="I17" t="s">
        <v>371</v>
      </c>
    </row>
    <row r="18" spans="2:9" ht="54.95" customHeight="1">
      <c r="B18" s="130" t="s">
        <v>245</v>
      </c>
      <c r="C18" s="164" t="s">
        <v>372</v>
      </c>
      <c r="D18" s="190"/>
      <c r="E18" s="190"/>
      <c r="F18" s="190"/>
      <c r="G18" s="190"/>
      <c r="H18" s="191"/>
    </row>
    <row r="19" spans="2:9" ht="54.95" customHeight="1">
      <c r="B19" s="105" t="s">
        <v>61</v>
      </c>
      <c r="C19" s="119" t="s">
        <v>247</v>
      </c>
      <c r="D19" s="125" t="s">
        <v>248</v>
      </c>
      <c r="E19" s="126">
        <v>1</v>
      </c>
      <c r="F19" s="127" t="s">
        <v>249</v>
      </c>
      <c r="G19" s="128" t="s">
        <v>250</v>
      </c>
      <c r="H19" s="129" t="s">
        <v>251</v>
      </c>
    </row>
    <row r="20" spans="2:9" ht="18" customHeight="1">
      <c r="B20" s="105" t="s">
        <v>64</v>
      </c>
      <c r="C20" s="119" t="s">
        <v>252</v>
      </c>
      <c r="D20" s="125" t="s">
        <v>248</v>
      </c>
      <c r="E20" s="126">
        <v>0</v>
      </c>
      <c r="F20" s="127" t="s">
        <v>253</v>
      </c>
      <c r="G20" s="128" t="s">
        <v>254</v>
      </c>
      <c r="H20" s="129" t="s">
        <v>255</v>
      </c>
    </row>
    <row r="21" spans="2:9" ht="15.95" customHeight="1">
      <c r="B21" s="105" t="s">
        <v>67</v>
      </c>
      <c r="C21" s="119" t="s">
        <v>256</v>
      </c>
      <c r="D21" s="125" t="s">
        <v>248</v>
      </c>
      <c r="E21" s="126">
        <v>1</v>
      </c>
      <c r="F21" s="127" t="s">
        <v>257</v>
      </c>
      <c r="G21" s="128" t="s">
        <v>258</v>
      </c>
      <c r="H21" s="129" t="s">
        <v>259</v>
      </c>
    </row>
    <row r="22" spans="2:9" ht="54.95" customHeight="1">
      <c r="B22" s="102" t="s">
        <v>260</v>
      </c>
      <c r="C22" s="103"/>
      <c r="D22" s="103"/>
      <c r="E22" s="103"/>
      <c r="F22" s="103"/>
      <c r="G22" s="103"/>
      <c r="H22" s="103"/>
    </row>
    <row r="23" spans="2:9" ht="54.95" customHeight="1">
      <c r="B23" s="132" t="s">
        <v>51</v>
      </c>
      <c r="C23" s="133" t="s">
        <v>52</v>
      </c>
      <c r="D23" s="132" t="s">
        <v>261</v>
      </c>
      <c r="E23" s="134" t="s">
        <v>262</v>
      </c>
      <c r="F23" s="135" t="s">
        <v>263</v>
      </c>
      <c r="G23" s="136" t="s">
        <v>264</v>
      </c>
      <c r="H23" s="133" t="s">
        <v>265</v>
      </c>
    </row>
    <row r="24" spans="2:9" ht="54.95" customHeight="1">
      <c r="B24" s="105" t="s">
        <v>71</v>
      </c>
      <c r="C24" s="42" t="s">
        <v>266</v>
      </c>
      <c r="D24" s="137" t="s">
        <v>267</v>
      </c>
      <c r="E24" s="126">
        <v>5</v>
      </c>
      <c r="F24" s="127" t="s">
        <v>268</v>
      </c>
      <c r="G24" s="128" t="s">
        <v>269</v>
      </c>
      <c r="H24" s="129" t="s">
        <v>270</v>
      </c>
    </row>
    <row r="25" spans="2:9" ht="54.95" customHeight="1">
      <c r="B25" s="105" t="s">
        <v>74</v>
      </c>
      <c r="C25" s="42" t="s">
        <v>271</v>
      </c>
      <c r="D25" s="137" t="s">
        <v>267</v>
      </c>
      <c r="E25" s="126">
        <v>4</v>
      </c>
      <c r="F25" s="127" t="s">
        <v>272</v>
      </c>
      <c r="G25" s="128" t="s">
        <v>273</v>
      </c>
      <c r="H25" s="129" t="s">
        <v>274</v>
      </c>
    </row>
    <row r="26" spans="2:9" ht="54.95" customHeight="1">
      <c r="B26" s="105" t="s">
        <v>76</v>
      </c>
      <c r="C26" s="42" t="s">
        <v>275</v>
      </c>
      <c r="D26" s="137" t="s">
        <v>267</v>
      </c>
      <c r="E26" s="126">
        <v>4</v>
      </c>
      <c r="F26" s="127" t="s">
        <v>276</v>
      </c>
      <c r="G26" s="128" t="s">
        <v>277</v>
      </c>
      <c r="H26" s="129" t="s">
        <v>278</v>
      </c>
    </row>
    <row r="27" spans="2:9" ht="54.95" customHeight="1">
      <c r="B27" s="105" t="s">
        <v>78</v>
      </c>
      <c r="C27" s="42" t="s">
        <v>279</v>
      </c>
      <c r="D27" s="137" t="s">
        <v>267</v>
      </c>
      <c r="E27" s="126">
        <v>3</v>
      </c>
      <c r="F27" s="127" t="s">
        <v>280</v>
      </c>
      <c r="G27" s="128" t="s">
        <v>281</v>
      </c>
      <c r="H27" s="129" t="s">
        <v>282</v>
      </c>
    </row>
    <row r="28" spans="2:9" ht="54.95" customHeight="1">
      <c r="B28" s="105" t="s">
        <v>80</v>
      </c>
      <c r="C28" s="42" t="s">
        <v>283</v>
      </c>
      <c r="D28" s="137" t="s">
        <v>267</v>
      </c>
      <c r="E28" s="126">
        <v>5</v>
      </c>
      <c r="F28" s="127" t="s">
        <v>284</v>
      </c>
      <c r="G28" s="128" t="s">
        <v>285</v>
      </c>
      <c r="H28" s="129" t="s">
        <v>286</v>
      </c>
    </row>
    <row r="29" spans="2:9" ht="54.95" customHeight="1">
      <c r="B29" s="105" t="s">
        <v>82</v>
      </c>
      <c r="C29" s="42" t="s">
        <v>287</v>
      </c>
      <c r="D29" s="137" t="s">
        <v>267</v>
      </c>
      <c r="E29" s="126">
        <v>2</v>
      </c>
      <c r="F29" s="127" t="s">
        <v>288</v>
      </c>
      <c r="G29" s="128" t="s">
        <v>289</v>
      </c>
      <c r="H29" s="129" t="s">
        <v>290</v>
      </c>
    </row>
    <row r="30" spans="2:9" ht="54.95" customHeight="1">
      <c r="B30" s="105" t="s">
        <v>84</v>
      </c>
      <c r="C30" s="42" t="s">
        <v>291</v>
      </c>
      <c r="D30" s="137" t="s">
        <v>267</v>
      </c>
      <c r="E30" s="126">
        <v>5</v>
      </c>
      <c r="F30" s="127" t="s">
        <v>292</v>
      </c>
      <c r="G30" s="128" t="s">
        <v>293</v>
      </c>
      <c r="H30" s="129" t="s">
        <v>294</v>
      </c>
    </row>
    <row r="31" spans="2:9" ht="18" customHeight="1">
      <c r="B31" s="105" t="s">
        <v>86</v>
      </c>
      <c r="C31" s="42" t="s">
        <v>295</v>
      </c>
      <c r="D31" s="137" t="s">
        <v>267</v>
      </c>
      <c r="E31" s="126">
        <v>5</v>
      </c>
      <c r="F31" s="127" t="s">
        <v>331</v>
      </c>
      <c r="G31" s="128" t="s">
        <v>332</v>
      </c>
      <c r="H31" s="129" t="s">
        <v>333</v>
      </c>
    </row>
    <row r="32" spans="2:9" ht="30" customHeight="1">
      <c r="B32" s="105" t="s">
        <v>89</v>
      </c>
      <c r="C32" s="42" t="s">
        <v>296</v>
      </c>
      <c r="D32" s="138" t="s">
        <v>240</v>
      </c>
      <c r="E32" s="126">
        <v>6</v>
      </c>
      <c r="F32" s="139" t="s">
        <v>297</v>
      </c>
      <c r="G32" s="128" t="s">
        <v>298</v>
      </c>
      <c r="H32" s="140" t="s">
        <v>299</v>
      </c>
      <c r="I32" t="s">
        <v>373</v>
      </c>
    </row>
    <row r="33" spans="2:8" ht="20.100000000000001" customHeight="1">
      <c r="B33" s="102" t="s">
        <v>300</v>
      </c>
      <c r="C33" s="103"/>
      <c r="D33" s="103"/>
      <c r="E33" s="103"/>
      <c r="F33" s="103"/>
      <c r="G33" s="103"/>
      <c r="H33" s="103"/>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64" t="s">
        <v>374</v>
      </c>
      <c r="D36" s="190"/>
      <c r="E36" s="190"/>
      <c r="F36" s="190"/>
      <c r="G36" s="190"/>
      <c r="H36" s="191"/>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1</v>
      </c>
      <c r="F40" s="144" t="s">
        <v>303</v>
      </c>
      <c r="G40" s="145" t="s">
        <v>304</v>
      </c>
      <c r="H40" s="121"/>
    </row>
    <row r="41" spans="2:8" ht="18" customHeight="1">
      <c r="B41" s="143" t="s">
        <v>108</v>
      </c>
      <c r="C41" s="42" t="s">
        <v>109</v>
      </c>
      <c r="D41" s="84" t="s">
        <v>248</v>
      </c>
      <c r="E41" s="126">
        <v>1</v>
      </c>
      <c r="F41" s="127" t="s">
        <v>303</v>
      </c>
      <c r="G41" s="128" t="s">
        <v>304</v>
      </c>
      <c r="H41" s="129" t="s">
        <v>302</v>
      </c>
    </row>
    <row r="42" spans="2:8" ht="30" customHeight="1">
      <c r="B42" s="143" t="s">
        <v>111</v>
      </c>
      <c r="C42" s="42" t="s">
        <v>307</v>
      </c>
      <c r="D42" s="84" t="s">
        <v>248</v>
      </c>
      <c r="E42" s="126">
        <v>1</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61" t="s">
        <v>302</v>
      </c>
      <c r="D44" s="190"/>
      <c r="E44" s="190"/>
      <c r="F44" s="190"/>
      <c r="G44" s="190"/>
      <c r="H44" s="191"/>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1</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9" ht="20.100000000000001" customHeight="1">
      <c r="B49" s="102" t="s">
        <v>310</v>
      </c>
      <c r="C49" s="103"/>
      <c r="D49" s="103"/>
      <c r="E49" s="103"/>
      <c r="F49" s="103"/>
      <c r="G49" s="103"/>
      <c r="H49" s="103"/>
    </row>
    <row r="50" spans="2:9" ht="39.950000000000003" customHeight="1">
      <c r="B50" s="141" t="s">
        <v>301</v>
      </c>
      <c r="C50" s="161" t="s">
        <v>302</v>
      </c>
      <c r="D50" s="190"/>
      <c r="E50" s="190"/>
      <c r="F50" s="190"/>
      <c r="G50" s="190"/>
      <c r="H50" s="191"/>
    </row>
    <row r="51" spans="2:9" ht="20.100000000000001" customHeight="1">
      <c r="B51" s="143" t="s">
        <v>128</v>
      </c>
      <c r="C51" s="42" t="s">
        <v>311</v>
      </c>
      <c r="D51" s="137" t="s">
        <v>248</v>
      </c>
      <c r="E51" s="126">
        <v>1</v>
      </c>
      <c r="F51" s="144" t="s">
        <v>303</v>
      </c>
      <c r="G51" s="145" t="s">
        <v>304</v>
      </c>
      <c r="H51" s="121"/>
    </row>
    <row r="52" spans="2:9" ht="20.100000000000001" customHeight="1">
      <c r="B52" s="130" t="s">
        <v>245</v>
      </c>
      <c r="C52" s="164" t="s">
        <v>375</v>
      </c>
      <c r="D52" s="190"/>
      <c r="E52" s="190"/>
      <c r="F52" s="190"/>
      <c r="G52" s="190"/>
      <c r="H52" s="191"/>
      <c r="I52" t="s">
        <v>376</v>
      </c>
    </row>
    <row r="53" spans="2:9" ht="20.100000000000001" customHeight="1">
      <c r="B53" s="143" t="s">
        <v>131</v>
      </c>
      <c r="C53" s="42" t="s">
        <v>313</v>
      </c>
      <c r="D53" s="137" t="s">
        <v>248</v>
      </c>
      <c r="E53" s="126">
        <v>1</v>
      </c>
      <c r="F53" s="144" t="s">
        <v>303</v>
      </c>
      <c r="G53" s="145" t="s">
        <v>304</v>
      </c>
      <c r="H53" s="121"/>
    </row>
    <row r="54" spans="2:9" ht="20.100000000000001" customHeight="1">
      <c r="B54" s="143" t="s">
        <v>134</v>
      </c>
      <c r="C54" s="42" t="s">
        <v>135</v>
      </c>
      <c r="D54" s="137" t="s">
        <v>248</v>
      </c>
      <c r="E54" s="126">
        <v>0</v>
      </c>
      <c r="F54" s="144" t="s">
        <v>303</v>
      </c>
      <c r="G54" s="145" t="s">
        <v>304</v>
      </c>
      <c r="H54" s="121" t="s">
        <v>377</v>
      </c>
    </row>
    <row r="55" spans="2:9" ht="18" customHeight="1">
      <c r="B55" s="143" t="s">
        <v>137</v>
      </c>
      <c r="C55" s="42" t="s">
        <v>314</v>
      </c>
      <c r="D55" s="137" t="s">
        <v>248</v>
      </c>
      <c r="E55" s="126">
        <v>1</v>
      </c>
      <c r="F55" s="144" t="s">
        <v>303</v>
      </c>
      <c r="G55" s="145" t="s">
        <v>304</v>
      </c>
      <c r="H55" s="121"/>
    </row>
    <row r="56" spans="2:9" ht="30" customHeight="1">
      <c r="B56" s="143" t="s">
        <v>140</v>
      </c>
      <c r="C56" s="42" t="s">
        <v>315</v>
      </c>
      <c r="D56" s="137" t="s">
        <v>248</v>
      </c>
      <c r="E56" s="126">
        <v>0</v>
      </c>
      <c r="F56" s="144" t="s">
        <v>303</v>
      </c>
      <c r="G56" s="145" t="s">
        <v>304</v>
      </c>
      <c r="H56" s="121"/>
    </row>
    <row r="57" spans="2:9" ht="20.100000000000001" customHeight="1">
      <c r="B57" s="102" t="s">
        <v>317</v>
      </c>
      <c r="C57" s="103"/>
      <c r="D57" s="103"/>
      <c r="E57" s="103"/>
      <c r="F57" s="103"/>
      <c r="G57" s="103"/>
      <c r="H57" s="103"/>
    </row>
    <row r="58" spans="2:9" ht="20.100000000000001" customHeight="1">
      <c r="B58" s="141" t="s">
        <v>301</v>
      </c>
      <c r="C58" s="161" t="s">
        <v>302</v>
      </c>
      <c r="D58" s="190"/>
      <c r="E58" s="190"/>
      <c r="F58" s="190"/>
      <c r="G58" s="190"/>
      <c r="H58" s="191"/>
    </row>
    <row r="59" spans="2:9" ht="20.100000000000001" customHeight="1">
      <c r="B59" s="143" t="s">
        <v>144</v>
      </c>
      <c r="C59" s="42" t="s">
        <v>318</v>
      </c>
      <c r="D59" s="137" t="s">
        <v>248</v>
      </c>
      <c r="E59" s="126">
        <v>1</v>
      </c>
      <c r="F59" s="144" t="s">
        <v>303</v>
      </c>
      <c r="G59" s="145" t="s">
        <v>304</v>
      </c>
      <c r="H59" s="121"/>
    </row>
    <row r="60" spans="2:9" ht="20.100000000000001" customHeight="1">
      <c r="B60" s="143" t="s">
        <v>147</v>
      </c>
      <c r="C60" s="42" t="s">
        <v>148</v>
      </c>
      <c r="D60" s="137" t="s">
        <v>248</v>
      </c>
      <c r="E60" s="126">
        <v>1</v>
      </c>
      <c r="F60" s="144" t="s">
        <v>303</v>
      </c>
      <c r="G60" s="145" t="s">
        <v>304</v>
      </c>
      <c r="H60" s="121"/>
    </row>
    <row r="61" spans="2:9" ht="20.100000000000001" customHeight="1">
      <c r="B61" s="143" t="s">
        <v>150</v>
      </c>
      <c r="C61" s="42" t="s">
        <v>319</v>
      </c>
      <c r="D61" s="137" t="s">
        <v>248</v>
      </c>
      <c r="E61" s="126">
        <v>1</v>
      </c>
      <c r="F61" s="144" t="s">
        <v>303</v>
      </c>
      <c r="G61" s="145" t="s">
        <v>304</v>
      </c>
      <c r="H61" s="121"/>
    </row>
    <row r="62" spans="2:9" ht="20.100000000000001" customHeight="1">
      <c r="B62" s="143" t="s">
        <v>153</v>
      </c>
      <c r="C62" s="42" t="s">
        <v>320</v>
      </c>
      <c r="D62" s="137" t="s">
        <v>248</v>
      </c>
      <c r="E62" s="126">
        <v>1</v>
      </c>
      <c r="F62" s="144" t="s">
        <v>303</v>
      </c>
      <c r="G62" s="145" t="s">
        <v>304</v>
      </c>
      <c r="H62" s="121"/>
    </row>
    <row r="63" spans="2:9" ht="18" customHeight="1">
      <c r="B63" s="143" t="s">
        <v>156</v>
      </c>
      <c r="C63" s="42" t="s">
        <v>157</v>
      </c>
      <c r="D63" s="137" t="s">
        <v>248</v>
      </c>
      <c r="E63" s="126">
        <v>0</v>
      </c>
      <c r="F63" s="144" t="s">
        <v>303</v>
      </c>
      <c r="G63" s="145" t="s">
        <v>304</v>
      </c>
      <c r="H63" s="121"/>
    </row>
    <row r="64" spans="2:9" ht="30" customHeight="1">
      <c r="B64" s="143" t="s">
        <v>159</v>
      </c>
      <c r="C64" s="42" t="s">
        <v>160</v>
      </c>
      <c r="D64" s="137" t="s">
        <v>248</v>
      </c>
      <c r="E64" s="126">
        <v>0</v>
      </c>
      <c r="F64" s="144" t="s">
        <v>303</v>
      </c>
      <c r="G64" s="145" t="s">
        <v>304</v>
      </c>
      <c r="H64" s="12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10">
    <mergeCell ref="C67:H67"/>
    <mergeCell ref="C58:H58"/>
    <mergeCell ref="C50:H50"/>
    <mergeCell ref="N12:O12"/>
    <mergeCell ref="C44:H44"/>
    <mergeCell ref="C36:H36"/>
    <mergeCell ref="C52:H52"/>
    <mergeCell ref="C18:H18"/>
    <mergeCell ref="C34:H34"/>
    <mergeCell ref="H12:M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378</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379</v>
      </c>
      <c r="D3" s="121"/>
      <c r="E3" s="121"/>
      <c r="F3" s="121"/>
      <c r="G3" s="121"/>
      <c r="H3" s="121"/>
    </row>
    <row r="4" spans="2:15" ht="15.95" customHeight="1">
      <c r="B4" s="119" t="s">
        <v>204</v>
      </c>
      <c r="C4" s="42" t="s">
        <v>380</v>
      </c>
      <c r="D4" s="121"/>
      <c r="E4" s="121"/>
      <c r="F4" s="121"/>
      <c r="G4" s="121"/>
      <c r="H4" s="121"/>
    </row>
    <row r="5" spans="2:15" ht="15.95" customHeight="1">
      <c r="B5" s="119" t="s">
        <v>229</v>
      </c>
      <c r="C5" s="42" t="s">
        <v>381</v>
      </c>
      <c r="D5" s="121"/>
      <c r="E5" s="121"/>
      <c r="F5" s="121"/>
      <c r="G5" s="121"/>
      <c r="H5" s="121"/>
    </row>
    <row r="6" spans="2:15" ht="15.95" customHeight="1">
      <c r="B6" s="119" t="s">
        <v>230</v>
      </c>
      <c r="C6" s="42" t="s">
        <v>173</v>
      </c>
      <c r="D6" s="121"/>
      <c r="E6" s="121"/>
      <c r="F6" s="121"/>
      <c r="G6" s="121"/>
      <c r="H6" s="121"/>
    </row>
    <row r="7" spans="2:15" ht="15.95" customHeight="1">
      <c r="B7" s="119" t="s">
        <v>231</v>
      </c>
      <c r="C7" s="42" t="s">
        <v>368</v>
      </c>
      <c r="D7" s="121"/>
      <c r="E7" s="121"/>
      <c r="F7" s="121"/>
      <c r="G7" s="121"/>
      <c r="H7" s="121"/>
    </row>
    <row r="8" spans="2:15" ht="15.95" customHeight="1">
      <c r="B8" s="119" t="s">
        <v>233</v>
      </c>
      <c r="C8" s="42" t="s">
        <v>358</v>
      </c>
      <c r="D8" s="121"/>
      <c r="E8" s="121"/>
      <c r="F8" s="121"/>
      <c r="G8" s="121"/>
      <c r="H8" s="121"/>
    </row>
    <row r="9" spans="2:15" ht="15.95" customHeight="1">
      <c r="B9" s="119" t="s">
        <v>235</v>
      </c>
      <c r="C9" s="42" t="s">
        <v>382</v>
      </c>
      <c r="D9" s="121"/>
      <c r="E9" s="121"/>
      <c r="F9" s="121"/>
      <c r="G9" s="121"/>
      <c r="H9" s="121"/>
    </row>
    <row r="10" spans="2:15" ht="15.95" customHeight="1">
      <c r="B10" s="119" t="s">
        <v>206</v>
      </c>
      <c r="C10" s="42" t="s">
        <v>383</v>
      </c>
      <c r="D10" s="121"/>
      <c r="E10" s="121"/>
      <c r="F10" s="121"/>
      <c r="G10" s="121"/>
      <c r="H10" s="121"/>
    </row>
    <row r="11" spans="2:15" ht="15.95" customHeight="1">
      <c r="B11" s="119" t="s">
        <v>208</v>
      </c>
      <c r="C11" s="42" t="s">
        <v>12</v>
      </c>
      <c r="D11" s="121"/>
      <c r="E11" s="121"/>
      <c r="F11" s="121"/>
      <c r="G11" s="121"/>
      <c r="H11" s="121"/>
    </row>
    <row r="12" spans="2:15" ht="15.95" customHeight="1">
      <c r="B12" s="119" t="s">
        <v>236</v>
      </c>
      <c r="C12" s="122">
        <v>7800000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03"/>
      <c r="D16" s="103"/>
      <c r="E16" s="103"/>
      <c r="F16" s="103"/>
      <c r="G16" s="103"/>
      <c r="H16" s="103"/>
    </row>
    <row r="17" spans="2:8" ht="54.95" customHeight="1">
      <c r="B17" s="105" t="s">
        <v>57</v>
      </c>
      <c r="C17" s="119" t="s">
        <v>239</v>
      </c>
      <c r="D17" s="125" t="s">
        <v>240</v>
      </c>
      <c r="E17" s="126">
        <v>8</v>
      </c>
      <c r="F17" s="127" t="s">
        <v>241</v>
      </c>
      <c r="G17" s="128" t="s">
        <v>242</v>
      </c>
      <c r="H17" s="129" t="s">
        <v>243</v>
      </c>
    </row>
    <row r="18" spans="2:8" ht="54.95" customHeight="1">
      <c r="B18" s="130" t="s">
        <v>245</v>
      </c>
      <c r="C18" s="164" t="s">
        <v>384</v>
      </c>
      <c r="D18" s="190"/>
      <c r="E18" s="190"/>
      <c r="F18" s="190"/>
      <c r="G18" s="190"/>
      <c r="H18" s="191"/>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1</v>
      </c>
      <c r="F20" s="127" t="s">
        <v>253</v>
      </c>
      <c r="G20" s="128" t="s">
        <v>254</v>
      </c>
      <c r="H20" s="129" t="s">
        <v>255</v>
      </c>
    </row>
    <row r="21" spans="2:8" ht="15.95" customHeight="1">
      <c r="B21" s="105" t="s">
        <v>67</v>
      </c>
      <c r="C21" s="119" t="s">
        <v>256</v>
      </c>
      <c r="D21" s="125" t="s">
        <v>248</v>
      </c>
      <c r="E21" s="126">
        <v>0</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1</v>
      </c>
      <c r="F24" s="127" t="s">
        <v>268</v>
      </c>
      <c r="G24" s="128" t="s">
        <v>269</v>
      </c>
      <c r="H24" s="129" t="s">
        <v>270</v>
      </c>
    </row>
    <row r="25" spans="2:8" ht="54.95" customHeight="1">
      <c r="B25" s="105" t="s">
        <v>74</v>
      </c>
      <c r="C25" s="42" t="s">
        <v>271</v>
      </c>
      <c r="D25" s="137" t="s">
        <v>267</v>
      </c>
      <c r="E25" s="126">
        <v>2</v>
      </c>
      <c r="F25" s="127" t="s">
        <v>272</v>
      </c>
      <c r="G25" s="128" t="s">
        <v>273</v>
      </c>
      <c r="H25" s="129" t="s">
        <v>274</v>
      </c>
    </row>
    <row r="26" spans="2:8" ht="54.95" customHeight="1">
      <c r="B26" s="105" t="s">
        <v>76</v>
      </c>
      <c r="C26" s="42" t="s">
        <v>275</v>
      </c>
      <c r="D26" s="137" t="s">
        <v>267</v>
      </c>
      <c r="E26" s="126">
        <v>4</v>
      </c>
      <c r="F26" s="127" t="s">
        <v>276</v>
      </c>
      <c r="G26" s="128" t="s">
        <v>277</v>
      </c>
      <c r="H26" s="129" t="s">
        <v>278</v>
      </c>
    </row>
    <row r="27" spans="2:8" ht="54.95" customHeight="1">
      <c r="B27" s="105" t="s">
        <v>78</v>
      </c>
      <c r="C27" s="42" t="s">
        <v>279</v>
      </c>
      <c r="D27" s="137" t="s">
        <v>267</v>
      </c>
      <c r="E27" s="126">
        <v>3</v>
      </c>
      <c r="F27" s="127" t="s">
        <v>280</v>
      </c>
      <c r="G27" s="128" t="s">
        <v>281</v>
      </c>
      <c r="H27" s="129" t="s">
        <v>282</v>
      </c>
    </row>
    <row r="28" spans="2:8" ht="54.95" customHeight="1">
      <c r="B28" s="105" t="s">
        <v>80</v>
      </c>
      <c r="C28" s="42" t="s">
        <v>283</v>
      </c>
      <c r="D28" s="137" t="s">
        <v>267</v>
      </c>
      <c r="E28" s="126">
        <v>3</v>
      </c>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26">
        <v>2</v>
      </c>
      <c r="F30" s="127" t="s">
        <v>292</v>
      </c>
      <c r="G30" s="128" t="s">
        <v>293</v>
      </c>
      <c r="H30" s="129" t="s">
        <v>294</v>
      </c>
    </row>
    <row r="31" spans="2:8" ht="18" customHeight="1">
      <c r="B31" s="105" t="s">
        <v>86</v>
      </c>
      <c r="C31" s="42" t="s">
        <v>295</v>
      </c>
      <c r="D31" s="137" t="s">
        <v>267</v>
      </c>
      <c r="E31" s="126">
        <v>3</v>
      </c>
      <c r="F31" s="127" t="s">
        <v>331</v>
      </c>
      <c r="G31" s="128" t="s">
        <v>332</v>
      </c>
      <c r="H31" s="129" t="s">
        <v>333</v>
      </c>
    </row>
    <row r="32" spans="2:8" ht="30" customHeight="1">
      <c r="B32" s="105" t="s">
        <v>89</v>
      </c>
      <c r="C32" s="42" t="s">
        <v>296</v>
      </c>
      <c r="D32" s="138" t="s">
        <v>240</v>
      </c>
      <c r="E32" s="126">
        <v>8</v>
      </c>
      <c r="F32" s="139" t="s">
        <v>297</v>
      </c>
      <c r="G32" s="128" t="s">
        <v>298</v>
      </c>
      <c r="H32" s="140" t="s">
        <v>299</v>
      </c>
    </row>
    <row r="33" spans="2:8" ht="20.100000000000001" customHeight="1">
      <c r="B33" s="102" t="s">
        <v>300</v>
      </c>
      <c r="C33" s="103"/>
      <c r="D33" s="103"/>
      <c r="E33" s="103"/>
      <c r="F33" s="103"/>
      <c r="G33" s="103"/>
      <c r="H33" s="103"/>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0</v>
      </c>
      <c r="F35" s="144" t="s">
        <v>303</v>
      </c>
      <c r="G35" s="145" t="s">
        <v>304</v>
      </c>
      <c r="H35" s="121"/>
    </row>
    <row r="36" spans="2:8" ht="20.100000000000001" customHeight="1">
      <c r="B36" s="130" t="s">
        <v>245</v>
      </c>
      <c r="C36" s="163" t="s">
        <v>385</v>
      </c>
      <c r="D36" s="190"/>
      <c r="E36" s="190"/>
      <c r="F36" s="190"/>
      <c r="G36" s="190"/>
      <c r="H36" s="191"/>
    </row>
    <row r="37" spans="2:8" ht="20.100000000000001" customHeight="1">
      <c r="B37" s="143" t="s">
        <v>96</v>
      </c>
      <c r="C37" s="42" t="s">
        <v>97</v>
      </c>
      <c r="D37" s="137" t="s">
        <v>248</v>
      </c>
      <c r="E37" s="126">
        <v>0</v>
      </c>
      <c r="F37" s="144" t="s">
        <v>303</v>
      </c>
      <c r="G37" s="145" t="s">
        <v>304</v>
      </c>
      <c r="H37" s="121"/>
    </row>
    <row r="38" spans="2:8" ht="20.100000000000001" customHeight="1">
      <c r="B38" s="143" t="s">
        <v>99</v>
      </c>
      <c r="C38" s="42" t="s">
        <v>306</v>
      </c>
      <c r="D38" s="137" t="s">
        <v>248</v>
      </c>
      <c r="E38" s="126">
        <v>0</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1</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61" t="s">
        <v>302</v>
      </c>
      <c r="D44" s="190"/>
      <c r="E44" s="190"/>
      <c r="F44" s="190"/>
      <c r="G44" s="190"/>
      <c r="H44" s="191"/>
    </row>
    <row r="45" spans="2:8" ht="20.100000000000001" customHeight="1">
      <c r="B45" s="143" t="s">
        <v>115</v>
      </c>
      <c r="C45" s="42" t="s">
        <v>116</v>
      </c>
      <c r="D45" s="137" t="s">
        <v>248</v>
      </c>
      <c r="E45" s="126">
        <v>0</v>
      </c>
      <c r="F45" s="144" t="s">
        <v>303</v>
      </c>
      <c r="G45" s="145" t="s">
        <v>304</v>
      </c>
      <c r="H45" s="121"/>
    </row>
    <row r="46" spans="2:8" ht="20.100000000000001" customHeight="1">
      <c r="B46" s="143" t="s">
        <v>118</v>
      </c>
      <c r="C46" s="42" t="s">
        <v>119</v>
      </c>
      <c r="D46" s="137" t="s">
        <v>248</v>
      </c>
      <c r="E46" s="126">
        <v>0</v>
      </c>
      <c r="F46" s="144" t="s">
        <v>303</v>
      </c>
      <c r="G46" s="145" t="s">
        <v>304</v>
      </c>
      <c r="H46" s="121"/>
    </row>
    <row r="47" spans="2:8" ht="18" customHeight="1">
      <c r="B47" s="143" t="s">
        <v>121</v>
      </c>
      <c r="C47" s="42" t="s">
        <v>122</v>
      </c>
      <c r="D47" s="84" t="s">
        <v>248</v>
      </c>
      <c r="E47" s="126">
        <v>0</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03"/>
      <c r="E49" s="103"/>
      <c r="F49" s="103"/>
      <c r="G49" s="103"/>
      <c r="H49" s="103"/>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1</v>
      </c>
      <c r="F51" s="144" t="s">
        <v>303</v>
      </c>
      <c r="G51" s="145" t="s">
        <v>304</v>
      </c>
      <c r="H51" s="121"/>
    </row>
    <row r="52" spans="2:8" ht="20.100000000000001" customHeight="1">
      <c r="B52" s="130" t="s">
        <v>245</v>
      </c>
      <c r="C52" s="164" t="s">
        <v>386</v>
      </c>
      <c r="D52" s="190"/>
      <c r="E52" s="190"/>
      <c r="F52" s="190"/>
      <c r="G52" s="190"/>
      <c r="H52" s="191"/>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1</v>
      </c>
      <c r="F54" s="144" t="s">
        <v>303</v>
      </c>
      <c r="G54" s="145" t="s">
        <v>304</v>
      </c>
      <c r="H54" s="121"/>
    </row>
    <row r="55" spans="2:8" ht="18" customHeight="1">
      <c r="B55" s="143" t="s">
        <v>137</v>
      </c>
      <c r="C55" s="42" t="s">
        <v>314</v>
      </c>
      <c r="D55" s="137" t="s">
        <v>248</v>
      </c>
      <c r="E55" s="126">
        <v>0</v>
      </c>
      <c r="F55" s="144" t="s">
        <v>303</v>
      </c>
      <c r="G55" s="145" t="s">
        <v>304</v>
      </c>
      <c r="H55" s="121"/>
    </row>
    <row r="56" spans="2:8" ht="30" customHeight="1">
      <c r="B56" s="143" t="s">
        <v>140</v>
      </c>
      <c r="C56" s="42" t="s">
        <v>315</v>
      </c>
      <c r="D56" s="137" t="s">
        <v>248</v>
      </c>
      <c r="E56" s="126">
        <v>0</v>
      </c>
      <c r="F56" s="144" t="s">
        <v>303</v>
      </c>
      <c r="G56" s="145" t="s">
        <v>304</v>
      </c>
      <c r="H56" s="121"/>
    </row>
    <row r="57" spans="2:8" ht="20.100000000000001" customHeight="1">
      <c r="B57" s="102" t="s">
        <v>317</v>
      </c>
      <c r="C57" s="103"/>
      <c r="D57" s="103"/>
      <c r="E57" s="103"/>
      <c r="F57" s="103"/>
      <c r="G57" s="103"/>
      <c r="H57" s="103"/>
    </row>
    <row r="58" spans="2:8" ht="20.100000000000001" customHeight="1">
      <c r="B58" s="141" t="s">
        <v>301</v>
      </c>
      <c r="C58" s="161" t="s">
        <v>302</v>
      </c>
      <c r="D58" s="190"/>
      <c r="E58" s="190"/>
      <c r="F58" s="190"/>
      <c r="G58" s="190"/>
      <c r="H58" s="191"/>
    </row>
    <row r="59" spans="2:8" ht="20.100000000000001" customHeight="1">
      <c r="B59" s="143" t="s">
        <v>144</v>
      </c>
      <c r="C59" s="42" t="s">
        <v>318</v>
      </c>
      <c r="D59" s="137" t="s">
        <v>248</v>
      </c>
      <c r="E59" s="126">
        <v>0</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37" t="s">
        <v>248</v>
      </c>
      <c r="E63" s="126">
        <v>0</v>
      </c>
      <c r="F63" s="144" t="s">
        <v>303</v>
      </c>
      <c r="G63" s="145" t="s">
        <v>304</v>
      </c>
      <c r="H63" s="121"/>
    </row>
    <row r="64" spans="2:8" ht="30" customHeight="1">
      <c r="B64" s="143" t="s">
        <v>159</v>
      </c>
      <c r="C64" s="42" t="s">
        <v>160</v>
      </c>
      <c r="D64" s="137" t="s">
        <v>248</v>
      </c>
      <c r="E64" s="126">
        <v>0</v>
      </c>
      <c r="F64" s="144" t="s">
        <v>303</v>
      </c>
      <c r="G64" s="145" t="s">
        <v>304</v>
      </c>
      <c r="H64" s="12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10">
    <mergeCell ref="C67:H67"/>
    <mergeCell ref="C58:H58"/>
    <mergeCell ref="C50:H50"/>
    <mergeCell ref="N12:O12"/>
    <mergeCell ref="C44:H44"/>
    <mergeCell ref="C36:H36"/>
    <mergeCell ref="C52:H52"/>
    <mergeCell ref="C18:H18"/>
    <mergeCell ref="C34:H34"/>
    <mergeCell ref="H12:M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387</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388</v>
      </c>
      <c r="D3" s="121"/>
      <c r="E3" s="121"/>
      <c r="F3" s="121"/>
      <c r="G3" s="121"/>
      <c r="H3" s="121"/>
    </row>
    <row r="4" spans="2:15" ht="15.95" customHeight="1">
      <c r="B4" s="119" t="s">
        <v>204</v>
      </c>
      <c r="C4" s="42" t="s">
        <v>389</v>
      </c>
      <c r="D4" s="121"/>
      <c r="E4" s="121"/>
      <c r="F4" s="121"/>
      <c r="G4" s="121"/>
      <c r="H4" s="121"/>
    </row>
    <row r="5" spans="2:15" ht="15.95" customHeight="1">
      <c r="B5" s="119" t="s">
        <v>229</v>
      </c>
      <c r="C5" s="42" t="s">
        <v>390</v>
      </c>
      <c r="D5" s="121"/>
      <c r="E5" s="121"/>
      <c r="F5" s="121"/>
      <c r="G5" s="121"/>
      <c r="H5" s="121"/>
    </row>
    <row r="6" spans="2:15" ht="15.95" customHeight="1">
      <c r="B6" s="119" t="s">
        <v>230</v>
      </c>
      <c r="C6" s="42" t="s">
        <v>174</v>
      </c>
      <c r="D6" s="121"/>
      <c r="E6" s="121"/>
      <c r="F6" s="121"/>
      <c r="G6" s="121"/>
      <c r="H6" s="121"/>
    </row>
    <row r="7" spans="2:15" ht="15.95" customHeight="1">
      <c r="B7" s="119" t="s">
        <v>231</v>
      </c>
      <c r="C7" s="42" t="s">
        <v>391</v>
      </c>
      <c r="D7" s="121"/>
      <c r="E7" s="121"/>
      <c r="F7" s="121"/>
      <c r="G7" s="121"/>
      <c r="H7" s="121"/>
    </row>
    <row r="8" spans="2:15" ht="15.95" customHeight="1">
      <c r="B8" s="119" t="s">
        <v>233</v>
      </c>
      <c r="C8" s="42" t="s">
        <v>349</v>
      </c>
      <c r="D8" s="121"/>
      <c r="E8" s="121"/>
      <c r="F8" s="121"/>
      <c r="G8" s="121"/>
      <c r="H8" s="121"/>
    </row>
    <row r="9" spans="2:15" ht="15.95" customHeight="1">
      <c r="B9" s="119" t="s">
        <v>235</v>
      </c>
      <c r="C9" s="42"/>
      <c r="D9" s="121"/>
      <c r="E9" s="121"/>
      <c r="F9" s="121"/>
      <c r="G9" s="121"/>
      <c r="H9" s="121"/>
    </row>
    <row r="10" spans="2:15" ht="15.95" customHeight="1">
      <c r="B10" s="119" t="s">
        <v>206</v>
      </c>
      <c r="C10" s="42" t="s">
        <v>392</v>
      </c>
      <c r="D10" s="121"/>
      <c r="E10" s="121"/>
      <c r="F10" s="121"/>
      <c r="G10" s="121"/>
      <c r="H10" s="121"/>
    </row>
    <row r="11" spans="2:15" ht="15.95" customHeight="1">
      <c r="B11" s="119" t="s">
        <v>208</v>
      </c>
      <c r="C11" s="42" t="s">
        <v>6</v>
      </c>
      <c r="D11" s="121"/>
      <c r="E11" s="121"/>
      <c r="F11" s="121"/>
      <c r="G11" s="121"/>
      <c r="H11" s="121"/>
    </row>
    <row r="12" spans="2:15" ht="15.95" customHeight="1">
      <c r="B12" s="119" t="s">
        <v>236</v>
      </c>
      <c r="C12" s="122">
        <v>90000000</v>
      </c>
      <c r="D12" s="121"/>
      <c r="E12" s="121"/>
      <c r="F12" s="121"/>
      <c r="G12" s="121"/>
      <c r="H12" s="162"/>
      <c r="I12" s="190"/>
      <c r="J12" s="190"/>
      <c r="K12" s="190"/>
      <c r="L12" s="190"/>
      <c r="M12" s="191"/>
      <c r="N12" s="192"/>
      <c r="O12" s="192"/>
    </row>
    <row r="13" spans="2:15" ht="15.95" customHeight="1">
      <c r="B13" s="119" t="s">
        <v>166</v>
      </c>
      <c r="C13" s="42" t="s">
        <v>393</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26">
        <v>8</v>
      </c>
      <c r="F17" s="127" t="s">
        <v>241</v>
      </c>
      <c r="G17" s="128" t="s">
        <v>242</v>
      </c>
      <c r="H17" s="129" t="s">
        <v>243</v>
      </c>
    </row>
    <row r="18" spans="2:8" ht="54.95" customHeight="1">
      <c r="B18" s="130" t="s">
        <v>245</v>
      </c>
      <c r="C18" s="131" t="s">
        <v>394</v>
      </c>
      <c r="D18" s="1"/>
      <c r="E18" s="1"/>
      <c r="F18" s="1"/>
      <c r="G18" s="1"/>
      <c r="H18" s="2"/>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0</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3</v>
      </c>
      <c r="F24" s="127" t="s">
        <v>268</v>
      </c>
      <c r="G24" s="128" t="s">
        <v>269</v>
      </c>
      <c r="H24" s="129" t="s">
        <v>270</v>
      </c>
    </row>
    <row r="25" spans="2:8" ht="54.95" customHeight="1">
      <c r="B25" s="105" t="s">
        <v>74</v>
      </c>
      <c r="C25" s="42" t="s">
        <v>271</v>
      </c>
      <c r="D25" s="137" t="s">
        <v>267</v>
      </c>
      <c r="E25" s="126">
        <v>2</v>
      </c>
      <c r="F25" s="127" t="s">
        <v>272</v>
      </c>
      <c r="G25" s="128" t="s">
        <v>273</v>
      </c>
      <c r="H25" s="129" t="s">
        <v>274</v>
      </c>
    </row>
    <row r="26" spans="2:8" ht="54.95" customHeight="1">
      <c r="B26" s="105" t="s">
        <v>76</v>
      </c>
      <c r="C26" s="42" t="s">
        <v>275</v>
      </c>
      <c r="D26" s="137" t="s">
        <v>267</v>
      </c>
      <c r="E26" s="126">
        <v>4</v>
      </c>
      <c r="F26" s="127" t="s">
        <v>276</v>
      </c>
      <c r="G26" s="128" t="s">
        <v>277</v>
      </c>
      <c r="H26" s="129" t="s">
        <v>278</v>
      </c>
    </row>
    <row r="27" spans="2:8" ht="54.95" customHeight="1">
      <c r="B27" s="105" t="s">
        <v>78</v>
      </c>
      <c r="C27" s="42" t="s">
        <v>279</v>
      </c>
      <c r="D27" s="137" t="s">
        <v>267</v>
      </c>
      <c r="E27" s="126">
        <v>3</v>
      </c>
      <c r="F27" s="127" t="s">
        <v>280</v>
      </c>
      <c r="G27" s="128" t="s">
        <v>281</v>
      </c>
      <c r="H27" s="129" t="s">
        <v>282</v>
      </c>
    </row>
    <row r="28" spans="2:8" ht="54.95" customHeight="1">
      <c r="B28" s="105" t="s">
        <v>80</v>
      </c>
      <c r="C28" s="42" t="s">
        <v>283</v>
      </c>
      <c r="D28" s="137" t="s">
        <v>267</v>
      </c>
      <c r="E28" s="126">
        <v>4</v>
      </c>
      <c r="F28" s="127" t="s">
        <v>284</v>
      </c>
      <c r="G28" s="128" t="s">
        <v>285</v>
      </c>
      <c r="H28" s="129" t="s">
        <v>286</v>
      </c>
    </row>
    <row r="29" spans="2:8" ht="54.95" customHeight="1">
      <c r="B29" s="105" t="s">
        <v>82</v>
      </c>
      <c r="C29" s="42" t="s">
        <v>287</v>
      </c>
      <c r="D29" s="137" t="s">
        <v>267</v>
      </c>
      <c r="E29" s="126">
        <v>4</v>
      </c>
      <c r="F29" s="127" t="s">
        <v>288</v>
      </c>
      <c r="G29" s="128" t="s">
        <v>289</v>
      </c>
      <c r="H29" s="129" t="s">
        <v>290</v>
      </c>
    </row>
    <row r="30" spans="2:8" ht="54.95" customHeight="1">
      <c r="B30" s="105" t="s">
        <v>84</v>
      </c>
      <c r="C30" s="42" t="s">
        <v>291</v>
      </c>
      <c r="D30" s="137" t="s">
        <v>267</v>
      </c>
      <c r="E30" s="126">
        <v>4</v>
      </c>
      <c r="F30" s="127" t="s">
        <v>292</v>
      </c>
      <c r="G30" s="128" t="s">
        <v>293</v>
      </c>
      <c r="H30" s="129" t="s">
        <v>294</v>
      </c>
    </row>
    <row r="31" spans="2:8" ht="18" customHeight="1">
      <c r="B31" s="105" t="s">
        <v>86</v>
      </c>
      <c r="C31" s="42" t="s">
        <v>295</v>
      </c>
      <c r="D31" s="137" t="s">
        <v>267</v>
      </c>
      <c r="E31" s="126">
        <v>2</v>
      </c>
      <c r="F31" s="127" t="s">
        <v>331</v>
      </c>
      <c r="G31" s="128" t="s">
        <v>332</v>
      </c>
      <c r="H31" s="129" t="s">
        <v>333</v>
      </c>
    </row>
    <row r="32" spans="2:8" ht="30" customHeight="1">
      <c r="B32" s="105" t="s">
        <v>89</v>
      </c>
      <c r="C32" s="42" t="s">
        <v>296</v>
      </c>
      <c r="D32" s="138" t="s">
        <v>240</v>
      </c>
      <c r="E32" s="126">
        <v>8</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31" t="s">
        <v>395</v>
      </c>
      <c r="D36" s="1"/>
      <c r="E36" s="1"/>
      <c r="F36" s="1"/>
      <c r="G36" s="1"/>
      <c r="H36" s="2"/>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0</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0</v>
      </c>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
      <c r="E63" s="1"/>
      <c r="F63" s="1"/>
      <c r="G63" s="1"/>
      <c r="H63" s="2"/>
    </row>
    <row r="64" spans="2:8" ht="30" customHeight="1">
      <c r="B64" s="143" t="s">
        <v>159</v>
      </c>
      <c r="C64" s="165" t="s">
        <v>160</v>
      </c>
      <c r="D64" s="190"/>
      <c r="E64" s="190"/>
      <c r="F64" s="190"/>
      <c r="G64" s="190"/>
      <c r="H64" s="19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8">
    <mergeCell ref="C67:H67"/>
    <mergeCell ref="C16:H16"/>
    <mergeCell ref="C50:H50"/>
    <mergeCell ref="N12:O12"/>
    <mergeCell ref="C64:H64"/>
    <mergeCell ref="C56:H56"/>
    <mergeCell ref="H12:M12"/>
    <mergeCell ref="C34:H3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397</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398</v>
      </c>
      <c r="D3" s="121"/>
      <c r="E3" s="121"/>
      <c r="F3" s="121"/>
      <c r="G3" s="121"/>
      <c r="H3" s="121"/>
    </row>
    <row r="4" spans="2:15" ht="15.95" customHeight="1">
      <c r="B4" s="119" t="s">
        <v>204</v>
      </c>
      <c r="C4" s="42" t="s">
        <v>399</v>
      </c>
      <c r="D4" s="121"/>
      <c r="E4" s="121"/>
      <c r="F4" s="121"/>
      <c r="G4" s="121"/>
      <c r="H4" s="121"/>
    </row>
    <row r="5" spans="2:15" ht="15.95" customHeight="1">
      <c r="B5" s="119" t="s">
        <v>229</v>
      </c>
      <c r="C5" s="42" t="s">
        <v>32</v>
      </c>
      <c r="D5" s="121"/>
      <c r="E5" s="121"/>
      <c r="F5" s="121"/>
      <c r="G5" s="121"/>
      <c r="H5" s="121"/>
    </row>
    <row r="6" spans="2:15" ht="15.95" customHeight="1">
      <c r="B6" s="119" t="s">
        <v>230</v>
      </c>
      <c r="C6" s="42" t="s">
        <v>175</v>
      </c>
      <c r="D6" s="121"/>
      <c r="E6" s="121"/>
      <c r="F6" s="121"/>
      <c r="G6" s="121"/>
      <c r="H6" s="121"/>
    </row>
    <row r="7" spans="2:15" ht="15.95" customHeight="1">
      <c r="B7" s="119" t="s">
        <v>231</v>
      </c>
      <c r="C7" s="42" t="s">
        <v>400</v>
      </c>
      <c r="D7" s="121"/>
      <c r="E7" s="121"/>
      <c r="F7" s="121"/>
      <c r="G7" s="121"/>
      <c r="H7" s="121"/>
    </row>
    <row r="8" spans="2:15" ht="15.95" customHeight="1">
      <c r="B8" s="119" t="s">
        <v>233</v>
      </c>
      <c r="C8" s="42" t="s">
        <v>401</v>
      </c>
      <c r="D8" s="121"/>
      <c r="E8" s="121"/>
      <c r="F8" s="121"/>
      <c r="G8" s="121"/>
      <c r="H8" s="121"/>
    </row>
    <row r="9" spans="2:15" ht="15.95" customHeight="1">
      <c r="B9" s="119" t="s">
        <v>235</v>
      </c>
      <c r="C9" s="42"/>
      <c r="D9" s="121"/>
      <c r="E9" s="121"/>
      <c r="F9" s="121"/>
      <c r="G9" s="121"/>
      <c r="H9" s="121"/>
    </row>
    <row r="10" spans="2:15" ht="15.95" customHeight="1">
      <c r="B10" s="119" t="s">
        <v>206</v>
      </c>
      <c r="C10" s="42" t="s">
        <v>402</v>
      </c>
      <c r="D10" s="121"/>
      <c r="E10" s="121"/>
      <c r="F10" s="121"/>
      <c r="G10" s="121"/>
      <c r="H10" s="121"/>
    </row>
    <row r="11" spans="2:15" ht="15.95" customHeight="1">
      <c r="B11" s="119" t="s">
        <v>208</v>
      </c>
      <c r="C11" s="42" t="s">
        <v>12</v>
      </c>
      <c r="D11" s="121"/>
      <c r="E11" s="121"/>
      <c r="F11" s="121"/>
      <c r="G11" s="121"/>
      <c r="H11" s="121"/>
    </row>
    <row r="12" spans="2:15" ht="15.95" customHeight="1">
      <c r="B12" s="119" t="s">
        <v>236</v>
      </c>
      <c r="C12" s="3">
        <v>2000000000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26">
        <v>8</v>
      </c>
      <c r="F17" s="127" t="s">
        <v>241</v>
      </c>
      <c r="G17" s="128" t="s">
        <v>242</v>
      </c>
      <c r="H17" s="129" t="s">
        <v>243</v>
      </c>
    </row>
    <row r="18" spans="2:8" ht="54.95" customHeight="1">
      <c r="B18" s="130" t="s">
        <v>245</v>
      </c>
      <c r="C18" s="131" t="s">
        <v>403</v>
      </c>
      <c r="D18" s="1"/>
      <c r="E18" s="1"/>
      <c r="F18" s="1"/>
      <c r="G18" s="1"/>
      <c r="H18" s="2"/>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1</v>
      </c>
      <c r="F20" s="127" t="s">
        <v>253</v>
      </c>
      <c r="G20" s="128" t="s">
        <v>254</v>
      </c>
      <c r="H20" s="129" t="s">
        <v>255</v>
      </c>
    </row>
    <row r="21" spans="2:8" ht="15.95" customHeight="1">
      <c r="B21" s="105" t="s">
        <v>67</v>
      </c>
      <c r="C21" s="119" t="s">
        <v>256</v>
      </c>
      <c r="D21" s="125" t="s">
        <v>248</v>
      </c>
      <c r="E21" s="126">
        <v>0</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3</v>
      </c>
      <c r="F24" s="127" t="s">
        <v>268</v>
      </c>
      <c r="G24" s="128" t="s">
        <v>269</v>
      </c>
      <c r="H24" s="129" t="s">
        <v>270</v>
      </c>
    </row>
    <row r="25" spans="2:8" ht="54.95" customHeight="1">
      <c r="B25" s="105" t="s">
        <v>74</v>
      </c>
      <c r="C25" s="42" t="s">
        <v>271</v>
      </c>
      <c r="D25" s="137" t="s">
        <v>267</v>
      </c>
      <c r="E25" s="126">
        <v>2</v>
      </c>
      <c r="F25" s="127" t="s">
        <v>272</v>
      </c>
      <c r="G25" s="128" t="s">
        <v>273</v>
      </c>
      <c r="H25" s="129" t="s">
        <v>274</v>
      </c>
    </row>
    <row r="26" spans="2:8" ht="54.95" customHeight="1">
      <c r="B26" s="105" t="s">
        <v>76</v>
      </c>
      <c r="C26" s="42" t="s">
        <v>275</v>
      </c>
      <c r="D26" s="137" t="s">
        <v>267</v>
      </c>
      <c r="E26" s="126">
        <v>4</v>
      </c>
      <c r="F26" s="127" t="s">
        <v>276</v>
      </c>
      <c r="G26" s="128" t="s">
        <v>277</v>
      </c>
      <c r="H26" s="129" t="s">
        <v>278</v>
      </c>
    </row>
    <row r="27" spans="2:8" ht="54.95" customHeight="1">
      <c r="B27" s="105" t="s">
        <v>78</v>
      </c>
      <c r="C27" s="42" t="s">
        <v>279</v>
      </c>
      <c r="D27" s="137" t="s">
        <v>267</v>
      </c>
      <c r="E27" s="126">
        <v>2</v>
      </c>
      <c r="F27" s="127" t="s">
        <v>280</v>
      </c>
      <c r="G27" s="128" t="s">
        <v>281</v>
      </c>
      <c r="H27" s="129" t="s">
        <v>282</v>
      </c>
    </row>
    <row r="28" spans="2:8" ht="54.95" customHeight="1">
      <c r="B28" s="105" t="s">
        <v>80</v>
      </c>
      <c r="C28" s="42" t="s">
        <v>283</v>
      </c>
      <c r="D28" s="137" t="s">
        <v>267</v>
      </c>
      <c r="E28" s="126">
        <v>5</v>
      </c>
      <c r="F28" s="127" t="s">
        <v>284</v>
      </c>
      <c r="G28" s="128" t="s">
        <v>285</v>
      </c>
      <c r="H28" s="129" t="s">
        <v>286</v>
      </c>
    </row>
    <row r="29" spans="2:8" ht="54.95" customHeight="1">
      <c r="B29" s="105" t="s">
        <v>82</v>
      </c>
      <c r="C29" s="42" t="s">
        <v>287</v>
      </c>
      <c r="D29" s="137" t="s">
        <v>267</v>
      </c>
      <c r="E29" s="126">
        <v>2</v>
      </c>
      <c r="F29" s="127" t="s">
        <v>288</v>
      </c>
      <c r="G29" s="128" t="s">
        <v>289</v>
      </c>
      <c r="H29" s="129" t="s">
        <v>290</v>
      </c>
    </row>
    <row r="30" spans="2:8" ht="54.95" customHeight="1">
      <c r="B30" s="105" t="s">
        <v>84</v>
      </c>
      <c r="C30" s="42" t="s">
        <v>291</v>
      </c>
      <c r="D30" s="137" t="s">
        <v>267</v>
      </c>
      <c r="E30" s="126">
        <v>4</v>
      </c>
      <c r="F30" s="127" t="s">
        <v>292</v>
      </c>
      <c r="G30" s="128" t="s">
        <v>293</v>
      </c>
      <c r="H30" s="129" t="s">
        <v>294</v>
      </c>
    </row>
    <row r="31" spans="2:8" ht="18" customHeight="1">
      <c r="B31" s="105" t="s">
        <v>86</v>
      </c>
      <c r="C31" s="42" t="s">
        <v>295</v>
      </c>
      <c r="D31" s="137" t="s">
        <v>267</v>
      </c>
      <c r="E31" s="126">
        <v>4</v>
      </c>
      <c r="F31" s="127" t="s">
        <v>331</v>
      </c>
      <c r="G31" s="128" t="s">
        <v>332</v>
      </c>
      <c r="H31" s="129" t="s">
        <v>333</v>
      </c>
    </row>
    <row r="32" spans="2:8" ht="30" customHeight="1">
      <c r="B32" s="105" t="s">
        <v>89</v>
      </c>
      <c r="C32" s="42" t="s">
        <v>296</v>
      </c>
      <c r="D32" s="138" t="s">
        <v>240</v>
      </c>
      <c r="E32" s="126">
        <v>6</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0</v>
      </c>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26">
        <v>0</v>
      </c>
      <c r="F37" s="144" t="s">
        <v>303</v>
      </c>
      <c r="G37" s="145" t="s">
        <v>304</v>
      </c>
      <c r="H37" s="121"/>
    </row>
    <row r="38" spans="2:8" ht="20.100000000000001" customHeight="1">
      <c r="B38" s="143" t="s">
        <v>99</v>
      </c>
      <c r="C38" s="42" t="s">
        <v>306</v>
      </c>
      <c r="D38" s="137" t="s">
        <v>248</v>
      </c>
      <c r="E38" s="126">
        <v>0</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1</v>
      </c>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0</v>
      </c>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26">
        <v>1</v>
      </c>
      <c r="F53" s="144" t="s">
        <v>303</v>
      </c>
      <c r="G53" s="145" t="s">
        <v>304</v>
      </c>
      <c r="H53" s="121"/>
    </row>
    <row r="54" spans="2:8" ht="20.100000000000001" customHeight="1">
      <c r="B54" s="143" t="s">
        <v>134</v>
      </c>
      <c r="C54" s="42" t="s">
        <v>135</v>
      </c>
      <c r="D54" s="137" t="s">
        <v>248</v>
      </c>
      <c r="E54" s="126">
        <v>1</v>
      </c>
      <c r="F54" s="144" t="s">
        <v>303</v>
      </c>
      <c r="G54" s="145" t="s">
        <v>304</v>
      </c>
      <c r="H54" s="121"/>
    </row>
    <row r="55" spans="2:8" ht="18" customHeight="1">
      <c r="B55" s="143" t="s">
        <v>137</v>
      </c>
      <c r="C55" s="42" t="s">
        <v>314</v>
      </c>
      <c r="D55" s="1"/>
      <c r="E55" s="155"/>
      <c r="F55" s="1"/>
      <c r="G55" s="1"/>
      <c r="H55" s="2"/>
    </row>
    <row r="56" spans="2:8" ht="30" customHeight="1">
      <c r="B56" s="143" t="s">
        <v>140</v>
      </c>
      <c r="C56" s="42" t="s">
        <v>315</v>
      </c>
      <c r="E56" s="156"/>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1</v>
      </c>
      <c r="F62" s="144" t="s">
        <v>303</v>
      </c>
      <c r="G62" s="145" t="s">
        <v>304</v>
      </c>
      <c r="H62" s="121"/>
    </row>
    <row r="63" spans="2:8" ht="18" customHeight="1">
      <c r="B63" s="143" t="s">
        <v>156</v>
      </c>
      <c r="C63" s="42" t="s">
        <v>157</v>
      </c>
      <c r="D63" s="1"/>
      <c r="E63" s="155"/>
      <c r="F63" s="1"/>
      <c r="G63" s="1"/>
      <c r="H63" s="2"/>
    </row>
    <row r="64" spans="2:8" ht="30" customHeight="1">
      <c r="B64" s="143" t="s">
        <v>159</v>
      </c>
      <c r="C64" s="42" t="s">
        <v>160</v>
      </c>
      <c r="E64" s="156"/>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6">
    <mergeCell ref="C67:H67"/>
    <mergeCell ref="C16:H16"/>
    <mergeCell ref="C50:H50"/>
    <mergeCell ref="N12:O12"/>
    <mergeCell ref="C34:H34"/>
    <mergeCell ref="H12:M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404</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405</v>
      </c>
      <c r="D3" s="121"/>
      <c r="E3" s="121"/>
      <c r="F3" s="121"/>
      <c r="G3" s="121"/>
      <c r="H3" s="121"/>
    </row>
    <row r="4" spans="2:15" ht="15.95" customHeight="1">
      <c r="B4" s="119" t="s">
        <v>204</v>
      </c>
      <c r="C4" s="42" t="s">
        <v>406</v>
      </c>
      <c r="D4" s="121"/>
      <c r="E4" s="121"/>
      <c r="F4" s="121"/>
      <c r="G4" s="121"/>
      <c r="H4" s="121"/>
    </row>
    <row r="5" spans="2:15" ht="15.95" customHeight="1">
      <c r="B5" s="119" t="s">
        <v>229</v>
      </c>
      <c r="C5" s="42" t="s">
        <v>31</v>
      </c>
      <c r="D5" s="121"/>
      <c r="E5" s="121"/>
      <c r="F5" s="121"/>
      <c r="G5" s="121"/>
      <c r="H5" s="121"/>
    </row>
    <row r="6" spans="2:15" ht="15.95" customHeight="1">
      <c r="B6" s="119" t="s">
        <v>230</v>
      </c>
      <c r="C6" s="42" t="s">
        <v>176</v>
      </c>
      <c r="D6" s="121"/>
      <c r="E6" s="121"/>
      <c r="F6" s="121"/>
      <c r="G6" s="121"/>
      <c r="H6" s="121"/>
    </row>
    <row r="7" spans="2:15" ht="15.95" customHeight="1">
      <c r="B7" s="119" t="s">
        <v>231</v>
      </c>
      <c r="C7" s="42" t="s">
        <v>407</v>
      </c>
      <c r="D7" s="121"/>
      <c r="E7" s="121"/>
      <c r="F7" s="121"/>
      <c r="G7" s="121"/>
      <c r="H7" s="121"/>
    </row>
    <row r="8" spans="2:15" ht="15.95" customHeight="1">
      <c r="B8" s="119" t="s">
        <v>233</v>
      </c>
      <c r="C8" s="42" t="s">
        <v>408</v>
      </c>
      <c r="D8" s="121"/>
      <c r="E8" s="121"/>
      <c r="F8" s="121"/>
      <c r="G8" s="121"/>
      <c r="H8" s="121"/>
    </row>
    <row r="9" spans="2:15" ht="15.95" customHeight="1">
      <c r="B9" s="119" t="s">
        <v>235</v>
      </c>
      <c r="C9" s="42"/>
      <c r="D9" s="121"/>
      <c r="E9" s="121"/>
      <c r="F9" s="121"/>
      <c r="G9" s="121"/>
      <c r="H9" s="121"/>
    </row>
    <row r="10" spans="2:15" ht="15.95" customHeight="1">
      <c r="B10" s="119" t="s">
        <v>206</v>
      </c>
      <c r="C10" s="42" t="s">
        <v>370</v>
      </c>
      <c r="D10" s="121"/>
      <c r="E10" s="121"/>
      <c r="F10" s="121"/>
      <c r="G10" s="121"/>
      <c r="H10" s="121"/>
    </row>
    <row r="11" spans="2:15" ht="15.95" customHeight="1">
      <c r="B11" s="119" t="s">
        <v>208</v>
      </c>
      <c r="C11" s="42" t="s">
        <v>6</v>
      </c>
      <c r="D11" s="121"/>
      <c r="E11" s="121"/>
      <c r="F11" s="121"/>
      <c r="G11" s="121"/>
      <c r="H11" s="121"/>
    </row>
    <row r="12" spans="2:15" ht="15.95" customHeight="1">
      <c r="B12" s="119" t="s">
        <v>236</v>
      </c>
      <c r="C12" s="3">
        <v>52000000</v>
      </c>
      <c r="D12" s="121"/>
      <c r="E12" s="121"/>
      <c r="F12" s="121"/>
      <c r="G12" s="121"/>
      <c r="H12" s="162"/>
      <c r="I12" s="190"/>
      <c r="J12" s="190"/>
      <c r="K12" s="190"/>
      <c r="L12" s="190"/>
      <c r="M12" s="191"/>
      <c r="N12" s="192"/>
      <c r="O12" s="192"/>
    </row>
    <row r="13" spans="2:15" ht="15.95" customHeight="1">
      <c r="B13" s="119" t="s">
        <v>166</v>
      </c>
      <c r="C13" s="42" t="s">
        <v>409</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26">
        <v>7</v>
      </c>
      <c r="F17" s="127" t="s">
        <v>241</v>
      </c>
      <c r="G17" s="128" t="s">
        <v>242</v>
      </c>
      <c r="H17" s="129" t="s">
        <v>243</v>
      </c>
    </row>
    <row r="18" spans="2:8" ht="54.95" customHeight="1">
      <c r="B18" s="130" t="s">
        <v>245</v>
      </c>
      <c r="C18" s="131" t="s">
        <v>410</v>
      </c>
      <c r="D18" s="1"/>
      <c r="E18" s="1"/>
      <c r="F18" s="1"/>
      <c r="G18" s="1"/>
      <c r="H18" s="2"/>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1</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2</v>
      </c>
      <c r="F24" s="127" t="s">
        <v>268</v>
      </c>
      <c r="G24" s="128" t="s">
        <v>269</v>
      </c>
      <c r="H24" s="129" t="s">
        <v>270</v>
      </c>
    </row>
    <row r="25" spans="2:8" ht="54.95" customHeight="1">
      <c r="B25" s="105" t="s">
        <v>74</v>
      </c>
      <c r="C25" s="42" t="s">
        <v>271</v>
      </c>
      <c r="D25" s="137" t="s">
        <v>267</v>
      </c>
      <c r="E25" s="126">
        <v>2</v>
      </c>
      <c r="F25" s="127" t="s">
        <v>272</v>
      </c>
      <c r="G25" s="128" t="s">
        <v>273</v>
      </c>
      <c r="H25" s="129" t="s">
        <v>274</v>
      </c>
    </row>
    <row r="26" spans="2:8" ht="54.95" customHeight="1">
      <c r="B26" s="105" t="s">
        <v>76</v>
      </c>
      <c r="C26" s="42" t="s">
        <v>275</v>
      </c>
      <c r="D26" s="137" t="s">
        <v>267</v>
      </c>
      <c r="E26" s="126">
        <v>5</v>
      </c>
      <c r="F26" s="127" t="s">
        <v>276</v>
      </c>
      <c r="G26" s="128" t="s">
        <v>277</v>
      </c>
      <c r="H26" s="129" t="s">
        <v>278</v>
      </c>
    </row>
    <row r="27" spans="2:8" ht="54.95" customHeight="1">
      <c r="B27" s="105" t="s">
        <v>78</v>
      </c>
      <c r="C27" s="42" t="s">
        <v>279</v>
      </c>
      <c r="D27" s="137" t="s">
        <v>267</v>
      </c>
      <c r="E27" s="126">
        <v>3</v>
      </c>
      <c r="F27" s="127" t="s">
        <v>280</v>
      </c>
      <c r="G27" s="128" t="s">
        <v>281</v>
      </c>
      <c r="H27" s="129" t="s">
        <v>282</v>
      </c>
    </row>
    <row r="28" spans="2:8" ht="54.95" customHeight="1">
      <c r="B28" s="105" t="s">
        <v>80</v>
      </c>
      <c r="C28" s="42" t="s">
        <v>283</v>
      </c>
      <c r="D28" s="137" t="s">
        <v>267</v>
      </c>
      <c r="E28" s="126">
        <v>5</v>
      </c>
      <c r="F28" s="127" t="s">
        <v>284</v>
      </c>
      <c r="G28" s="128" t="s">
        <v>285</v>
      </c>
      <c r="H28" s="129" t="s">
        <v>286</v>
      </c>
    </row>
    <row r="29" spans="2:8" ht="54.95" customHeight="1">
      <c r="B29" s="105" t="s">
        <v>82</v>
      </c>
      <c r="C29" s="42" t="s">
        <v>287</v>
      </c>
      <c r="D29" s="137" t="s">
        <v>267</v>
      </c>
      <c r="E29" s="126">
        <v>3</v>
      </c>
      <c r="F29" s="127" t="s">
        <v>288</v>
      </c>
      <c r="G29" s="128" t="s">
        <v>289</v>
      </c>
      <c r="H29" s="129" t="s">
        <v>290</v>
      </c>
    </row>
    <row r="30" spans="2:8" ht="54.95" customHeight="1">
      <c r="B30" s="105" t="s">
        <v>84</v>
      </c>
      <c r="C30" s="42" t="s">
        <v>291</v>
      </c>
      <c r="D30" s="137" t="s">
        <v>267</v>
      </c>
      <c r="E30" s="126">
        <v>4</v>
      </c>
      <c r="F30" s="127" t="s">
        <v>292</v>
      </c>
      <c r="G30" s="128" t="s">
        <v>293</v>
      </c>
      <c r="H30" s="129" t="s">
        <v>294</v>
      </c>
    </row>
    <row r="31" spans="2:8" ht="18" customHeight="1">
      <c r="B31" s="105" t="s">
        <v>86</v>
      </c>
      <c r="C31" s="42" t="s">
        <v>295</v>
      </c>
      <c r="D31" s="137" t="s">
        <v>267</v>
      </c>
      <c r="E31" s="126">
        <v>4</v>
      </c>
      <c r="F31" s="127" t="s">
        <v>331</v>
      </c>
      <c r="G31" s="128" t="s">
        <v>332</v>
      </c>
      <c r="H31" s="129" t="s">
        <v>333</v>
      </c>
    </row>
    <row r="32" spans="2:8" ht="30" customHeight="1">
      <c r="B32" s="105" t="s">
        <v>89</v>
      </c>
      <c r="C32" s="42" t="s">
        <v>296</v>
      </c>
      <c r="D32" s="138" t="s">
        <v>240</v>
      </c>
      <c r="E32" s="126">
        <v>7</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31" t="s">
        <v>411</v>
      </c>
      <c r="D36" s="1"/>
      <c r="E36" s="1"/>
      <c r="F36" s="1"/>
      <c r="G36" s="1"/>
      <c r="H36" s="2"/>
    </row>
    <row r="37" spans="2:8" ht="20.100000000000001" customHeight="1">
      <c r="B37" s="143" t="s">
        <v>96</v>
      </c>
      <c r="C37" s="42" t="s">
        <v>97</v>
      </c>
      <c r="D37" s="137" t="s">
        <v>248</v>
      </c>
      <c r="E37" s="126">
        <v>0</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0</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0</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1</v>
      </c>
      <c r="F51" s="144" t="s">
        <v>303</v>
      </c>
      <c r="G51" s="145" t="s">
        <v>304</v>
      </c>
      <c r="H51" s="121"/>
    </row>
    <row r="52" spans="2:8" ht="20.100000000000001" customHeight="1">
      <c r="B52" s="130" t="s">
        <v>245</v>
      </c>
      <c r="C52" s="131" t="s">
        <v>412</v>
      </c>
      <c r="D52" s="1"/>
      <c r="E52" s="1"/>
      <c r="F52" s="1"/>
      <c r="G52" s="1"/>
      <c r="H52" s="2"/>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1</v>
      </c>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37" t="s">
        <v>248</v>
      </c>
      <c r="E63" s="126">
        <v>0</v>
      </c>
      <c r="F63" s="144" t="s">
        <v>303</v>
      </c>
      <c r="G63" s="145" t="s">
        <v>304</v>
      </c>
      <c r="H63" s="2"/>
    </row>
    <row r="64" spans="2:8" ht="30" customHeight="1">
      <c r="B64" s="143" t="s">
        <v>159</v>
      </c>
      <c r="C64" s="42" t="s">
        <v>160</v>
      </c>
      <c r="D64" s="137" t="s">
        <v>248</v>
      </c>
      <c r="E64" s="126">
        <v>0</v>
      </c>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413</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414</v>
      </c>
      <c r="D3" s="121"/>
      <c r="E3" s="121"/>
      <c r="F3" s="121"/>
      <c r="G3" s="121"/>
      <c r="H3" s="121"/>
    </row>
    <row r="4" spans="2:15" ht="15.95" customHeight="1">
      <c r="B4" s="119" t="s">
        <v>204</v>
      </c>
      <c r="C4" s="42" t="s">
        <v>415</v>
      </c>
      <c r="D4" s="121"/>
      <c r="E4" s="121"/>
      <c r="F4" s="121"/>
      <c r="G4" s="121"/>
      <c r="H4" s="121"/>
    </row>
    <row r="5" spans="2:15" ht="15.95" customHeight="1">
      <c r="B5" s="119" t="s">
        <v>229</v>
      </c>
      <c r="C5" s="42" t="s">
        <v>26</v>
      </c>
      <c r="D5" s="121"/>
      <c r="E5" s="121"/>
      <c r="F5" s="121"/>
      <c r="G5" s="121"/>
      <c r="H5" s="121"/>
    </row>
    <row r="6" spans="2:15" ht="15.95" customHeight="1">
      <c r="B6" s="119" t="s">
        <v>230</v>
      </c>
      <c r="C6" s="42" t="s">
        <v>177</v>
      </c>
      <c r="D6" s="121"/>
      <c r="E6" s="121"/>
      <c r="F6" s="121"/>
      <c r="G6" s="121"/>
      <c r="H6" s="121"/>
    </row>
    <row r="7" spans="2:15" ht="15.95" customHeight="1">
      <c r="B7" s="119" t="s">
        <v>231</v>
      </c>
      <c r="C7" s="42"/>
      <c r="D7" s="121"/>
      <c r="E7" s="121"/>
      <c r="F7" s="121"/>
      <c r="G7" s="121"/>
      <c r="H7" s="121"/>
    </row>
    <row r="8" spans="2:15" ht="15.95" customHeight="1">
      <c r="B8" s="119" t="s">
        <v>233</v>
      </c>
      <c r="C8" s="42" t="s">
        <v>416</v>
      </c>
      <c r="D8" s="121"/>
      <c r="E8" s="121"/>
      <c r="F8" s="121"/>
      <c r="G8" s="121"/>
      <c r="H8" s="121"/>
    </row>
    <row r="9" spans="2:15" ht="15.95" customHeight="1">
      <c r="B9" s="119" t="s">
        <v>235</v>
      </c>
      <c r="C9" s="42"/>
      <c r="D9" s="121"/>
      <c r="E9" s="121"/>
      <c r="F9" s="121"/>
      <c r="G9" s="121"/>
      <c r="H9" s="121"/>
    </row>
    <row r="10" spans="2:15" ht="15.95" customHeight="1">
      <c r="B10" s="119" t="s">
        <v>206</v>
      </c>
      <c r="C10" s="42" t="s">
        <v>417</v>
      </c>
      <c r="D10" s="121"/>
      <c r="E10" s="121"/>
      <c r="F10" s="121"/>
      <c r="G10" s="121"/>
      <c r="H10" s="121"/>
    </row>
    <row r="11" spans="2:15" ht="15.95" customHeight="1">
      <c r="B11" s="119" t="s">
        <v>208</v>
      </c>
      <c r="C11" s="42" t="s">
        <v>9</v>
      </c>
      <c r="D11" s="121"/>
      <c r="E11" s="121"/>
      <c r="F11" s="121"/>
      <c r="G11" s="121"/>
      <c r="H11" s="121"/>
    </row>
    <row r="12" spans="2:15" ht="15.95" customHeight="1">
      <c r="B12" s="119" t="s">
        <v>236</v>
      </c>
      <c r="C12" s="3">
        <v>140000000</v>
      </c>
      <c r="D12" s="121"/>
      <c r="E12" s="121"/>
      <c r="F12" s="121"/>
      <c r="G12" s="121"/>
      <c r="H12" s="162"/>
      <c r="I12" s="190"/>
      <c r="J12" s="190"/>
      <c r="K12" s="190"/>
      <c r="L12" s="190"/>
      <c r="M12" s="191"/>
      <c r="N12" s="192"/>
      <c r="O12" s="192"/>
    </row>
    <row r="13" spans="2:15" ht="15.95" customHeight="1">
      <c r="B13" s="119" t="s">
        <v>166</v>
      </c>
      <c r="C13" s="42" t="s">
        <v>418</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26">
        <v>9</v>
      </c>
      <c r="F17" s="127" t="s">
        <v>241</v>
      </c>
      <c r="G17" s="128" t="s">
        <v>242</v>
      </c>
      <c r="H17" s="129" t="s">
        <v>243</v>
      </c>
    </row>
    <row r="18" spans="2:8" ht="54.95" customHeight="1">
      <c r="B18" s="130" t="s">
        <v>245</v>
      </c>
      <c r="C18" s="131" t="s">
        <v>419</v>
      </c>
      <c r="D18" s="1"/>
      <c r="E18" s="1"/>
      <c r="F18" s="1"/>
      <c r="G18" s="1"/>
      <c r="H18" s="2"/>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0</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1</v>
      </c>
      <c r="F24" s="127" t="s">
        <v>268</v>
      </c>
      <c r="G24" s="128" t="s">
        <v>269</v>
      </c>
      <c r="H24" s="129" t="s">
        <v>270</v>
      </c>
    </row>
    <row r="25" spans="2:8" ht="54.95" customHeight="1">
      <c r="B25" s="105" t="s">
        <v>74</v>
      </c>
      <c r="C25" s="42" t="s">
        <v>271</v>
      </c>
      <c r="D25" s="137" t="s">
        <v>267</v>
      </c>
      <c r="E25" s="126">
        <v>1</v>
      </c>
      <c r="F25" s="127" t="s">
        <v>272</v>
      </c>
      <c r="G25" s="128" t="s">
        <v>273</v>
      </c>
      <c r="H25" s="129" t="s">
        <v>274</v>
      </c>
    </row>
    <row r="26" spans="2:8" ht="54.95" customHeight="1">
      <c r="B26" s="105" t="s">
        <v>76</v>
      </c>
      <c r="C26" s="42" t="s">
        <v>275</v>
      </c>
      <c r="D26" s="137" t="s">
        <v>267</v>
      </c>
      <c r="E26" s="126">
        <v>2</v>
      </c>
      <c r="F26" s="127" t="s">
        <v>276</v>
      </c>
      <c r="G26" s="128" t="s">
        <v>277</v>
      </c>
      <c r="H26" s="129" t="s">
        <v>278</v>
      </c>
    </row>
    <row r="27" spans="2:8" ht="54.95" customHeight="1">
      <c r="B27" s="105" t="s">
        <v>78</v>
      </c>
      <c r="C27" s="42" t="s">
        <v>279</v>
      </c>
      <c r="D27" s="137" t="s">
        <v>267</v>
      </c>
      <c r="E27" s="126">
        <v>2</v>
      </c>
      <c r="F27" s="127" t="s">
        <v>280</v>
      </c>
      <c r="G27" s="128" t="s">
        <v>281</v>
      </c>
      <c r="H27" s="129" t="s">
        <v>282</v>
      </c>
    </row>
    <row r="28" spans="2:8" ht="54.95" customHeight="1">
      <c r="B28" s="105" t="s">
        <v>80</v>
      </c>
      <c r="C28" s="42" t="s">
        <v>283</v>
      </c>
      <c r="D28" s="137" t="s">
        <v>267</v>
      </c>
      <c r="E28" s="126">
        <v>2</v>
      </c>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26">
        <v>2</v>
      </c>
      <c r="F30" s="127" t="s">
        <v>292</v>
      </c>
      <c r="G30" s="128" t="s">
        <v>293</v>
      </c>
      <c r="H30" s="129" t="s">
        <v>294</v>
      </c>
    </row>
    <row r="31" spans="2:8" ht="18" customHeight="1">
      <c r="B31" s="105" t="s">
        <v>86</v>
      </c>
      <c r="C31" s="42" t="s">
        <v>295</v>
      </c>
      <c r="D31" s="1"/>
      <c r="E31" s="1"/>
      <c r="F31" s="1"/>
      <c r="G31" s="1"/>
      <c r="H31" s="2"/>
    </row>
    <row r="32" spans="2:8" ht="30" customHeight="1">
      <c r="B32" s="105" t="s">
        <v>89</v>
      </c>
      <c r="C32" s="42" t="s">
        <v>296</v>
      </c>
      <c r="D32" s="138" t="s">
        <v>240</v>
      </c>
      <c r="E32" s="126">
        <v>9</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1</v>
      </c>
      <c r="F35" s="144" t="s">
        <v>303</v>
      </c>
      <c r="G35" s="145" t="s">
        <v>304</v>
      </c>
      <c r="H35" s="121"/>
    </row>
    <row r="36" spans="2:8" ht="20.100000000000001" customHeight="1">
      <c r="B36" s="130" t="s">
        <v>245</v>
      </c>
      <c r="C36" s="131" t="s">
        <v>420</v>
      </c>
      <c r="D36" s="1"/>
      <c r="E36" s="1"/>
      <c r="F36" s="1"/>
      <c r="G36" s="1"/>
      <c r="H36" s="2"/>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0</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0</v>
      </c>
      <c r="F46" s="144" t="s">
        <v>303</v>
      </c>
      <c r="G46" s="145" t="s">
        <v>304</v>
      </c>
      <c r="H46" s="121"/>
    </row>
    <row r="47" spans="2:8" ht="18" customHeight="1">
      <c r="B47" s="143" t="s">
        <v>121</v>
      </c>
      <c r="C47" s="42" t="s">
        <v>122</v>
      </c>
      <c r="D47" s="84" t="s">
        <v>248</v>
      </c>
      <c r="E47" s="126">
        <v>0</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1</v>
      </c>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0</v>
      </c>
      <c r="F62" s="144" t="s">
        <v>303</v>
      </c>
      <c r="G62" s="145" t="s">
        <v>304</v>
      </c>
      <c r="H62" s="121"/>
    </row>
    <row r="63" spans="2:8" ht="18" customHeight="1">
      <c r="B63" s="143" t="s">
        <v>156</v>
      </c>
      <c r="C63" s="42" t="s">
        <v>157</v>
      </c>
      <c r="D63" s="137" t="s">
        <v>248</v>
      </c>
      <c r="E63" s="126">
        <v>0</v>
      </c>
      <c r="F63" s="144" t="s">
        <v>303</v>
      </c>
      <c r="G63" s="145" t="s">
        <v>304</v>
      </c>
      <c r="H63" s="2"/>
    </row>
    <row r="64" spans="2:8" ht="30" customHeight="1">
      <c r="B64" s="143" t="s">
        <v>159</v>
      </c>
      <c r="C64" s="42" t="s">
        <v>160</v>
      </c>
      <c r="D64" s="137" t="s">
        <v>248</v>
      </c>
      <c r="E64" s="126">
        <v>0</v>
      </c>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421</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422</v>
      </c>
      <c r="D3" s="121"/>
      <c r="E3" s="121"/>
      <c r="F3" s="121"/>
      <c r="G3" s="121"/>
      <c r="H3" s="121"/>
    </row>
    <row r="4" spans="2:15" ht="15.95" customHeight="1">
      <c r="B4" s="119" t="s">
        <v>204</v>
      </c>
      <c r="C4" s="42" t="s">
        <v>423</v>
      </c>
      <c r="D4" s="121"/>
      <c r="E4" s="121"/>
      <c r="F4" s="121"/>
      <c r="G4" s="121"/>
      <c r="H4" s="121"/>
    </row>
    <row r="5" spans="2:15" ht="15.95" customHeight="1">
      <c r="B5" s="119" t="s">
        <v>229</v>
      </c>
      <c r="C5" s="42" t="s">
        <v>424</v>
      </c>
      <c r="D5" s="121"/>
      <c r="E5" s="121"/>
      <c r="F5" s="121"/>
      <c r="G5" s="121"/>
      <c r="H5" s="121"/>
    </row>
    <row r="6" spans="2:15" ht="15.95" customHeight="1">
      <c r="B6" s="119" t="s">
        <v>230</v>
      </c>
      <c r="C6" s="42" t="s">
        <v>178</v>
      </c>
      <c r="D6" s="121"/>
      <c r="E6" s="121"/>
      <c r="F6" s="121"/>
      <c r="G6" s="121"/>
      <c r="H6" s="121"/>
    </row>
    <row r="7" spans="2:15" ht="15.95" customHeight="1">
      <c r="B7" s="119" t="s">
        <v>231</v>
      </c>
      <c r="C7" s="151">
        <v>46087</v>
      </c>
      <c r="D7" s="121"/>
      <c r="E7" s="121"/>
      <c r="F7" s="121"/>
      <c r="G7" s="121"/>
      <c r="H7" s="121"/>
    </row>
    <row r="8" spans="2:15" ht="15.95" customHeight="1">
      <c r="B8" s="119" t="s">
        <v>233</v>
      </c>
      <c r="C8" s="42" t="s">
        <v>234</v>
      </c>
      <c r="D8" s="121"/>
      <c r="E8" s="121"/>
      <c r="F8" s="121"/>
      <c r="G8" s="121"/>
      <c r="H8" s="121"/>
    </row>
    <row r="9" spans="2:15" ht="15.95" customHeight="1">
      <c r="B9" s="119" t="s">
        <v>235</v>
      </c>
      <c r="C9" s="42"/>
      <c r="D9" s="121"/>
      <c r="E9" s="121"/>
      <c r="F9" s="121"/>
      <c r="G9" s="121"/>
      <c r="H9" s="121"/>
    </row>
    <row r="10" spans="2:15" ht="15.95" customHeight="1">
      <c r="B10" s="119" t="s">
        <v>206</v>
      </c>
      <c r="C10" s="42" t="s">
        <v>425</v>
      </c>
      <c r="D10" s="121"/>
      <c r="E10" s="121"/>
      <c r="F10" s="121"/>
      <c r="G10" s="121"/>
      <c r="H10" s="121"/>
    </row>
    <row r="11" spans="2:15" ht="15.95" customHeight="1">
      <c r="B11" s="119" t="s">
        <v>208</v>
      </c>
      <c r="C11" s="42" t="s">
        <v>13</v>
      </c>
      <c r="D11" s="121"/>
      <c r="E11" s="121"/>
      <c r="F11" s="121"/>
      <c r="G11" s="121"/>
      <c r="H11" s="121"/>
    </row>
    <row r="12" spans="2:15" ht="15.95" customHeight="1">
      <c r="B12" s="119" t="s">
        <v>236</v>
      </c>
      <c r="C12" s="3">
        <v>3240000000</v>
      </c>
      <c r="D12" s="121"/>
      <c r="E12" s="121"/>
      <c r="F12" s="121"/>
      <c r="G12" s="121"/>
      <c r="H12" s="162"/>
      <c r="I12" s="190"/>
      <c r="J12" s="190"/>
      <c r="K12" s="190"/>
      <c r="L12" s="190"/>
      <c r="M12" s="191"/>
      <c r="N12" s="192"/>
      <c r="O12" s="192"/>
    </row>
    <row r="13" spans="2:15" ht="15.95" customHeight="1">
      <c r="B13" s="119" t="s">
        <v>166</v>
      </c>
      <c r="C13" s="42" t="s">
        <v>426</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26">
        <v>3</v>
      </c>
      <c r="F17" s="127" t="s">
        <v>241</v>
      </c>
      <c r="G17" s="128" t="s">
        <v>242</v>
      </c>
      <c r="H17" s="129" t="s">
        <v>243</v>
      </c>
    </row>
    <row r="18" spans="2:8" ht="54.95" customHeight="1">
      <c r="B18" s="130" t="s">
        <v>245</v>
      </c>
      <c r="C18" s="131" t="s">
        <v>427</v>
      </c>
      <c r="D18" s="1"/>
      <c r="E18" s="1"/>
      <c r="F18" s="1"/>
      <c r="G18" s="1"/>
      <c r="H18" s="2"/>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1</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46"/>
      <c r="F24" s="127" t="s">
        <v>268</v>
      </c>
      <c r="G24" s="128" t="s">
        <v>269</v>
      </c>
      <c r="H24" s="129" t="s">
        <v>270</v>
      </c>
    </row>
    <row r="25" spans="2:8" ht="54.95" customHeight="1">
      <c r="B25" s="105" t="s">
        <v>74</v>
      </c>
      <c r="C25" s="42" t="s">
        <v>271</v>
      </c>
      <c r="D25" s="137" t="s">
        <v>267</v>
      </c>
      <c r="E25" s="146"/>
      <c r="F25" s="127" t="s">
        <v>272</v>
      </c>
      <c r="G25" s="128" t="s">
        <v>273</v>
      </c>
      <c r="H25" s="129" t="s">
        <v>274</v>
      </c>
    </row>
    <row r="26" spans="2:8" ht="54.95" customHeight="1">
      <c r="B26" s="105" t="s">
        <v>76</v>
      </c>
      <c r="C26" s="42" t="s">
        <v>275</v>
      </c>
      <c r="D26" s="137" t="s">
        <v>267</v>
      </c>
      <c r="E26" s="126">
        <v>2</v>
      </c>
      <c r="F26" s="127" t="s">
        <v>276</v>
      </c>
      <c r="G26" s="128" t="s">
        <v>277</v>
      </c>
      <c r="H26" s="129" t="s">
        <v>278</v>
      </c>
    </row>
    <row r="27" spans="2:8" ht="54.95" customHeight="1">
      <c r="B27" s="105" t="s">
        <v>78</v>
      </c>
      <c r="C27" s="42" t="s">
        <v>279</v>
      </c>
      <c r="D27" s="137" t="s">
        <v>267</v>
      </c>
      <c r="E27" s="126">
        <v>1</v>
      </c>
      <c r="F27" s="127" t="s">
        <v>280</v>
      </c>
      <c r="G27" s="128" t="s">
        <v>281</v>
      </c>
      <c r="H27" s="129" t="s">
        <v>282</v>
      </c>
    </row>
    <row r="28" spans="2:8" ht="54.95" customHeight="1">
      <c r="B28" s="105" t="s">
        <v>80</v>
      </c>
      <c r="C28" s="42" t="s">
        <v>283</v>
      </c>
      <c r="D28" s="137" t="s">
        <v>267</v>
      </c>
      <c r="E28" s="126">
        <v>2</v>
      </c>
      <c r="F28" s="127" t="s">
        <v>284</v>
      </c>
      <c r="G28" s="128" t="s">
        <v>285</v>
      </c>
      <c r="H28" s="129" t="s">
        <v>286</v>
      </c>
    </row>
    <row r="29" spans="2:8" ht="54.95" customHeight="1">
      <c r="B29" s="105" t="s">
        <v>82</v>
      </c>
      <c r="C29" s="42" t="s">
        <v>287</v>
      </c>
      <c r="D29" s="137" t="s">
        <v>267</v>
      </c>
      <c r="E29" s="146"/>
      <c r="F29" s="127" t="s">
        <v>288</v>
      </c>
      <c r="G29" s="128" t="s">
        <v>289</v>
      </c>
      <c r="H29" s="129" t="s">
        <v>290</v>
      </c>
    </row>
    <row r="30" spans="2:8" ht="54.95" customHeight="1">
      <c r="B30" s="105" t="s">
        <v>84</v>
      </c>
      <c r="C30" s="42" t="s">
        <v>291</v>
      </c>
      <c r="D30" s="137" t="s">
        <v>267</v>
      </c>
      <c r="E30" s="126">
        <v>4</v>
      </c>
      <c r="F30" s="127" t="s">
        <v>292</v>
      </c>
      <c r="G30" s="128" t="s">
        <v>293</v>
      </c>
      <c r="H30" s="129" t="s">
        <v>294</v>
      </c>
    </row>
    <row r="31" spans="2:8" ht="18" customHeight="1">
      <c r="B31" s="105" t="s">
        <v>86</v>
      </c>
      <c r="C31" s="42" t="s">
        <v>295</v>
      </c>
      <c r="D31" s="137" t="s">
        <v>267</v>
      </c>
      <c r="E31" s="126">
        <v>4</v>
      </c>
      <c r="F31" s="127" t="s">
        <v>331</v>
      </c>
      <c r="G31" s="128" t="s">
        <v>332</v>
      </c>
      <c r="H31" s="129" t="s">
        <v>333</v>
      </c>
    </row>
    <row r="32" spans="2:8" ht="30" customHeight="1">
      <c r="B32" s="105" t="s">
        <v>89</v>
      </c>
      <c r="C32" s="42" t="s">
        <v>296</v>
      </c>
      <c r="D32" s="138" t="s">
        <v>240</v>
      </c>
      <c r="E32" s="126">
        <v>3</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0</v>
      </c>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0</v>
      </c>
      <c r="F39" s="144" t="s">
        <v>303</v>
      </c>
      <c r="G39" s="145" t="s">
        <v>304</v>
      </c>
      <c r="H39" s="121"/>
    </row>
    <row r="40" spans="2:8" ht="20.100000000000001" customHeight="1">
      <c r="B40" s="143" t="s">
        <v>105</v>
      </c>
      <c r="C40" s="42" t="s">
        <v>106</v>
      </c>
      <c r="D40" s="137" t="s">
        <v>248</v>
      </c>
      <c r="E40" s="126">
        <v>1</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0</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0</v>
      </c>
      <c r="F47" s="127" t="s">
        <v>303</v>
      </c>
      <c r="G47" s="128" t="s">
        <v>304</v>
      </c>
      <c r="H47" s="129" t="s">
        <v>302</v>
      </c>
    </row>
    <row r="48" spans="2:8" ht="30" customHeight="1">
      <c r="B48" s="143" t="s">
        <v>124</v>
      </c>
      <c r="C48" s="42" t="s">
        <v>125</v>
      </c>
      <c r="D48" s="84" t="s">
        <v>248</v>
      </c>
      <c r="E48" s="126">
        <v>0</v>
      </c>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26">
        <v>0</v>
      </c>
      <c r="F53" s="144" t="s">
        <v>303</v>
      </c>
      <c r="G53" s="145" t="s">
        <v>304</v>
      </c>
      <c r="H53" s="121"/>
    </row>
    <row r="54" spans="2:8" ht="20.100000000000001" customHeight="1">
      <c r="B54" s="143" t="s">
        <v>134</v>
      </c>
      <c r="C54" s="42" t="s">
        <v>135</v>
      </c>
      <c r="D54" s="137" t="s">
        <v>248</v>
      </c>
      <c r="E54" s="126">
        <v>0</v>
      </c>
      <c r="F54" s="144" t="s">
        <v>303</v>
      </c>
      <c r="G54" s="145" t="s">
        <v>304</v>
      </c>
      <c r="H54" s="121"/>
    </row>
    <row r="55" spans="2:8" ht="18" customHeight="1">
      <c r="B55" s="143" t="s">
        <v>137</v>
      </c>
      <c r="C55" s="42" t="s">
        <v>314</v>
      </c>
      <c r="D55" s="1"/>
      <c r="E55" s="126">
        <v>0</v>
      </c>
      <c r="F55" s="1"/>
      <c r="G55" s="1"/>
      <c r="H55" s="2"/>
    </row>
    <row r="56" spans="2:8" ht="30" customHeight="1">
      <c r="B56" s="143" t="s">
        <v>140</v>
      </c>
      <c r="C56" s="42" t="s">
        <v>315</v>
      </c>
      <c r="E56" s="126">
        <v>1</v>
      </c>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0</v>
      </c>
      <c r="F61" s="144" t="s">
        <v>303</v>
      </c>
      <c r="G61" s="145" t="s">
        <v>304</v>
      </c>
      <c r="H61" s="121"/>
    </row>
    <row r="62" spans="2:8" ht="20.100000000000001" customHeight="1">
      <c r="B62" s="143" t="s">
        <v>153</v>
      </c>
      <c r="C62" s="42" t="s">
        <v>320</v>
      </c>
      <c r="D62" s="137" t="s">
        <v>248</v>
      </c>
      <c r="E62" s="126">
        <v>1</v>
      </c>
      <c r="F62" s="144" t="s">
        <v>303</v>
      </c>
      <c r="G62" s="145" t="s">
        <v>304</v>
      </c>
      <c r="H62" s="121"/>
    </row>
    <row r="63" spans="2:8" ht="18" customHeight="1">
      <c r="B63" s="143" t="s">
        <v>156</v>
      </c>
      <c r="C63" s="42" t="s">
        <v>157</v>
      </c>
      <c r="D63" s="137" t="s">
        <v>248</v>
      </c>
      <c r="E63" s="126">
        <v>0</v>
      </c>
      <c r="F63" s="144" t="s">
        <v>303</v>
      </c>
      <c r="G63" s="145" t="s">
        <v>304</v>
      </c>
      <c r="H63" s="2"/>
    </row>
    <row r="64" spans="2:8" ht="30" customHeight="1">
      <c r="B64" s="143" t="s">
        <v>159</v>
      </c>
      <c r="C64" s="42" t="s">
        <v>160</v>
      </c>
      <c r="D64" s="137" t="s">
        <v>248</v>
      </c>
      <c r="E64" s="126">
        <v>0</v>
      </c>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6">
    <mergeCell ref="C67:H67"/>
    <mergeCell ref="C16:H16"/>
    <mergeCell ref="C50:H50"/>
    <mergeCell ref="N12:O12"/>
    <mergeCell ref="C34:H34"/>
    <mergeCell ref="H12:M1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B1:O67"/>
  <sheetViews>
    <sheetView workbookViewId="0">
      <selection activeCell="C21" sqref="C2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428</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t="s">
        <v>429</v>
      </c>
      <c r="D3" s="121"/>
      <c r="E3" s="121"/>
      <c r="F3" s="121"/>
      <c r="G3" s="121"/>
      <c r="H3" s="121"/>
    </row>
    <row r="4" spans="2:15" ht="15.95" customHeight="1">
      <c r="B4" s="119" t="s">
        <v>204</v>
      </c>
      <c r="C4" s="42" t="s">
        <v>430</v>
      </c>
      <c r="D4" s="121"/>
      <c r="E4" s="121"/>
      <c r="F4" s="121"/>
      <c r="G4" s="121"/>
      <c r="H4" s="121"/>
    </row>
    <row r="5" spans="2:15" ht="15.95" customHeight="1">
      <c r="B5" s="119" t="s">
        <v>229</v>
      </c>
      <c r="C5" s="42" t="s">
        <v>29</v>
      </c>
      <c r="D5" s="121"/>
      <c r="E5" s="121"/>
      <c r="F5" s="121"/>
      <c r="G5" s="121"/>
      <c r="H5" s="121"/>
    </row>
    <row r="6" spans="2:15" ht="15.95" customHeight="1">
      <c r="B6" s="119" t="s">
        <v>230</v>
      </c>
      <c r="C6" s="42" t="s">
        <v>179</v>
      </c>
      <c r="D6" s="121"/>
      <c r="E6" s="121"/>
      <c r="F6" s="121"/>
      <c r="G6" s="121"/>
      <c r="H6" s="121"/>
    </row>
    <row r="7" spans="2:15" ht="15.95" customHeight="1">
      <c r="B7" s="119" t="s">
        <v>231</v>
      </c>
      <c r="C7" s="42" t="s">
        <v>431</v>
      </c>
      <c r="D7" s="121"/>
      <c r="E7" s="121"/>
      <c r="F7" s="121"/>
      <c r="G7" s="121"/>
      <c r="H7" s="121"/>
    </row>
    <row r="8" spans="2:15" ht="15.95" customHeight="1">
      <c r="B8" s="119" t="s">
        <v>233</v>
      </c>
      <c r="C8" s="42" t="s">
        <v>432</v>
      </c>
      <c r="D8" s="121"/>
      <c r="E8" s="121"/>
      <c r="F8" s="121"/>
      <c r="G8" s="121"/>
      <c r="H8" s="121"/>
    </row>
    <row r="9" spans="2:15" ht="15.95" customHeight="1">
      <c r="B9" s="119" t="s">
        <v>235</v>
      </c>
      <c r="C9" s="42"/>
      <c r="D9" s="121"/>
      <c r="E9" s="121"/>
      <c r="F9" s="121"/>
      <c r="G9" s="121"/>
      <c r="H9" s="121"/>
    </row>
    <row r="10" spans="2:15" ht="15.95" customHeight="1">
      <c r="B10" s="119" t="s">
        <v>206</v>
      </c>
      <c r="C10" s="42" t="s">
        <v>433</v>
      </c>
      <c r="D10" s="121"/>
      <c r="E10" s="121"/>
      <c r="F10" s="121"/>
      <c r="G10" s="121"/>
      <c r="H10" s="121"/>
    </row>
    <row r="11" spans="2:15" ht="15.95" customHeight="1">
      <c r="B11" s="119" t="s">
        <v>208</v>
      </c>
      <c r="C11" s="42" t="s">
        <v>6</v>
      </c>
      <c r="D11" s="121"/>
      <c r="E11" s="121"/>
      <c r="F11" s="121"/>
      <c r="G11" s="121"/>
      <c r="H11" s="121"/>
    </row>
    <row r="12" spans="2:15" ht="15.95" customHeight="1">
      <c r="B12" s="119" t="s">
        <v>236</v>
      </c>
      <c r="C12" s="3">
        <v>140000000</v>
      </c>
      <c r="D12" s="121"/>
      <c r="E12" s="121"/>
      <c r="F12" s="121"/>
      <c r="G12" s="121"/>
      <c r="H12" s="162"/>
      <c r="I12" s="190"/>
      <c r="J12" s="190"/>
      <c r="K12" s="190"/>
      <c r="L12" s="190"/>
      <c r="M12" s="191"/>
      <c r="N12" s="192"/>
      <c r="O12" s="192"/>
    </row>
    <row r="13" spans="2:15" ht="15.95" customHeight="1">
      <c r="B13" s="119" t="s">
        <v>166</v>
      </c>
      <c r="C13" s="42" t="s">
        <v>237</v>
      </c>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26">
        <v>9</v>
      </c>
      <c r="F17" s="127" t="s">
        <v>241</v>
      </c>
      <c r="G17" s="128" t="s">
        <v>242</v>
      </c>
      <c r="H17" s="129" t="s">
        <v>243</v>
      </c>
    </row>
    <row r="18" spans="2:8" ht="54.95" customHeight="1">
      <c r="B18" s="130" t="s">
        <v>245</v>
      </c>
      <c r="C18" s="131" t="s">
        <v>434</v>
      </c>
      <c r="D18" s="1"/>
      <c r="E18" s="1"/>
      <c r="F18" s="1"/>
      <c r="G18" s="1"/>
      <c r="H18" s="2"/>
    </row>
    <row r="19" spans="2:8" ht="54.95" customHeight="1">
      <c r="B19" s="105" t="s">
        <v>61</v>
      </c>
      <c r="C19" s="119" t="s">
        <v>247</v>
      </c>
      <c r="D19" s="125" t="s">
        <v>248</v>
      </c>
      <c r="E19" s="126">
        <v>1</v>
      </c>
      <c r="F19" s="127" t="s">
        <v>249</v>
      </c>
      <c r="G19" s="128" t="s">
        <v>250</v>
      </c>
      <c r="H19" s="129" t="s">
        <v>251</v>
      </c>
    </row>
    <row r="20" spans="2:8" ht="18" customHeight="1">
      <c r="B20" s="105" t="s">
        <v>64</v>
      </c>
      <c r="C20" s="119" t="s">
        <v>252</v>
      </c>
      <c r="D20" s="125" t="s">
        <v>248</v>
      </c>
      <c r="E20" s="126">
        <v>0</v>
      </c>
      <c r="F20" s="127" t="s">
        <v>253</v>
      </c>
      <c r="G20" s="128" t="s">
        <v>254</v>
      </c>
      <c r="H20" s="129" t="s">
        <v>255</v>
      </c>
    </row>
    <row r="21" spans="2:8" ht="15.95" customHeight="1">
      <c r="B21" s="105" t="s">
        <v>67</v>
      </c>
      <c r="C21" s="119" t="s">
        <v>256</v>
      </c>
      <c r="D21" s="125" t="s">
        <v>248</v>
      </c>
      <c r="E21" s="126">
        <v>0</v>
      </c>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26">
        <v>3</v>
      </c>
      <c r="F24" s="127" t="s">
        <v>268</v>
      </c>
      <c r="G24" s="128" t="s">
        <v>269</v>
      </c>
      <c r="H24" s="129" t="s">
        <v>270</v>
      </c>
    </row>
    <row r="25" spans="2:8" ht="54.95" customHeight="1">
      <c r="B25" s="105" t="s">
        <v>74</v>
      </c>
      <c r="C25" s="42" t="s">
        <v>271</v>
      </c>
      <c r="D25" s="137" t="s">
        <v>267</v>
      </c>
      <c r="E25" s="126">
        <v>3</v>
      </c>
      <c r="F25" s="127" t="s">
        <v>272</v>
      </c>
      <c r="G25" s="128" t="s">
        <v>273</v>
      </c>
      <c r="H25" s="129" t="s">
        <v>274</v>
      </c>
    </row>
    <row r="26" spans="2:8" ht="54.95" customHeight="1">
      <c r="B26" s="105" t="s">
        <v>76</v>
      </c>
      <c r="C26" s="42" t="s">
        <v>275</v>
      </c>
      <c r="D26" s="137" t="s">
        <v>267</v>
      </c>
      <c r="E26" s="126">
        <v>4</v>
      </c>
      <c r="F26" s="127" t="s">
        <v>276</v>
      </c>
      <c r="G26" s="128" t="s">
        <v>277</v>
      </c>
      <c r="H26" s="129" t="s">
        <v>278</v>
      </c>
    </row>
    <row r="27" spans="2:8" ht="54.95" customHeight="1">
      <c r="B27" s="105" t="s">
        <v>78</v>
      </c>
      <c r="C27" s="42" t="s">
        <v>279</v>
      </c>
      <c r="D27" s="137" t="s">
        <v>267</v>
      </c>
      <c r="E27" s="126">
        <v>3</v>
      </c>
      <c r="F27" s="127" t="s">
        <v>280</v>
      </c>
      <c r="G27" s="128" t="s">
        <v>281</v>
      </c>
      <c r="H27" s="129" t="s">
        <v>282</v>
      </c>
    </row>
    <row r="28" spans="2:8" ht="54.95" customHeight="1">
      <c r="B28" s="105" t="s">
        <v>80</v>
      </c>
      <c r="C28" s="42" t="s">
        <v>283</v>
      </c>
      <c r="D28" s="137" t="s">
        <v>267</v>
      </c>
      <c r="E28" s="126">
        <v>4</v>
      </c>
      <c r="F28" s="127" t="s">
        <v>284</v>
      </c>
      <c r="G28" s="128" t="s">
        <v>285</v>
      </c>
      <c r="H28" s="129" t="s">
        <v>286</v>
      </c>
    </row>
    <row r="29" spans="2:8" ht="54.95" customHeight="1">
      <c r="B29" s="105" t="s">
        <v>82</v>
      </c>
      <c r="C29" s="42" t="s">
        <v>287</v>
      </c>
      <c r="D29" s="137" t="s">
        <v>267</v>
      </c>
      <c r="E29" s="126">
        <v>2</v>
      </c>
      <c r="F29" s="127" t="s">
        <v>288</v>
      </c>
      <c r="G29" s="128" t="s">
        <v>289</v>
      </c>
      <c r="H29" s="129" t="s">
        <v>290</v>
      </c>
    </row>
    <row r="30" spans="2:8" ht="54.95" customHeight="1">
      <c r="B30" s="105" t="s">
        <v>84</v>
      </c>
      <c r="C30" s="42" t="s">
        <v>291</v>
      </c>
      <c r="D30" s="137" t="s">
        <v>267</v>
      </c>
      <c r="E30" s="126">
        <v>3</v>
      </c>
      <c r="F30" s="127" t="s">
        <v>292</v>
      </c>
      <c r="G30" s="128" t="s">
        <v>293</v>
      </c>
      <c r="H30" s="129" t="s">
        <v>294</v>
      </c>
    </row>
    <row r="31" spans="2:8" ht="18" customHeight="1">
      <c r="B31" s="105" t="s">
        <v>86</v>
      </c>
      <c r="C31" s="42" t="s">
        <v>295</v>
      </c>
      <c r="D31" s="137" t="s">
        <v>267</v>
      </c>
      <c r="E31" s="126">
        <v>3</v>
      </c>
      <c r="F31" s="127" t="s">
        <v>331</v>
      </c>
      <c r="G31" s="128" t="s">
        <v>332</v>
      </c>
      <c r="H31" s="129" t="s">
        <v>333</v>
      </c>
    </row>
    <row r="32" spans="2:8" ht="30" customHeight="1">
      <c r="B32" s="105" t="s">
        <v>89</v>
      </c>
      <c r="C32" s="42" t="s">
        <v>296</v>
      </c>
      <c r="D32" s="138" t="s">
        <v>240</v>
      </c>
      <c r="E32" s="126">
        <v>9</v>
      </c>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26">
        <v>0</v>
      </c>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26">
        <v>1</v>
      </c>
      <c r="F37" s="144" t="s">
        <v>303</v>
      </c>
      <c r="G37" s="145" t="s">
        <v>304</v>
      </c>
      <c r="H37" s="121"/>
    </row>
    <row r="38" spans="2:8" ht="20.100000000000001" customHeight="1">
      <c r="B38" s="143" t="s">
        <v>99</v>
      </c>
      <c r="C38" s="42" t="s">
        <v>306</v>
      </c>
      <c r="D38" s="137" t="s">
        <v>248</v>
      </c>
      <c r="E38" s="126">
        <v>1</v>
      </c>
      <c r="F38" s="144" t="s">
        <v>303</v>
      </c>
      <c r="G38" s="145" t="s">
        <v>304</v>
      </c>
      <c r="H38" s="121"/>
    </row>
    <row r="39" spans="2:8" ht="20.100000000000001" customHeight="1">
      <c r="B39" s="143" t="s">
        <v>102</v>
      </c>
      <c r="C39" s="42" t="s">
        <v>103</v>
      </c>
      <c r="D39" s="137" t="s">
        <v>248</v>
      </c>
      <c r="E39" s="126">
        <v>1</v>
      </c>
      <c r="F39" s="144" t="s">
        <v>303</v>
      </c>
      <c r="G39" s="145" t="s">
        <v>304</v>
      </c>
      <c r="H39" s="121"/>
    </row>
    <row r="40" spans="2:8" ht="20.100000000000001" customHeight="1">
      <c r="B40" s="143" t="s">
        <v>105</v>
      </c>
      <c r="C40" s="42" t="s">
        <v>106</v>
      </c>
      <c r="D40" s="137" t="s">
        <v>248</v>
      </c>
      <c r="E40" s="126">
        <v>0</v>
      </c>
      <c r="F40" s="144" t="s">
        <v>303</v>
      </c>
      <c r="G40" s="145" t="s">
        <v>304</v>
      </c>
      <c r="H40" s="121"/>
    </row>
    <row r="41" spans="2:8" ht="18" customHeight="1">
      <c r="B41" s="143" t="s">
        <v>108</v>
      </c>
      <c r="C41" s="42" t="s">
        <v>109</v>
      </c>
      <c r="D41" s="84" t="s">
        <v>248</v>
      </c>
      <c r="E41" s="126">
        <v>0</v>
      </c>
      <c r="F41" s="127" t="s">
        <v>303</v>
      </c>
      <c r="G41" s="128" t="s">
        <v>304</v>
      </c>
      <c r="H41" s="129" t="s">
        <v>302</v>
      </c>
    </row>
    <row r="42" spans="2:8" ht="30" customHeight="1">
      <c r="B42" s="143" t="s">
        <v>111</v>
      </c>
      <c r="C42" s="42" t="s">
        <v>307</v>
      </c>
      <c r="D42" s="84" t="s">
        <v>248</v>
      </c>
      <c r="E42" s="126">
        <v>1</v>
      </c>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26">
        <v>1</v>
      </c>
      <c r="F45" s="144" t="s">
        <v>303</v>
      </c>
      <c r="G45" s="145" t="s">
        <v>304</v>
      </c>
      <c r="H45" s="121"/>
    </row>
    <row r="46" spans="2:8" ht="20.100000000000001" customHeight="1">
      <c r="B46" s="143" t="s">
        <v>118</v>
      </c>
      <c r="C46" s="42" t="s">
        <v>119</v>
      </c>
      <c r="D46" s="137" t="s">
        <v>248</v>
      </c>
      <c r="E46" s="126">
        <v>1</v>
      </c>
      <c r="F46" s="144" t="s">
        <v>303</v>
      </c>
      <c r="G46" s="145" t="s">
        <v>304</v>
      </c>
      <c r="H46" s="121"/>
    </row>
    <row r="47" spans="2:8" ht="18" customHeight="1">
      <c r="B47" s="143" t="s">
        <v>121</v>
      </c>
      <c r="C47" s="42" t="s">
        <v>122</v>
      </c>
      <c r="D47" s="84" t="s">
        <v>248</v>
      </c>
      <c r="E47" s="126">
        <v>1</v>
      </c>
      <c r="F47" s="127" t="s">
        <v>303</v>
      </c>
      <c r="G47" s="128" t="s">
        <v>304</v>
      </c>
      <c r="H47" s="129" t="s">
        <v>302</v>
      </c>
    </row>
    <row r="48" spans="2:8" ht="30" customHeight="1">
      <c r="B48" s="143" t="s">
        <v>124</v>
      </c>
      <c r="C48" s="42" t="s">
        <v>125</v>
      </c>
      <c r="D48" s="84" t="s">
        <v>248</v>
      </c>
      <c r="E48" s="126">
        <v>1</v>
      </c>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26">
        <v>0</v>
      </c>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26">
        <v>1</v>
      </c>
      <c r="F53" s="144" t="s">
        <v>303</v>
      </c>
      <c r="G53" s="145" t="s">
        <v>304</v>
      </c>
      <c r="H53" s="121"/>
    </row>
    <row r="54" spans="2:8" ht="20.100000000000001" customHeight="1">
      <c r="B54" s="143" t="s">
        <v>134</v>
      </c>
      <c r="C54" s="42" t="s">
        <v>135</v>
      </c>
      <c r="D54" s="137" t="s">
        <v>248</v>
      </c>
      <c r="E54" s="126">
        <v>0</v>
      </c>
      <c r="F54" s="144" t="s">
        <v>303</v>
      </c>
      <c r="G54" s="145" t="s">
        <v>304</v>
      </c>
      <c r="H54" s="121"/>
    </row>
    <row r="55" spans="2:8" ht="18" customHeight="1">
      <c r="B55" s="143" t="s">
        <v>137</v>
      </c>
      <c r="C55" s="42" t="s">
        <v>314</v>
      </c>
      <c r="D55" s="1"/>
      <c r="E55" s="126">
        <v>1</v>
      </c>
      <c r="F55" s="1"/>
      <c r="G55" s="1"/>
      <c r="H55" s="2"/>
    </row>
    <row r="56" spans="2:8" ht="30" customHeight="1">
      <c r="B56" s="143" t="s">
        <v>140</v>
      </c>
      <c r="C56" s="42" t="s">
        <v>315</v>
      </c>
      <c r="E56" s="126">
        <v>1</v>
      </c>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26">
        <v>1</v>
      </c>
      <c r="F59" s="144" t="s">
        <v>303</v>
      </c>
      <c r="G59" s="145" t="s">
        <v>304</v>
      </c>
      <c r="H59" s="121"/>
    </row>
    <row r="60" spans="2:8" ht="20.100000000000001" customHeight="1">
      <c r="B60" s="143" t="s">
        <v>147</v>
      </c>
      <c r="C60" s="42" t="s">
        <v>148</v>
      </c>
      <c r="D60" s="137" t="s">
        <v>248</v>
      </c>
      <c r="E60" s="126">
        <v>1</v>
      </c>
      <c r="F60" s="144" t="s">
        <v>303</v>
      </c>
      <c r="G60" s="145" t="s">
        <v>304</v>
      </c>
      <c r="H60" s="121"/>
    </row>
    <row r="61" spans="2:8" ht="20.100000000000001" customHeight="1">
      <c r="B61" s="143" t="s">
        <v>150</v>
      </c>
      <c r="C61" s="42" t="s">
        <v>319</v>
      </c>
      <c r="D61" s="137" t="s">
        <v>248</v>
      </c>
      <c r="E61" s="126">
        <v>1</v>
      </c>
      <c r="F61" s="144" t="s">
        <v>303</v>
      </c>
      <c r="G61" s="145" t="s">
        <v>304</v>
      </c>
      <c r="H61" s="121"/>
    </row>
    <row r="62" spans="2:8" ht="20.100000000000001" customHeight="1">
      <c r="B62" s="143" t="s">
        <v>153</v>
      </c>
      <c r="C62" s="42" t="s">
        <v>320</v>
      </c>
      <c r="D62" s="137" t="s">
        <v>248</v>
      </c>
      <c r="E62" s="126">
        <v>1</v>
      </c>
      <c r="F62" s="144" t="s">
        <v>303</v>
      </c>
      <c r="G62" s="145" t="s">
        <v>304</v>
      </c>
      <c r="H62" s="121"/>
    </row>
    <row r="63" spans="2:8" ht="18" customHeight="1">
      <c r="B63" s="143" t="s">
        <v>156</v>
      </c>
      <c r="C63" s="42" t="s">
        <v>157</v>
      </c>
      <c r="D63" s="137" t="s">
        <v>248</v>
      </c>
      <c r="E63" s="126">
        <v>1</v>
      </c>
      <c r="F63" s="144" t="s">
        <v>303</v>
      </c>
      <c r="G63" s="145" t="s">
        <v>304</v>
      </c>
      <c r="H63" s="2"/>
    </row>
    <row r="64" spans="2:8" ht="30" customHeight="1">
      <c r="B64" s="143" t="s">
        <v>159</v>
      </c>
      <c r="C64" s="42" t="s">
        <v>160</v>
      </c>
      <c r="D64" s="137" t="s">
        <v>248</v>
      </c>
      <c r="E64" s="126">
        <v>0</v>
      </c>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6">
    <mergeCell ref="C67:H67"/>
    <mergeCell ref="C16:H16"/>
    <mergeCell ref="C50:H50"/>
    <mergeCell ref="N12:O12"/>
    <mergeCell ref="C34:H34"/>
    <mergeCell ref="H12:M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435</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436</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437</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O67"/>
  <sheetViews>
    <sheetView topLeftCell="A32"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438</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439</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440</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441</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O67"/>
  <sheetViews>
    <sheetView topLeftCell="A29"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442</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O67"/>
  <sheetViews>
    <sheetView topLeftCell="A28"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443</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O67"/>
  <sheetViews>
    <sheetView topLeftCell="A28"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444</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O67"/>
  <sheetViews>
    <sheetView topLeftCell="A28"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445</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O67"/>
  <sheetViews>
    <sheetView topLeftCell="A28"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446</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O67"/>
  <sheetViews>
    <sheetView topLeftCell="A27" workbookViewId="0">
      <selection activeCell="G31" sqref="G31"/>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447</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236</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37" t="s">
        <v>267</v>
      </c>
      <c r="E31" s="154"/>
      <c r="F31" s="127" t="s">
        <v>331</v>
      </c>
      <c r="G31" s="128" t="s">
        <v>332</v>
      </c>
      <c r="H31" s="129" t="s">
        <v>333</v>
      </c>
    </row>
    <row r="32" spans="2:8" ht="30" customHeight="1">
      <c r="B32" s="105" t="s">
        <v>89</v>
      </c>
      <c r="C32" s="42" t="s">
        <v>296</v>
      </c>
      <c r="D32" s="138" t="s">
        <v>240</v>
      </c>
      <c r="E32" s="146"/>
      <c r="F32" s="139" t="s">
        <v>297</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37" t="s">
        <v>248</v>
      </c>
      <c r="E63" s="157"/>
      <c r="F63" s="144" t="s">
        <v>303</v>
      </c>
      <c r="G63" s="145" t="s">
        <v>304</v>
      </c>
      <c r="H63" s="2"/>
    </row>
    <row r="64" spans="2:8" ht="30" customHeight="1">
      <c r="B64" s="143" t="s">
        <v>159</v>
      </c>
      <c r="C64" s="42" t="s">
        <v>160</v>
      </c>
      <c r="D64" s="137" t="s">
        <v>248</v>
      </c>
      <c r="E64" s="157"/>
      <c r="F64" s="144" t="s">
        <v>303</v>
      </c>
      <c r="G64" s="145" t="s">
        <v>304</v>
      </c>
      <c r="H64" s="2"/>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7">
    <mergeCell ref="C67:H67"/>
    <mergeCell ref="C16:H16"/>
    <mergeCell ref="C50:H50"/>
    <mergeCell ref="N12:O12"/>
    <mergeCell ref="C34:H34"/>
    <mergeCell ref="C56:H56"/>
    <mergeCell ref="H12:M1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O67"/>
  <sheetViews>
    <sheetView zoomScale="85" zoomScaleNormal="85" workbookViewId="0">
      <pane xSplit="7" ySplit="13" topLeftCell="H14" activePane="bottomRight" state="frozen"/>
      <selection pane="bottomRight" activeCell="I32" sqref="I32"/>
      <selection pane="bottomLeft" activeCell="D12" sqref="D12"/>
      <selection pane="topRight" activeCell="D12" sqref="D12"/>
    </sheetView>
  </sheetViews>
  <sheetFormatPr defaultRowHeight="14.45"/>
  <cols>
    <col min="1" max="1" width="2" customWidth="1"/>
    <col min="2" max="2" width="28" customWidth="1"/>
    <col min="3" max="3" width="45" bestFit="1" customWidth="1"/>
    <col min="4" max="4" width="18" customWidth="1"/>
    <col min="5" max="7" width="14" customWidth="1"/>
    <col min="8" max="8" width="55" customWidth="1"/>
    <col min="9" max="13" width="30.140625" customWidth="1"/>
  </cols>
  <sheetData>
    <row r="1" spans="2:15" ht="27.95" customHeight="1">
      <c r="B1" s="118" t="s">
        <v>448</v>
      </c>
      <c r="C1" s="68"/>
      <c r="D1" s="68"/>
      <c r="E1" s="68"/>
      <c r="F1" s="68"/>
      <c r="G1" s="68"/>
      <c r="H1" s="68"/>
    </row>
    <row r="2" spans="2:15" ht="15.95" customHeight="1">
      <c r="B2" s="19" t="s">
        <v>221</v>
      </c>
      <c r="C2" s="43" t="s">
        <v>222</v>
      </c>
      <c r="D2" s="43" t="s">
        <v>223</v>
      </c>
      <c r="E2" s="103"/>
      <c r="F2" s="103"/>
      <c r="G2" s="103"/>
      <c r="H2" s="43" t="s">
        <v>224</v>
      </c>
    </row>
    <row r="3" spans="2:15" ht="15.95" customHeight="1">
      <c r="B3" s="119" t="s">
        <v>225</v>
      </c>
      <c r="C3" s="42"/>
      <c r="D3" s="121"/>
      <c r="E3" s="121"/>
      <c r="F3" s="121"/>
      <c r="G3" s="121"/>
      <c r="H3" s="121"/>
    </row>
    <row r="4" spans="2:15" ht="15.95" customHeight="1">
      <c r="B4" s="119" t="s">
        <v>204</v>
      </c>
      <c r="C4" s="42"/>
      <c r="D4" s="121"/>
      <c r="E4" s="121"/>
      <c r="F4" s="121"/>
      <c r="G4" s="121"/>
      <c r="H4" s="121"/>
    </row>
    <row r="5" spans="2:15" ht="15.95" customHeight="1">
      <c r="B5" s="119" t="s">
        <v>229</v>
      </c>
      <c r="C5" s="42"/>
      <c r="D5" s="121"/>
      <c r="E5" s="121"/>
      <c r="F5" s="121"/>
      <c r="G5" s="121"/>
      <c r="H5" s="121"/>
    </row>
    <row r="6" spans="2:15" ht="15.95" customHeight="1">
      <c r="B6" s="119" t="s">
        <v>230</v>
      </c>
      <c r="C6" s="42"/>
      <c r="D6" s="121"/>
      <c r="E6" s="121"/>
      <c r="F6" s="121"/>
      <c r="G6" s="121"/>
      <c r="H6" s="121"/>
    </row>
    <row r="7" spans="2:15" ht="15.95" customHeight="1">
      <c r="B7" s="119" t="s">
        <v>231</v>
      </c>
      <c r="C7" s="42"/>
      <c r="D7" s="121"/>
      <c r="E7" s="121"/>
      <c r="F7" s="121"/>
      <c r="G7" s="121"/>
      <c r="H7" s="121"/>
    </row>
    <row r="8" spans="2:15" ht="15.95" customHeight="1">
      <c r="B8" s="119" t="s">
        <v>233</v>
      </c>
      <c r="C8" s="42"/>
      <c r="D8" s="121"/>
      <c r="E8" s="121"/>
      <c r="F8" s="121"/>
      <c r="G8" s="121"/>
      <c r="H8" s="121"/>
    </row>
    <row r="9" spans="2:15" ht="15.95" customHeight="1">
      <c r="B9" s="119" t="s">
        <v>235</v>
      </c>
      <c r="C9" s="42"/>
      <c r="D9" s="121"/>
      <c r="E9" s="121"/>
      <c r="F9" s="121"/>
      <c r="G9" s="121"/>
      <c r="H9" s="121"/>
    </row>
    <row r="10" spans="2:15" ht="15.95" customHeight="1">
      <c r="B10" s="119" t="s">
        <v>206</v>
      </c>
      <c r="C10" s="42"/>
      <c r="D10" s="121"/>
      <c r="E10" s="121"/>
      <c r="F10" s="121"/>
      <c r="G10" s="121"/>
      <c r="H10" s="121"/>
    </row>
    <row r="11" spans="2:15" ht="15.95" customHeight="1">
      <c r="B11" s="119" t="s">
        <v>208</v>
      </c>
      <c r="C11" s="42"/>
      <c r="D11" s="121"/>
      <c r="E11" s="121"/>
      <c r="F11" s="121"/>
      <c r="G11" s="121"/>
      <c r="H11" s="121"/>
    </row>
    <row r="12" spans="2:15" ht="15.95" customHeight="1">
      <c r="B12" s="119" t="s">
        <v>210</v>
      </c>
      <c r="C12" s="42"/>
      <c r="D12" s="121"/>
      <c r="E12" s="121"/>
      <c r="F12" s="121"/>
      <c r="G12" s="121"/>
      <c r="H12" s="162"/>
      <c r="I12" s="190"/>
      <c r="J12" s="190"/>
      <c r="K12" s="190"/>
      <c r="L12" s="190"/>
      <c r="M12" s="191"/>
      <c r="N12" s="192"/>
      <c r="O12" s="192"/>
    </row>
    <row r="13" spans="2:15" ht="15.95" customHeight="1">
      <c r="B13" s="119" t="s">
        <v>166</v>
      </c>
      <c r="C13" s="42"/>
      <c r="D13" s="121"/>
      <c r="E13" s="121"/>
      <c r="F13" s="121"/>
      <c r="G13" s="121"/>
      <c r="H13" s="121"/>
    </row>
    <row r="14" spans="2:15" ht="15.95" customHeight="1">
      <c r="B14" s="68"/>
      <c r="C14" s="68"/>
      <c r="D14" s="68"/>
      <c r="E14" s="68"/>
      <c r="F14" s="68"/>
      <c r="G14" s="68"/>
      <c r="H14" s="68"/>
      <c r="I14" s="1"/>
      <c r="J14" s="1"/>
      <c r="K14" s="1"/>
      <c r="L14" s="1"/>
      <c r="M14" s="2"/>
    </row>
    <row r="15" spans="2:15" ht="54.95" customHeight="1">
      <c r="B15" s="123" t="s">
        <v>51</v>
      </c>
      <c r="C15" s="124" t="s">
        <v>52</v>
      </c>
      <c r="D15" s="1"/>
      <c r="E15" s="1"/>
      <c r="F15" s="1"/>
      <c r="G15" s="1"/>
      <c r="H15" s="2"/>
    </row>
    <row r="16" spans="2:15" ht="39.950000000000003" customHeight="1">
      <c r="B16" s="102" t="s">
        <v>238</v>
      </c>
      <c r="C16" s="160"/>
      <c r="D16" s="190"/>
      <c r="E16" s="190"/>
      <c r="F16" s="190"/>
      <c r="G16" s="190"/>
      <c r="H16" s="191"/>
    </row>
    <row r="17" spans="2:8" ht="54.95" customHeight="1">
      <c r="B17" s="105" t="s">
        <v>57</v>
      </c>
      <c r="C17" s="119" t="s">
        <v>239</v>
      </c>
      <c r="D17" s="125" t="s">
        <v>240</v>
      </c>
      <c r="E17" s="154"/>
      <c r="F17" s="127" t="s">
        <v>241</v>
      </c>
      <c r="G17" s="128" t="s">
        <v>242</v>
      </c>
      <c r="H17" s="129" t="s">
        <v>243</v>
      </c>
    </row>
    <row r="18" spans="2:8" ht="54.95" customHeight="1">
      <c r="B18" s="130" t="s">
        <v>245</v>
      </c>
      <c r="C18" s="150" t="s">
        <v>334</v>
      </c>
      <c r="D18" s="1"/>
      <c r="E18" s="1"/>
      <c r="F18" s="1"/>
      <c r="G18" s="1"/>
      <c r="H18" s="2"/>
    </row>
    <row r="19" spans="2:8" ht="54.95" customHeight="1">
      <c r="B19" s="105" t="s">
        <v>61</v>
      </c>
      <c r="C19" s="119" t="s">
        <v>247</v>
      </c>
      <c r="D19" s="125" t="s">
        <v>248</v>
      </c>
      <c r="E19" s="154"/>
      <c r="F19" s="127" t="s">
        <v>249</v>
      </c>
      <c r="G19" s="128" t="s">
        <v>250</v>
      </c>
      <c r="H19" s="129" t="s">
        <v>251</v>
      </c>
    </row>
    <row r="20" spans="2:8" ht="18" customHeight="1">
      <c r="B20" s="105" t="s">
        <v>64</v>
      </c>
      <c r="C20" s="119" t="s">
        <v>252</v>
      </c>
      <c r="D20" s="125" t="s">
        <v>248</v>
      </c>
      <c r="E20" s="154"/>
      <c r="F20" s="127" t="s">
        <v>253</v>
      </c>
      <c r="G20" s="128" t="s">
        <v>254</v>
      </c>
      <c r="H20" s="129" t="s">
        <v>255</v>
      </c>
    </row>
    <row r="21" spans="2:8" ht="15.95" customHeight="1">
      <c r="B21" s="105" t="s">
        <v>67</v>
      </c>
      <c r="C21" s="119" t="s">
        <v>256</v>
      </c>
      <c r="D21" s="125" t="s">
        <v>248</v>
      </c>
      <c r="E21" s="154"/>
      <c r="F21" s="127" t="s">
        <v>257</v>
      </c>
      <c r="G21" s="128" t="s">
        <v>258</v>
      </c>
      <c r="H21" s="129" t="s">
        <v>259</v>
      </c>
    </row>
    <row r="22" spans="2:8" ht="54.95" customHeight="1">
      <c r="B22" s="102" t="s">
        <v>260</v>
      </c>
      <c r="C22" s="103"/>
      <c r="D22" s="103"/>
      <c r="E22" s="103"/>
      <c r="F22" s="103"/>
      <c r="G22" s="103"/>
      <c r="H22" s="103"/>
    </row>
    <row r="23" spans="2:8" ht="54.95" customHeight="1">
      <c r="B23" s="132" t="s">
        <v>51</v>
      </c>
      <c r="C23" s="133" t="s">
        <v>52</v>
      </c>
      <c r="D23" s="132" t="s">
        <v>261</v>
      </c>
      <c r="E23" s="134" t="s">
        <v>262</v>
      </c>
      <c r="F23" s="135" t="s">
        <v>263</v>
      </c>
      <c r="G23" s="136" t="s">
        <v>264</v>
      </c>
      <c r="H23" s="133" t="s">
        <v>265</v>
      </c>
    </row>
    <row r="24" spans="2:8" ht="54.95" customHeight="1">
      <c r="B24" s="105" t="s">
        <v>71</v>
      </c>
      <c r="C24" s="42" t="s">
        <v>266</v>
      </c>
      <c r="D24" s="137" t="s">
        <v>267</v>
      </c>
      <c r="E24" s="154"/>
      <c r="F24" s="127" t="s">
        <v>268</v>
      </c>
      <c r="G24" s="128" t="s">
        <v>269</v>
      </c>
      <c r="H24" s="129" t="s">
        <v>270</v>
      </c>
    </row>
    <row r="25" spans="2:8" ht="54.95" customHeight="1">
      <c r="B25" s="105" t="s">
        <v>74</v>
      </c>
      <c r="C25" s="42" t="s">
        <v>271</v>
      </c>
      <c r="D25" s="137" t="s">
        <v>267</v>
      </c>
      <c r="E25" s="154"/>
      <c r="F25" s="127" t="s">
        <v>272</v>
      </c>
      <c r="G25" s="128" t="s">
        <v>273</v>
      </c>
      <c r="H25" s="129" t="s">
        <v>274</v>
      </c>
    </row>
    <row r="26" spans="2:8" ht="54.95" customHeight="1">
      <c r="B26" s="105" t="s">
        <v>76</v>
      </c>
      <c r="C26" s="42" t="s">
        <v>275</v>
      </c>
      <c r="D26" s="137" t="s">
        <v>267</v>
      </c>
      <c r="E26" s="154"/>
      <c r="F26" s="127" t="s">
        <v>276</v>
      </c>
      <c r="G26" s="128" t="s">
        <v>277</v>
      </c>
      <c r="H26" s="129" t="s">
        <v>278</v>
      </c>
    </row>
    <row r="27" spans="2:8" ht="54.95" customHeight="1">
      <c r="B27" s="105" t="s">
        <v>78</v>
      </c>
      <c r="C27" s="42" t="s">
        <v>279</v>
      </c>
      <c r="D27" s="137" t="s">
        <v>267</v>
      </c>
      <c r="E27" s="154"/>
      <c r="F27" s="127" t="s">
        <v>280</v>
      </c>
      <c r="G27" s="128" t="s">
        <v>281</v>
      </c>
      <c r="H27" s="129" t="s">
        <v>282</v>
      </c>
    </row>
    <row r="28" spans="2:8" ht="54.95" customHeight="1">
      <c r="B28" s="105" t="s">
        <v>80</v>
      </c>
      <c r="C28" s="42" t="s">
        <v>283</v>
      </c>
      <c r="D28" s="137" t="s">
        <v>267</v>
      </c>
      <c r="E28" s="154"/>
      <c r="F28" s="127" t="s">
        <v>284</v>
      </c>
      <c r="G28" s="128" t="s">
        <v>285</v>
      </c>
      <c r="H28" s="129" t="s">
        <v>286</v>
      </c>
    </row>
    <row r="29" spans="2:8" ht="54.95" customHeight="1">
      <c r="B29" s="105" t="s">
        <v>82</v>
      </c>
      <c r="C29" s="42" t="s">
        <v>287</v>
      </c>
      <c r="D29" s="137" t="s">
        <v>267</v>
      </c>
      <c r="E29" s="154"/>
      <c r="F29" s="127" t="s">
        <v>288</v>
      </c>
      <c r="G29" s="128" t="s">
        <v>289</v>
      </c>
      <c r="H29" s="129" t="s">
        <v>290</v>
      </c>
    </row>
    <row r="30" spans="2:8" ht="54.95" customHeight="1">
      <c r="B30" s="105" t="s">
        <v>84</v>
      </c>
      <c r="C30" s="42" t="s">
        <v>291</v>
      </c>
      <c r="D30" s="137" t="s">
        <v>267</v>
      </c>
      <c r="E30" s="154"/>
      <c r="F30" s="127" t="s">
        <v>292</v>
      </c>
      <c r="G30" s="128" t="s">
        <v>293</v>
      </c>
      <c r="H30" s="129" t="s">
        <v>294</v>
      </c>
    </row>
    <row r="31" spans="2:8" ht="18" customHeight="1">
      <c r="B31" s="105" t="s">
        <v>86</v>
      </c>
      <c r="C31" s="42" t="s">
        <v>295</v>
      </c>
      <c r="D31" s="1"/>
      <c r="E31" s="1"/>
      <c r="F31" s="1"/>
      <c r="G31" s="1"/>
      <c r="H31" s="2"/>
    </row>
    <row r="32" spans="2:8" ht="30" customHeight="1">
      <c r="B32" s="105" t="s">
        <v>89</v>
      </c>
      <c r="C32" s="42" t="s">
        <v>296</v>
      </c>
      <c r="D32" s="138" t="s">
        <v>240</v>
      </c>
      <c r="E32" s="146"/>
      <c r="F32" s="139" t="s">
        <v>449</v>
      </c>
      <c r="G32" s="128" t="s">
        <v>298</v>
      </c>
      <c r="H32" s="140" t="s">
        <v>299</v>
      </c>
    </row>
    <row r="33" spans="2:8" ht="20.100000000000001" customHeight="1">
      <c r="B33" s="102" t="s">
        <v>300</v>
      </c>
      <c r="C33" s="103"/>
      <c r="D33" s="1"/>
      <c r="E33" s="1"/>
      <c r="F33" s="1"/>
      <c r="G33" s="1"/>
      <c r="H33" s="2"/>
    </row>
    <row r="34" spans="2:8" ht="39.950000000000003" customHeight="1">
      <c r="B34" s="141" t="s">
        <v>301</v>
      </c>
      <c r="C34" s="161" t="s">
        <v>302</v>
      </c>
      <c r="D34" s="190"/>
      <c r="E34" s="190"/>
      <c r="F34" s="190"/>
      <c r="G34" s="190"/>
      <c r="H34" s="191"/>
    </row>
    <row r="35" spans="2:8" ht="20.100000000000001" customHeight="1">
      <c r="B35" s="143" t="s">
        <v>93</v>
      </c>
      <c r="C35" s="42" t="s">
        <v>94</v>
      </c>
      <c r="D35" s="137" t="s">
        <v>248</v>
      </c>
      <c r="E35" s="157"/>
      <c r="F35" s="144" t="s">
        <v>303</v>
      </c>
      <c r="G35" s="145" t="s">
        <v>304</v>
      </c>
      <c r="H35" s="121"/>
    </row>
    <row r="36" spans="2:8" ht="20.100000000000001" customHeight="1">
      <c r="B36" s="130" t="s">
        <v>245</v>
      </c>
      <c r="C36" s="150" t="s">
        <v>385</v>
      </c>
      <c r="D36" s="1"/>
      <c r="E36" s="1"/>
      <c r="F36" s="1"/>
      <c r="G36" s="1"/>
      <c r="H36" s="2"/>
    </row>
    <row r="37" spans="2:8" ht="20.100000000000001" customHeight="1">
      <c r="B37" s="143" t="s">
        <v>96</v>
      </c>
      <c r="C37" s="42" t="s">
        <v>97</v>
      </c>
      <c r="D37" s="137" t="s">
        <v>248</v>
      </c>
      <c r="E37" s="157"/>
      <c r="F37" s="144" t="s">
        <v>303</v>
      </c>
      <c r="G37" s="145" t="s">
        <v>304</v>
      </c>
      <c r="H37" s="121"/>
    </row>
    <row r="38" spans="2:8" ht="20.100000000000001" customHeight="1">
      <c r="B38" s="143" t="s">
        <v>99</v>
      </c>
      <c r="C38" s="42" t="s">
        <v>306</v>
      </c>
      <c r="D38" s="137" t="s">
        <v>248</v>
      </c>
      <c r="E38" s="157"/>
      <c r="F38" s="144" t="s">
        <v>303</v>
      </c>
      <c r="G38" s="145" t="s">
        <v>304</v>
      </c>
      <c r="H38" s="121"/>
    </row>
    <row r="39" spans="2:8" ht="20.100000000000001" customHeight="1">
      <c r="B39" s="143" t="s">
        <v>102</v>
      </c>
      <c r="C39" s="42" t="s">
        <v>103</v>
      </c>
      <c r="D39" s="137" t="s">
        <v>248</v>
      </c>
      <c r="E39" s="157"/>
      <c r="F39" s="144" t="s">
        <v>303</v>
      </c>
      <c r="G39" s="145" t="s">
        <v>304</v>
      </c>
      <c r="H39" s="121"/>
    </row>
    <row r="40" spans="2:8" ht="20.100000000000001" customHeight="1">
      <c r="B40" s="143" t="s">
        <v>105</v>
      </c>
      <c r="C40" s="42" t="s">
        <v>106</v>
      </c>
      <c r="D40" s="137" t="s">
        <v>248</v>
      </c>
      <c r="E40" s="157"/>
      <c r="F40" s="144" t="s">
        <v>303</v>
      </c>
      <c r="G40" s="145" t="s">
        <v>304</v>
      </c>
      <c r="H40" s="121"/>
    </row>
    <row r="41" spans="2:8" ht="18" customHeight="1">
      <c r="B41" s="143" t="s">
        <v>108</v>
      </c>
      <c r="C41" s="42" t="s">
        <v>109</v>
      </c>
      <c r="D41" s="84" t="s">
        <v>248</v>
      </c>
      <c r="E41" s="146"/>
      <c r="F41" s="127" t="s">
        <v>303</v>
      </c>
      <c r="G41" s="128" t="s">
        <v>304</v>
      </c>
      <c r="H41" s="129" t="s">
        <v>302</v>
      </c>
    </row>
    <row r="42" spans="2:8" ht="30" customHeight="1">
      <c r="B42" s="143" t="s">
        <v>111</v>
      </c>
      <c r="C42" s="42" t="s">
        <v>307</v>
      </c>
      <c r="D42" s="84" t="s">
        <v>248</v>
      </c>
      <c r="E42" s="146"/>
      <c r="F42" s="127" t="s">
        <v>303</v>
      </c>
      <c r="G42" s="128" t="s">
        <v>304</v>
      </c>
      <c r="H42" s="129" t="s">
        <v>302</v>
      </c>
    </row>
    <row r="43" spans="2:8" ht="20.100000000000001" customHeight="1">
      <c r="B43" s="102" t="s">
        <v>308</v>
      </c>
      <c r="C43" s="103"/>
      <c r="D43" s="103"/>
      <c r="E43" s="103"/>
      <c r="F43" s="103"/>
      <c r="G43" s="103"/>
      <c r="H43" s="103"/>
    </row>
    <row r="44" spans="2:8" ht="20.100000000000001" customHeight="1">
      <c r="B44" s="141" t="s">
        <v>301</v>
      </c>
      <c r="C44" s="142" t="s">
        <v>302</v>
      </c>
      <c r="D44" s="1"/>
      <c r="E44" s="1"/>
      <c r="F44" s="1"/>
      <c r="G44" s="1"/>
      <c r="H44" s="2"/>
    </row>
    <row r="45" spans="2:8" ht="20.100000000000001" customHeight="1">
      <c r="B45" s="143" t="s">
        <v>115</v>
      </c>
      <c r="C45" s="42" t="s">
        <v>116</v>
      </c>
      <c r="D45" s="137" t="s">
        <v>248</v>
      </c>
      <c r="E45" s="157"/>
      <c r="F45" s="144" t="s">
        <v>303</v>
      </c>
      <c r="G45" s="145" t="s">
        <v>304</v>
      </c>
      <c r="H45" s="121"/>
    </row>
    <row r="46" spans="2:8" ht="20.100000000000001" customHeight="1">
      <c r="B46" s="143" t="s">
        <v>118</v>
      </c>
      <c r="C46" s="42" t="s">
        <v>119</v>
      </c>
      <c r="D46" s="137" t="s">
        <v>248</v>
      </c>
      <c r="E46" s="157"/>
      <c r="F46" s="144" t="s">
        <v>303</v>
      </c>
      <c r="G46" s="145" t="s">
        <v>304</v>
      </c>
      <c r="H46" s="121"/>
    </row>
    <row r="47" spans="2:8" ht="18" customHeight="1">
      <c r="B47" s="143" t="s">
        <v>121</v>
      </c>
      <c r="C47" s="42" t="s">
        <v>122</v>
      </c>
      <c r="D47" s="84" t="s">
        <v>248</v>
      </c>
      <c r="E47" s="146"/>
      <c r="F47" s="127" t="s">
        <v>303</v>
      </c>
      <c r="G47" s="128" t="s">
        <v>304</v>
      </c>
      <c r="H47" s="129" t="s">
        <v>302</v>
      </c>
    </row>
    <row r="48" spans="2:8" ht="30" customHeight="1">
      <c r="B48" s="143" t="s">
        <v>124</v>
      </c>
      <c r="C48" s="42" t="s">
        <v>125</v>
      </c>
      <c r="D48" s="84" t="s">
        <v>248</v>
      </c>
      <c r="E48" s="146"/>
      <c r="F48" s="127" t="s">
        <v>303</v>
      </c>
      <c r="G48" s="128" t="s">
        <v>304</v>
      </c>
      <c r="H48" s="129" t="s">
        <v>302</v>
      </c>
    </row>
    <row r="49" spans="2:8" ht="20.100000000000001" customHeight="1">
      <c r="B49" s="102" t="s">
        <v>310</v>
      </c>
      <c r="C49" s="103"/>
      <c r="D49" s="1"/>
      <c r="E49" s="1"/>
      <c r="F49" s="1"/>
      <c r="G49" s="1"/>
      <c r="H49" s="2"/>
    </row>
    <row r="50" spans="2:8" ht="39.950000000000003" customHeight="1">
      <c r="B50" s="141" t="s">
        <v>301</v>
      </c>
      <c r="C50" s="161" t="s">
        <v>302</v>
      </c>
      <c r="D50" s="190"/>
      <c r="E50" s="190"/>
      <c r="F50" s="190"/>
      <c r="G50" s="190"/>
      <c r="H50" s="191"/>
    </row>
    <row r="51" spans="2:8" ht="20.100000000000001" customHeight="1">
      <c r="B51" s="143" t="s">
        <v>128</v>
      </c>
      <c r="C51" s="42" t="s">
        <v>311</v>
      </c>
      <c r="D51" s="137" t="s">
        <v>248</v>
      </c>
      <c r="E51" s="157"/>
      <c r="F51" s="144" t="s">
        <v>303</v>
      </c>
      <c r="G51" s="145" t="s">
        <v>304</v>
      </c>
      <c r="H51" s="121"/>
    </row>
    <row r="52" spans="2:8" ht="20.100000000000001" customHeight="1">
      <c r="B52" s="130" t="s">
        <v>245</v>
      </c>
      <c r="C52" s="150" t="s">
        <v>396</v>
      </c>
      <c r="D52" s="1"/>
      <c r="E52" s="1"/>
      <c r="F52" s="1"/>
      <c r="G52" s="1"/>
      <c r="H52" s="2"/>
    </row>
    <row r="53" spans="2:8" ht="20.100000000000001" customHeight="1">
      <c r="B53" s="143" t="s">
        <v>131</v>
      </c>
      <c r="C53" s="42" t="s">
        <v>313</v>
      </c>
      <c r="D53" s="137" t="s">
        <v>248</v>
      </c>
      <c r="E53" s="157"/>
      <c r="F53" s="144" t="s">
        <v>303</v>
      </c>
      <c r="G53" s="145" t="s">
        <v>304</v>
      </c>
      <c r="H53" s="121"/>
    </row>
    <row r="54" spans="2:8" ht="20.100000000000001" customHeight="1">
      <c r="B54" s="143" t="s">
        <v>134</v>
      </c>
      <c r="C54" s="42" t="s">
        <v>135</v>
      </c>
      <c r="D54" s="137" t="s">
        <v>248</v>
      </c>
      <c r="E54" s="157"/>
      <c r="F54" s="144" t="s">
        <v>303</v>
      </c>
      <c r="G54" s="145" t="s">
        <v>304</v>
      </c>
      <c r="H54" s="121"/>
    </row>
    <row r="55" spans="2:8" ht="18" customHeight="1">
      <c r="B55" s="143" t="s">
        <v>137</v>
      </c>
      <c r="C55" s="42" t="s">
        <v>314</v>
      </c>
      <c r="D55" s="1"/>
      <c r="E55" s="1"/>
      <c r="F55" s="1"/>
      <c r="G55" s="1"/>
      <c r="H55" s="2"/>
    </row>
    <row r="56" spans="2:8" ht="30" customHeight="1">
      <c r="B56" s="143" t="s">
        <v>140</v>
      </c>
      <c r="C56" s="165" t="s">
        <v>315</v>
      </c>
      <c r="D56" s="190"/>
      <c r="E56" s="190"/>
      <c r="F56" s="190"/>
      <c r="G56" s="190"/>
      <c r="H56" s="191"/>
    </row>
    <row r="57" spans="2:8" ht="20.100000000000001" customHeight="1">
      <c r="B57" s="102" t="s">
        <v>317</v>
      </c>
      <c r="C57" s="103"/>
      <c r="D57" s="103"/>
      <c r="E57" s="103"/>
      <c r="F57" s="103"/>
      <c r="G57" s="103"/>
      <c r="H57" s="103"/>
    </row>
    <row r="58" spans="2:8" ht="20.100000000000001" customHeight="1">
      <c r="B58" s="141" t="s">
        <v>301</v>
      </c>
      <c r="C58" s="142" t="s">
        <v>302</v>
      </c>
      <c r="D58" s="1"/>
      <c r="E58" s="1"/>
      <c r="F58" s="1"/>
      <c r="G58" s="1"/>
      <c r="H58" s="2"/>
    </row>
    <row r="59" spans="2:8" ht="20.100000000000001" customHeight="1">
      <c r="B59" s="143" t="s">
        <v>144</v>
      </c>
      <c r="C59" s="42" t="s">
        <v>318</v>
      </c>
      <c r="D59" s="137" t="s">
        <v>248</v>
      </c>
      <c r="E59" s="157"/>
      <c r="F59" s="144" t="s">
        <v>303</v>
      </c>
      <c r="G59" s="145" t="s">
        <v>304</v>
      </c>
      <c r="H59" s="121"/>
    </row>
    <row r="60" spans="2:8" ht="20.100000000000001" customHeight="1">
      <c r="B60" s="143" t="s">
        <v>147</v>
      </c>
      <c r="C60" s="42" t="s">
        <v>148</v>
      </c>
      <c r="D60" s="137" t="s">
        <v>248</v>
      </c>
      <c r="E60" s="157"/>
      <c r="F60" s="144" t="s">
        <v>303</v>
      </c>
      <c r="G60" s="145" t="s">
        <v>304</v>
      </c>
      <c r="H60" s="121"/>
    </row>
    <row r="61" spans="2:8" ht="20.100000000000001" customHeight="1">
      <c r="B61" s="143" t="s">
        <v>150</v>
      </c>
      <c r="C61" s="42" t="s">
        <v>319</v>
      </c>
      <c r="D61" s="137" t="s">
        <v>248</v>
      </c>
      <c r="E61" s="157"/>
      <c r="F61" s="144" t="s">
        <v>303</v>
      </c>
      <c r="G61" s="145" t="s">
        <v>304</v>
      </c>
      <c r="H61" s="121"/>
    </row>
    <row r="62" spans="2:8" ht="20.100000000000001" customHeight="1">
      <c r="B62" s="143" t="s">
        <v>153</v>
      </c>
      <c r="C62" s="42" t="s">
        <v>320</v>
      </c>
      <c r="D62" s="137" t="s">
        <v>248</v>
      </c>
      <c r="E62" s="157"/>
      <c r="F62" s="144" t="s">
        <v>303</v>
      </c>
      <c r="G62" s="145" t="s">
        <v>304</v>
      </c>
      <c r="H62" s="121"/>
    </row>
    <row r="63" spans="2:8" ht="18" customHeight="1">
      <c r="B63" s="143" t="s">
        <v>156</v>
      </c>
      <c r="C63" s="42" t="s">
        <v>157</v>
      </c>
      <c r="D63" s="1"/>
      <c r="E63" s="1"/>
      <c r="F63" s="1"/>
      <c r="G63" s="1"/>
      <c r="H63" s="2"/>
    </row>
    <row r="64" spans="2:8" ht="30" customHeight="1">
      <c r="B64" s="143" t="s">
        <v>159</v>
      </c>
      <c r="C64" s="165" t="s">
        <v>160</v>
      </c>
      <c r="D64" s="190"/>
      <c r="E64" s="190"/>
      <c r="F64" s="190"/>
      <c r="G64" s="190"/>
      <c r="H64" s="191"/>
    </row>
    <row r="65" spans="2:8" ht="20.100000000000001" customHeight="1">
      <c r="B65" s="141" t="s">
        <v>301</v>
      </c>
      <c r="C65" s="142" t="s">
        <v>302</v>
      </c>
      <c r="D65" s="1"/>
      <c r="E65" s="1"/>
      <c r="F65" s="1"/>
      <c r="G65" s="1"/>
      <c r="H65" s="2"/>
    </row>
    <row r="67" spans="2:8" ht="30" customHeight="1">
      <c r="B67" s="147" t="s">
        <v>321</v>
      </c>
      <c r="C67" s="159" t="s">
        <v>322</v>
      </c>
      <c r="D67" s="190"/>
      <c r="E67" s="190"/>
      <c r="F67" s="190"/>
      <c r="G67" s="190"/>
      <c r="H67" s="191"/>
    </row>
  </sheetData>
  <mergeCells count="8">
    <mergeCell ref="C67:H67"/>
    <mergeCell ref="C16:H16"/>
    <mergeCell ref="C50:H50"/>
    <mergeCell ref="N12:O12"/>
    <mergeCell ref="C64:H64"/>
    <mergeCell ref="C56:H56"/>
    <mergeCell ref="H12:M12"/>
    <mergeCell ref="C34:H3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2A74-358F-4993-BA83-F27C5B381E93}">
  <sheetPr>
    <tabColor rgb="FFFFFF00"/>
  </sheetPr>
  <dimension ref="B3:J44"/>
  <sheetViews>
    <sheetView tabSelected="1" zoomScale="85" zoomScaleNormal="85" workbookViewId="0">
      <pane ySplit="5" topLeftCell="A22" activePane="bottomLeft" state="frozen"/>
      <selection pane="bottomLeft" activeCell="A6" sqref="A6:XFD6"/>
      <selection activeCell="A6" sqref="A6:XFD6"/>
    </sheetView>
  </sheetViews>
  <sheetFormatPr defaultRowHeight="15"/>
  <cols>
    <col min="1" max="1" width="5.42578125" customWidth="1"/>
    <col min="2" max="2" width="44.85546875" customWidth="1"/>
    <col min="3" max="3" width="12.5703125" bestFit="1" customWidth="1"/>
    <col min="4" max="4" width="14.28515625" bestFit="1" customWidth="1"/>
    <col min="5" max="5" width="10.42578125" bestFit="1" customWidth="1"/>
    <col min="6" max="6" width="8" bestFit="1" customWidth="1"/>
    <col min="7" max="9" width="7.42578125" bestFit="1" customWidth="1"/>
    <col min="10" max="10" width="143.140625" bestFit="1" customWidth="1"/>
  </cols>
  <sheetData>
    <row r="3" spans="2:10">
      <c r="B3" s="166" t="s">
        <v>450</v>
      </c>
    </row>
    <row r="4" spans="2:10" ht="30.95" customHeight="1">
      <c r="B4" s="167" t="s">
        <v>451</v>
      </c>
      <c r="C4" s="168" t="s">
        <v>6</v>
      </c>
      <c r="D4" s="168" t="s">
        <v>9</v>
      </c>
      <c r="E4" s="168" t="s">
        <v>12</v>
      </c>
      <c r="F4" s="168" t="s">
        <v>13</v>
      </c>
      <c r="G4" s="168" t="s">
        <v>4</v>
      </c>
      <c r="H4" s="168" t="s">
        <v>7</v>
      </c>
      <c r="I4" s="168" t="s">
        <v>10</v>
      </c>
      <c r="J4" s="168" t="s">
        <v>22</v>
      </c>
    </row>
    <row r="5" spans="2:10" ht="20.45" customHeight="1">
      <c r="B5" s="169" t="s">
        <v>452</v>
      </c>
      <c r="C5" s="170">
        <f>[1]Prioritization!W26</f>
        <v>0.8</v>
      </c>
      <c r="D5" s="170">
        <f>[1]Prioritization!X26</f>
        <v>0.66666666666666696</v>
      </c>
      <c r="E5" s="170">
        <f>[1]Prioritization!Y26</f>
        <v>1</v>
      </c>
      <c r="F5" s="170">
        <f>[1]Prioritization!Z26</f>
        <v>0</v>
      </c>
      <c r="J5" s="171"/>
    </row>
    <row r="6" spans="2:10" ht="20.45" customHeight="1">
      <c r="B6" s="172" t="s">
        <v>453</v>
      </c>
      <c r="C6" s="173" t="s">
        <v>454</v>
      </c>
      <c r="D6" s="173" t="s">
        <v>455</v>
      </c>
      <c r="E6" s="174" t="s">
        <v>455</v>
      </c>
      <c r="F6" s="173" t="s">
        <v>455</v>
      </c>
      <c r="G6" s="173"/>
      <c r="H6" s="173" t="s">
        <v>456</v>
      </c>
      <c r="J6" s="171"/>
    </row>
    <row r="7" spans="2:10" ht="20.45" customHeight="1">
      <c r="B7" s="172" t="s">
        <v>457</v>
      </c>
      <c r="C7" s="175" t="s">
        <v>455</v>
      </c>
      <c r="D7" s="175" t="s">
        <v>454</v>
      </c>
      <c r="E7" s="175" t="s">
        <v>454</v>
      </c>
      <c r="F7" s="175" t="s">
        <v>454</v>
      </c>
      <c r="I7" s="175" t="s">
        <v>456</v>
      </c>
      <c r="J7" s="171"/>
    </row>
    <row r="8" spans="2:10" ht="20.45" customHeight="1">
      <c r="B8" s="172" t="s">
        <v>458</v>
      </c>
      <c r="C8" s="173" t="s">
        <v>454</v>
      </c>
      <c r="D8" s="173" t="s">
        <v>455</v>
      </c>
      <c r="E8" s="176" t="s">
        <v>459</v>
      </c>
      <c r="F8" s="173" t="s">
        <v>455</v>
      </c>
      <c r="G8" s="173" t="s">
        <v>456</v>
      </c>
      <c r="H8" s="173"/>
      <c r="I8" s="173"/>
      <c r="J8" s="171"/>
    </row>
    <row r="9" spans="2:10" ht="20.45" customHeight="1">
      <c r="B9" s="172" t="s">
        <v>460</v>
      </c>
      <c r="C9" s="175" t="s">
        <v>455</v>
      </c>
      <c r="D9" s="175" t="s">
        <v>454</v>
      </c>
      <c r="E9" s="175" t="s">
        <v>454</v>
      </c>
      <c r="F9" s="175" t="s">
        <v>454</v>
      </c>
      <c r="I9" s="175" t="s">
        <v>456</v>
      </c>
      <c r="J9" s="171"/>
    </row>
    <row r="10" spans="2:10" ht="20.45" customHeight="1">
      <c r="B10" s="172" t="s">
        <v>461</v>
      </c>
      <c r="C10" s="173" t="s">
        <v>454</v>
      </c>
      <c r="D10" s="173" t="s">
        <v>455</v>
      </c>
      <c r="E10" s="176" t="s">
        <v>459</v>
      </c>
      <c r="F10" s="173" t="s">
        <v>455</v>
      </c>
      <c r="H10" s="173" t="s">
        <v>456</v>
      </c>
      <c r="J10" s="171"/>
    </row>
    <row r="11" spans="2:10" ht="20.45" customHeight="1">
      <c r="B11" s="172" t="s">
        <v>462</v>
      </c>
      <c r="C11" s="175" t="s">
        <v>455</v>
      </c>
      <c r="D11" s="175" t="s">
        <v>454</v>
      </c>
      <c r="E11" s="175" t="s">
        <v>454</v>
      </c>
      <c r="F11" s="175" t="s">
        <v>454</v>
      </c>
      <c r="H11" s="175" t="s">
        <v>456</v>
      </c>
      <c r="J11" s="171"/>
    </row>
    <row r="12" spans="2:10" ht="20.45" customHeight="1">
      <c r="B12" s="177" t="s">
        <v>463</v>
      </c>
      <c r="C12" s="178">
        <f>[1]Prioritization!W24</f>
        <v>0.8</v>
      </c>
      <c r="D12" s="178">
        <f>[1]Prioritization!X24</f>
        <v>0.33333333333333298</v>
      </c>
      <c r="E12" s="178">
        <f>[1]Prioritization!Y24</f>
        <v>0.5</v>
      </c>
      <c r="F12" s="178">
        <f>[1]Prioritization!Z24</f>
        <v>1</v>
      </c>
      <c r="J12" s="171"/>
    </row>
    <row r="13" spans="2:10" ht="20.45" customHeight="1">
      <c r="B13" s="172" t="s">
        <v>464</v>
      </c>
      <c r="C13" s="173" t="s">
        <v>454</v>
      </c>
      <c r="D13" s="173" t="s">
        <v>455</v>
      </c>
      <c r="E13" s="174" t="s">
        <v>455</v>
      </c>
      <c r="F13" s="173" t="s">
        <v>455</v>
      </c>
      <c r="G13" s="173" t="s">
        <v>456</v>
      </c>
      <c r="H13" s="173"/>
      <c r="J13" s="171"/>
    </row>
    <row r="14" spans="2:10" ht="20.45" customHeight="1">
      <c r="B14" s="172" t="s">
        <v>465</v>
      </c>
      <c r="C14" s="173" t="s">
        <v>454</v>
      </c>
      <c r="D14" s="173" t="s">
        <v>455</v>
      </c>
      <c r="E14" s="174" t="s">
        <v>455</v>
      </c>
      <c r="F14" s="173" t="s">
        <v>455</v>
      </c>
      <c r="H14" s="173" t="s">
        <v>456</v>
      </c>
      <c r="J14" s="171"/>
    </row>
    <row r="15" spans="2:10" ht="20.45" customHeight="1">
      <c r="B15" s="172" t="s">
        <v>466</v>
      </c>
      <c r="C15" s="175" t="s">
        <v>455</v>
      </c>
      <c r="D15" s="175" t="s">
        <v>454</v>
      </c>
      <c r="E15" s="175" t="s">
        <v>454</v>
      </c>
      <c r="F15" s="175" t="s">
        <v>454</v>
      </c>
      <c r="H15" s="175" t="s">
        <v>456</v>
      </c>
      <c r="J15" s="171"/>
    </row>
    <row r="16" spans="2:10" ht="20.45" customHeight="1">
      <c r="B16" s="172" t="s">
        <v>467</v>
      </c>
      <c r="C16" s="175" t="s">
        <v>455</v>
      </c>
      <c r="D16" s="175" t="s">
        <v>454</v>
      </c>
      <c r="E16" s="176" t="s">
        <v>459</v>
      </c>
      <c r="F16" s="175" t="s">
        <v>454</v>
      </c>
      <c r="I16" t="s">
        <v>456</v>
      </c>
      <c r="J16" s="171"/>
    </row>
    <row r="17" spans="2:10" ht="20.45" customHeight="1">
      <c r="B17" s="179" t="s">
        <v>468</v>
      </c>
      <c r="C17" s="180">
        <f>[1]Prioritization!W25</f>
        <v>0.8</v>
      </c>
      <c r="D17" s="180">
        <f>[1]Prioritization!X25</f>
        <v>0.66666666666666696</v>
      </c>
      <c r="E17" s="180">
        <f>[1]Prioritization!Y25</f>
        <v>0.25</v>
      </c>
      <c r="F17" s="180">
        <f>[1]Prioritization!Z25</f>
        <v>1</v>
      </c>
      <c r="J17" s="171"/>
    </row>
    <row r="18" spans="2:10" ht="20.45" customHeight="1">
      <c r="B18" s="172" t="s">
        <v>469</v>
      </c>
      <c r="C18" s="173" t="s">
        <v>454</v>
      </c>
      <c r="D18" s="173" t="s">
        <v>455</v>
      </c>
      <c r="E18" s="174" t="s">
        <v>455</v>
      </c>
      <c r="F18" s="173" t="s">
        <v>455</v>
      </c>
      <c r="I18" t="s">
        <v>456</v>
      </c>
      <c r="J18" s="171"/>
    </row>
    <row r="19" spans="2:10" ht="20.45" customHeight="1">
      <c r="B19" s="172" t="s">
        <v>470</v>
      </c>
      <c r="C19" s="173" t="s">
        <v>454</v>
      </c>
      <c r="D19" s="173" t="s">
        <v>455</v>
      </c>
      <c r="E19" s="174" t="s">
        <v>455</v>
      </c>
      <c r="F19" s="173" t="s">
        <v>455</v>
      </c>
      <c r="H19" s="173" t="s">
        <v>456</v>
      </c>
      <c r="J19" s="171"/>
    </row>
    <row r="20" spans="2:10" ht="20.45" customHeight="1">
      <c r="B20" s="172" t="s">
        <v>471</v>
      </c>
      <c r="C20" s="173" t="s">
        <v>454</v>
      </c>
      <c r="D20" s="173" t="s">
        <v>455</v>
      </c>
      <c r="E20" s="174" t="s">
        <v>455</v>
      </c>
      <c r="F20" s="173" t="s">
        <v>455</v>
      </c>
      <c r="G20" s="173" t="s">
        <v>456</v>
      </c>
      <c r="J20" s="171"/>
    </row>
    <row r="21" spans="2:10" ht="20.45" customHeight="1">
      <c r="B21" s="172" t="s">
        <v>472</v>
      </c>
      <c r="C21" s="173" t="s">
        <v>454</v>
      </c>
      <c r="D21" s="173" t="s">
        <v>455</v>
      </c>
      <c r="E21" s="174" t="s">
        <v>455</v>
      </c>
      <c r="F21" s="173" t="s">
        <v>455</v>
      </c>
      <c r="G21" s="173" t="s">
        <v>456</v>
      </c>
      <c r="J21" s="171"/>
    </row>
    <row r="22" spans="2:10" ht="20.45" customHeight="1">
      <c r="B22" s="172" t="s">
        <v>473</v>
      </c>
      <c r="C22" s="175" t="s">
        <v>455</v>
      </c>
      <c r="D22" s="175" t="s">
        <v>454</v>
      </c>
      <c r="E22" s="175" t="s">
        <v>454</v>
      </c>
      <c r="F22" s="175" t="s">
        <v>454</v>
      </c>
      <c r="I22" s="175" t="s">
        <v>456</v>
      </c>
      <c r="J22" s="171"/>
    </row>
    <row r="23" spans="2:10" ht="20.45" customHeight="1">
      <c r="B23" s="172" t="s">
        <v>474</v>
      </c>
      <c r="C23" s="181" t="s">
        <v>475</v>
      </c>
      <c r="D23" s="176" t="s">
        <v>459</v>
      </c>
      <c r="E23" s="176" t="s">
        <v>459</v>
      </c>
      <c r="F23" s="176" t="s">
        <v>459</v>
      </c>
      <c r="J23" s="171"/>
    </row>
    <row r="24" spans="2:10" ht="20.45" customHeight="1">
      <c r="B24" s="182" t="s">
        <v>476</v>
      </c>
      <c r="C24" s="183">
        <f>[1]Prioritization!W23</f>
        <v>0.8</v>
      </c>
      <c r="D24" s="183">
        <f>[1]Prioritization!X23</f>
        <v>0.33333333333333298</v>
      </c>
      <c r="E24" s="183">
        <f>[1]Prioritization!Y23</f>
        <v>0.5</v>
      </c>
      <c r="F24" s="183">
        <f>[1]Prioritization!Z23</f>
        <v>0</v>
      </c>
      <c r="J24" s="171"/>
    </row>
    <row r="25" spans="2:10" ht="20.45" customHeight="1">
      <c r="B25" s="172" t="s">
        <v>477</v>
      </c>
      <c r="C25" s="173" t="s">
        <v>454</v>
      </c>
      <c r="D25" s="173" t="s">
        <v>455</v>
      </c>
      <c r="E25" s="176" t="s">
        <v>459</v>
      </c>
      <c r="F25" s="173" t="s">
        <v>455</v>
      </c>
      <c r="G25" s="173" t="s">
        <v>456</v>
      </c>
      <c r="H25" s="173" t="s">
        <v>456</v>
      </c>
      <c r="J25" s="171"/>
    </row>
    <row r="26" spans="2:10" ht="20.45" customHeight="1">
      <c r="B26" s="172" t="s">
        <v>478</v>
      </c>
      <c r="C26" s="176" t="s">
        <v>459</v>
      </c>
      <c r="D26" s="181" t="s">
        <v>475</v>
      </c>
      <c r="E26" s="181" t="s">
        <v>475</v>
      </c>
      <c r="F26" s="181" t="s">
        <v>475</v>
      </c>
      <c r="J26" s="171"/>
    </row>
    <row r="27" spans="2:10" ht="20.45" customHeight="1">
      <c r="B27" s="172" t="s">
        <v>479</v>
      </c>
      <c r="C27" s="181" t="s">
        <v>475</v>
      </c>
      <c r="D27" s="176" t="s">
        <v>459</v>
      </c>
      <c r="E27" s="176" t="s">
        <v>459</v>
      </c>
      <c r="F27" s="176" t="s">
        <v>459</v>
      </c>
      <c r="J27" s="171"/>
    </row>
    <row r="28" spans="2:10" ht="20.45" customHeight="1">
      <c r="B28" s="172" t="s">
        <v>480</v>
      </c>
      <c r="C28" s="176" t="s">
        <v>459</v>
      </c>
      <c r="D28" s="181" t="s">
        <v>475</v>
      </c>
      <c r="E28" s="181" t="s">
        <v>475</v>
      </c>
      <c r="F28" s="181" t="s">
        <v>475</v>
      </c>
      <c r="J28" s="171"/>
    </row>
    <row r="29" spans="2:10" ht="20.45" customHeight="1">
      <c r="B29" s="184" t="s">
        <v>481</v>
      </c>
      <c r="C29" s="185">
        <f>[1]Prioritization!W29</f>
        <v>0.6</v>
      </c>
      <c r="D29" s="185">
        <f>[1]Prioritization!X29</f>
        <v>0</v>
      </c>
      <c r="E29" s="185">
        <f>[1]Prioritization!Y29</f>
        <v>0.5</v>
      </c>
      <c r="F29" s="185">
        <f>[1]Prioritization!Z29</f>
        <v>0</v>
      </c>
      <c r="J29" s="171"/>
    </row>
    <row r="30" spans="2:10" ht="20.45" customHeight="1">
      <c r="B30" s="172" t="s">
        <v>482</v>
      </c>
      <c r="C30" s="175" t="s">
        <v>455</v>
      </c>
      <c r="D30" s="173" t="s">
        <v>455</v>
      </c>
      <c r="E30" s="174" t="s">
        <v>455</v>
      </c>
      <c r="F30" s="173" t="s">
        <v>455</v>
      </c>
      <c r="G30" t="s">
        <v>456</v>
      </c>
      <c r="H30" t="s">
        <v>456</v>
      </c>
      <c r="I30" t="s">
        <v>456</v>
      </c>
      <c r="J30" s="171"/>
    </row>
    <row r="31" spans="2:10" ht="20.45" customHeight="1">
      <c r="B31" s="172" t="s">
        <v>483</v>
      </c>
      <c r="C31" s="175" t="s">
        <v>455</v>
      </c>
      <c r="D31" s="173" t="s">
        <v>455</v>
      </c>
      <c r="E31" s="174" t="s">
        <v>455</v>
      </c>
      <c r="F31" s="173" t="s">
        <v>455</v>
      </c>
      <c r="G31" t="s">
        <v>456</v>
      </c>
      <c r="H31" t="s">
        <v>456</v>
      </c>
      <c r="I31" t="s">
        <v>456</v>
      </c>
      <c r="J31" s="171"/>
    </row>
    <row r="32" spans="2:10" ht="20.45" customHeight="1">
      <c r="B32" s="172" t="s">
        <v>484</v>
      </c>
      <c r="C32" s="175" t="s">
        <v>455</v>
      </c>
      <c r="D32" s="173" t="s">
        <v>455</v>
      </c>
      <c r="E32" s="174" t="s">
        <v>455</v>
      </c>
      <c r="F32" s="173" t="s">
        <v>455</v>
      </c>
      <c r="G32" t="s">
        <v>456</v>
      </c>
      <c r="H32" t="s">
        <v>456</v>
      </c>
      <c r="I32" t="s">
        <v>456</v>
      </c>
      <c r="J32" s="171"/>
    </row>
    <row r="33" spans="2:10" ht="20.45" customHeight="1">
      <c r="B33" s="172" t="s">
        <v>485</v>
      </c>
      <c r="C33" s="176" t="s">
        <v>459</v>
      </c>
      <c r="D33" s="181" t="s">
        <v>475</v>
      </c>
      <c r="E33" s="181" t="s">
        <v>475</v>
      </c>
      <c r="F33" s="181" t="s">
        <v>475</v>
      </c>
      <c r="J33" s="171"/>
    </row>
    <row r="34" spans="2:10" ht="20.45" customHeight="1">
      <c r="B34" s="172" t="s">
        <v>486</v>
      </c>
      <c r="C34" s="181" t="s">
        <v>475</v>
      </c>
      <c r="D34" s="176" t="s">
        <v>459</v>
      </c>
      <c r="E34" s="176" t="s">
        <v>459</v>
      </c>
      <c r="F34" s="176" t="s">
        <v>459</v>
      </c>
      <c r="J34" s="171"/>
    </row>
    <row r="35" spans="2:10" ht="20.45" customHeight="1">
      <c r="B35" s="186" t="s">
        <v>487</v>
      </c>
      <c r="C35" s="187">
        <f>[1]Prioritization!W27</f>
        <v>0.4</v>
      </c>
      <c r="D35" s="187">
        <f>[1]Prioritization!X27</f>
        <v>0</v>
      </c>
      <c r="E35" s="187">
        <f>[1]Prioritization!Y27</f>
        <v>0.25</v>
      </c>
      <c r="F35" s="187">
        <f>[1]Prioritization!Z27</f>
        <v>1</v>
      </c>
      <c r="I35" s="173" t="s">
        <v>456</v>
      </c>
      <c r="J35" t="s">
        <v>488</v>
      </c>
    </row>
    <row r="36" spans="2:10" ht="20.45" customHeight="1">
      <c r="B36" s="172" t="s">
        <v>489</v>
      </c>
      <c r="C36" s="173" t="s">
        <v>454</v>
      </c>
      <c r="D36" s="173" t="s">
        <v>455</v>
      </c>
      <c r="E36" s="174" t="s">
        <v>455</v>
      </c>
      <c r="F36" s="173" t="s">
        <v>455</v>
      </c>
      <c r="G36" s="173"/>
      <c r="H36" s="173" t="s">
        <v>456</v>
      </c>
      <c r="I36" s="173" t="s">
        <v>456</v>
      </c>
      <c r="J36" s="171"/>
    </row>
    <row r="37" spans="2:10" ht="20.45" customHeight="1">
      <c r="B37" s="172" t="s">
        <v>490</v>
      </c>
      <c r="C37" s="173" t="s">
        <v>454</v>
      </c>
      <c r="D37" s="176" t="s">
        <v>459</v>
      </c>
      <c r="E37" s="174" t="s">
        <v>455</v>
      </c>
      <c r="F37" s="176" t="s">
        <v>459</v>
      </c>
      <c r="H37" s="173" t="s">
        <v>456</v>
      </c>
      <c r="I37" s="173" t="s">
        <v>456</v>
      </c>
      <c r="J37" s="171"/>
    </row>
    <row r="38" spans="2:10" ht="20.45" customHeight="1">
      <c r="B38" s="172" t="s">
        <v>491</v>
      </c>
      <c r="C38" s="173" t="s">
        <v>454</v>
      </c>
      <c r="D38" s="173" t="s">
        <v>455</v>
      </c>
      <c r="E38" s="174" t="s">
        <v>455</v>
      </c>
      <c r="F38" s="173" t="s">
        <v>455</v>
      </c>
      <c r="I38" s="173" t="s">
        <v>456</v>
      </c>
      <c r="J38" s="171"/>
    </row>
    <row r="39" spans="2:10" ht="20.45" customHeight="1">
      <c r="B39" s="172" t="s">
        <v>492</v>
      </c>
      <c r="C39" s="175" t="s">
        <v>455</v>
      </c>
      <c r="D39" s="175" t="s">
        <v>454</v>
      </c>
      <c r="E39" s="175" t="s">
        <v>454</v>
      </c>
      <c r="F39" s="175" t="s">
        <v>454</v>
      </c>
      <c r="G39" s="173" t="s">
        <v>456</v>
      </c>
      <c r="I39" s="173"/>
      <c r="J39" s="171"/>
    </row>
    <row r="40" spans="2:10" ht="20.45" customHeight="1">
      <c r="B40" s="172" t="s">
        <v>493</v>
      </c>
      <c r="C40" s="175" t="s">
        <v>455</v>
      </c>
      <c r="D40" s="175" t="s">
        <v>454</v>
      </c>
      <c r="E40" s="175" t="s">
        <v>454</v>
      </c>
      <c r="F40" s="175" t="s">
        <v>454</v>
      </c>
      <c r="I40" s="173" t="s">
        <v>456</v>
      </c>
      <c r="J40" s="171"/>
    </row>
    <row r="41" spans="2:10" ht="20.45" customHeight="1">
      <c r="B41" s="188" t="s">
        <v>494</v>
      </c>
      <c r="C41" s="189">
        <f>[1]Prioritization!W28</f>
        <v>0.4</v>
      </c>
      <c r="D41" s="189">
        <f>[1]Prioritization!X28</f>
        <v>0</v>
      </c>
      <c r="E41" s="189">
        <f>[1]Prioritization!Y28</f>
        <v>0.25</v>
      </c>
      <c r="F41" s="189">
        <f>[1]Prioritization!Z28</f>
        <v>0</v>
      </c>
      <c r="J41" s="171"/>
    </row>
    <row r="42" spans="2:10" ht="20.45" customHeight="1">
      <c r="B42" s="172" t="s">
        <v>495</v>
      </c>
      <c r="C42" s="175" t="s">
        <v>455</v>
      </c>
      <c r="D42" s="173" t="s">
        <v>455</v>
      </c>
      <c r="E42" s="174" t="s">
        <v>455</v>
      </c>
      <c r="F42" s="173" t="s">
        <v>455</v>
      </c>
      <c r="H42" t="s">
        <v>456</v>
      </c>
      <c r="I42" t="s">
        <v>456</v>
      </c>
      <c r="J42" s="171"/>
    </row>
    <row r="43" spans="2:10" ht="20.45" customHeight="1">
      <c r="B43" s="172" t="s">
        <v>496</v>
      </c>
      <c r="C43" s="175" t="s">
        <v>455</v>
      </c>
      <c r="D43" s="173" t="s">
        <v>455</v>
      </c>
      <c r="E43" s="174" t="s">
        <v>455</v>
      </c>
      <c r="F43" s="173" t="s">
        <v>455</v>
      </c>
      <c r="G43" t="s">
        <v>456</v>
      </c>
      <c r="J43" s="171" t="s">
        <v>456</v>
      </c>
    </row>
    <row r="44" spans="2:10" ht="20.45" customHeight="1">
      <c r="B44" s="172" t="s">
        <v>497</v>
      </c>
      <c r="C44" s="181" t="s">
        <v>475</v>
      </c>
      <c r="D44" s="176" t="s">
        <v>459</v>
      </c>
      <c r="E44" s="176" t="s">
        <v>459</v>
      </c>
      <c r="F44" s="176" t="s">
        <v>459</v>
      </c>
      <c r="J44" s="171"/>
    </row>
  </sheetData>
  <conditionalFormatting sqref="G39">
    <cfRule type="cellIs" dxfId="11" priority="1" operator="equal">
      <formula>"Blocked"</formula>
    </cfRule>
    <cfRule type="cellIs" dxfId="10" priority="2" operator="equal">
      <formula>"Receives"</formula>
    </cfRule>
    <cfRule type="cellIs" dxfId="9" priority="3" operator="equal">
      <formula>"Shares"</formula>
    </cfRule>
  </conditionalFormatting>
  <conditionalFormatting sqref="G6:H6 C6:F44 I7:I9 G8:H8 H10:H11 G13 H13:H15 H19 G20:G21 I22 G25:H25 G36:H36">
    <cfRule type="cellIs" dxfId="8" priority="10" operator="equal">
      <formula>"Blocked"</formula>
    </cfRule>
    <cfRule type="cellIs" dxfId="7" priority="11" operator="equal">
      <formula>"Receives"</formula>
    </cfRule>
    <cfRule type="cellIs" dxfId="6" priority="12" operator="equal">
      <formula>"Shares"</formula>
    </cfRule>
  </conditionalFormatting>
  <conditionalFormatting sqref="H37">
    <cfRule type="cellIs" dxfId="5" priority="4" operator="equal">
      <formula>"Blocked"</formula>
    </cfRule>
    <cfRule type="cellIs" dxfId="4" priority="5" operator="equal">
      <formula>"Receives"</formula>
    </cfRule>
    <cfRule type="cellIs" dxfId="3" priority="6" operator="equal">
      <formula>"Shares"</formula>
    </cfRule>
  </conditionalFormatting>
  <conditionalFormatting sqref="I35:I40">
    <cfRule type="cellIs" dxfId="2" priority="7" operator="equal">
      <formula>"Blocked"</formula>
    </cfRule>
    <cfRule type="cellIs" dxfId="1" priority="8" operator="equal">
      <formula>"Receives"</formula>
    </cfRule>
    <cfRule type="cellIs" dxfId="0" priority="9" operator="equal">
      <formula>"Shares"</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d3e5167-260b-465b-8dca-c5eda5682949">
      <Terms xmlns="http://schemas.microsoft.com/office/infopath/2007/PartnerControls"/>
    </lcf76f155ced4ddcb4097134ff3c332f>
    <TaxCatchAll xmlns="ed649bbd-5356-47b5-8c27-7aeded4c122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5973477522D54599A289A73B6F4B36" ma:contentTypeVersion="10" ma:contentTypeDescription="Create a new document." ma:contentTypeScope="" ma:versionID="1e4b3aec2989e391cec0fa22c4650b50">
  <xsd:schema xmlns:xsd="http://www.w3.org/2001/XMLSchema" xmlns:xs="http://www.w3.org/2001/XMLSchema" xmlns:p="http://schemas.microsoft.com/office/2006/metadata/properties" xmlns:ns2="1d3e5167-260b-465b-8dca-c5eda5682949" xmlns:ns3="ed649bbd-5356-47b5-8c27-7aeded4c1224" targetNamespace="http://schemas.microsoft.com/office/2006/metadata/properties" ma:root="true" ma:fieldsID="dcacda30bb7fc02f2e510404b728e91d" ns2:_="" ns3:_="">
    <xsd:import namespace="1d3e5167-260b-465b-8dca-c5eda5682949"/>
    <xsd:import namespace="ed649bbd-5356-47b5-8c27-7aeded4c12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3e5167-260b-465b-8dca-c5eda56829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9dc05a5-5f66-459e-88a9-7fe0ffe8562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649bbd-5356-47b5-8c27-7aeded4c122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9175591-e59a-49e0-9000-034901b201e0}" ma:internalName="TaxCatchAll" ma:showField="CatchAllData" ma:web="ed649bbd-5356-47b5-8c27-7aeded4c12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0D090D-1686-4EF1-8B68-D27CF5CDC94A}"/>
</file>

<file path=customXml/itemProps2.xml><?xml version="1.0" encoding="utf-8"?>
<ds:datastoreItem xmlns:ds="http://schemas.openxmlformats.org/officeDocument/2006/customXml" ds:itemID="{A8109BE2-1B43-4BED-9DFF-C6AB1F63C213}"/>
</file>

<file path=customXml/itemProps3.xml><?xml version="1.0" encoding="utf-8"?>
<ds:datastoreItem xmlns:ds="http://schemas.openxmlformats.org/officeDocument/2006/customXml" ds:itemID="{1E24F8C8-75B9-4E04-BAFF-2E84A7F8AE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Aysegul Yamak Eveno</dc:creator>
  <cp:keywords/>
  <dc:description/>
  <cp:lastModifiedBy/>
  <cp:revision/>
  <dcterms:created xsi:type="dcterms:W3CDTF">2015-06-05T18:17:20Z</dcterms:created>
  <dcterms:modified xsi:type="dcterms:W3CDTF">2026-06-08T08:16:55Z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0x010100455973477522D54599A289A73B6F4B36</vt:lpwstr>
  </property>
  <property fmtid="{D5CDD505-2E9C-101B-9397-08002B2CF9AE}" pid="3" name="MediaServiceImageTags">
    <vt:lpwstr/>
  </property>
</Properties>
</file>