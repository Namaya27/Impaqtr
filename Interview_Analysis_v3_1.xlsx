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0"/>
  <workbookPr/>
  <mc:AlternateContent xmlns:mc="http://schemas.openxmlformats.org/markup-compatibility/2006">
    <mc:Choice Requires="x15">
      <x15ac:absPath xmlns:x15ac="http://schemas.microsoft.com/office/spreadsheetml/2010/11/ac" url="https://eduvlerick.sharepoint.com/sites/IMPAQTR/Shared Documents/General/02_Interview Process/Interview Analysis/"/>
    </mc:Choice>
  </mc:AlternateContent>
  <xr:revisionPtr revIDLastSave="0" documentId="8_{F4058895-D236-4BC9-A85C-01A0639450AD}" xr6:coauthVersionLast="47" xr6:coauthVersionMax="47" xr10:uidLastSave="{00000000-0000-0000-0000-000000000000}"/>
  <bookViews>
    <workbookView xWindow="28680" yWindow="-120" windowWidth="29040" windowHeight="15720" firstSheet="31" activeTab="31" xr2:uid="{00000000-000D-0000-FFFF-FFFF00000000}"/>
  </bookViews>
  <sheets>
    <sheet name="Prioritization" sheetId="1" r:id="rId1"/>
    <sheet name="Scores" sheetId="35" r:id="rId2"/>
    <sheet name="Analysis — Filter View" sheetId="3" state="hidden" r:id="rId3"/>
    <sheet name="Analysis — Individual" sheetId="2" state="hidden" r:id="rId4"/>
    <sheet name="Company 1" sheetId="4" state="hidden" r:id="rId5"/>
    <sheet name="Company 2" sheetId="5" state="hidden" r:id="rId6"/>
    <sheet name="Company 3" sheetId="6" state="hidden" r:id="rId7"/>
    <sheet name="Company 4" sheetId="7" state="hidden" r:id="rId8"/>
    <sheet name="Company 5" sheetId="8" state="hidden" r:id="rId9"/>
    <sheet name="Company 6" sheetId="9" state="hidden" r:id="rId10"/>
    <sheet name="Company 7" sheetId="10" state="hidden" r:id="rId11"/>
    <sheet name="Company 8" sheetId="11" state="hidden" r:id="rId12"/>
    <sheet name="Company 9" sheetId="12" state="hidden" r:id="rId13"/>
    <sheet name="Company 10" sheetId="13" state="hidden" r:id="rId14"/>
    <sheet name="Company 11" sheetId="14" state="hidden" r:id="rId15"/>
    <sheet name="Company 12" sheetId="15" state="hidden" r:id="rId16"/>
    <sheet name="Company 13" sheetId="16" state="hidden" r:id="rId17"/>
    <sheet name="Company 18" sheetId="21" state="hidden" r:id="rId18"/>
    <sheet name="Company 19" sheetId="22" state="hidden" r:id="rId19"/>
    <sheet name="Company 20" sheetId="23" state="hidden" r:id="rId20"/>
    <sheet name="Company 21" sheetId="24" state="hidden" r:id="rId21"/>
    <sheet name="Company 22" sheetId="25" state="hidden" r:id="rId22"/>
    <sheet name="Company 23" sheetId="26" state="hidden" r:id="rId23"/>
    <sheet name="Company 24" sheetId="27" state="hidden" r:id="rId24"/>
    <sheet name="Company 25" sheetId="28" state="hidden" r:id="rId25"/>
    <sheet name="Company 26" sheetId="29" state="hidden" r:id="rId26"/>
    <sheet name="Company 27" sheetId="30" state="hidden" r:id="rId27"/>
    <sheet name="Company 28" sheetId="31" state="hidden" r:id="rId28"/>
    <sheet name="Company 29" sheetId="32" state="hidden" r:id="rId29"/>
    <sheet name="Company 30" sheetId="33" state="hidden" r:id="rId30"/>
    <sheet name="Template" sheetId="34" state="hidden" r:id="rId31"/>
    <sheet name="Analysis" sheetId="37" r:id="rId32"/>
    <sheet name="Scorecard Planning" sheetId="36" r:id="rId33"/>
  </sheets>
  <externalReferences>
    <externalReference r:id="rId34"/>
    <externalReference r:id="rId35"/>
    <externalReference r:id="rId36"/>
  </externalReferences>
  <definedNames>
    <definedName name="_xlnm._FilterDatabase" localSheetId="2" hidden="1">'Analysis — Filter View'!$B$3:$AP$33</definedName>
    <definedName name="_xlnm._FilterDatabase" localSheetId="3" hidden="1">'Analysis — Individual'!$B$9:$AH$9</definedName>
    <definedName name="_xlnm._FilterDatabase" localSheetId="0" hidden="1">Scores!$A$3:$F$38</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6" i="37" l="1"/>
  <c r="C10" i="36"/>
  <c r="F46" i="36"/>
  <c r="E46" i="36"/>
  <c r="D46" i="36"/>
  <c r="C46" i="36"/>
  <c r="F40" i="36"/>
  <c r="E40" i="36"/>
  <c r="D40" i="36"/>
  <c r="C40" i="36"/>
  <c r="F34" i="36"/>
  <c r="E34" i="36"/>
  <c r="D34" i="36"/>
  <c r="C34" i="36"/>
  <c r="F29" i="36"/>
  <c r="E29" i="36"/>
  <c r="D29" i="36"/>
  <c r="C29" i="36"/>
  <c r="F22" i="36"/>
  <c r="E22" i="36"/>
  <c r="D22" i="36"/>
  <c r="C22" i="36"/>
  <c r="F17" i="36"/>
  <c r="E17" i="36"/>
  <c r="D17" i="36"/>
  <c r="C17" i="36"/>
  <c r="F10" i="36"/>
  <c r="E10" i="36"/>
  <c r="D10" i="36"/>
  <c r="AQ21" i="37"/>
  <c r="AP21" i="37"/>
  <c r="AO21" i="37"/>
  <c r="AN21" i="37"/>
  <c r="AM21" i="37"/>
  <c r="AL21" i="37"/>
  <c r="AK21" i="37"/>
  <c r="AJ21" i="37"/>
  <c r="AI21" i="37"/>
  <c r="AH21" i="37"/>
  <c r="AG21" i="37"/>
  <c r="AF21" i="37"/>
  <c r="AE21" i="37"/>
  <c r="AD21" i="37"/>
  <c r="AC21" i="37"/>
  <c r="AB21" i="37"/>
  <c r="AA21" i="37"/>
  <c r="Z21" i="37"/>
  <c r="Y21" i="37"/>
  <c r="X21" i="37"/>
  <c r="W21" i="37"/>
  <c r="V21" i="37"/>
  <c r="U21" i="37"/>
  <c r="T21" i="37"/>
  <c r="S21" i="37"/>
  <c r="R21" i="37"/>
  <c r="Q21" i="37"/>
  <c r="P21" i="37"/>
  <c r="O21" i="37"/>
  <c r="N21" i="37"/>
  <c r="M21" i="37"/>
  <c r="K21" i="37"/>
  <c r="J21" i="37"/>
  <c r="I21" i="37"/>
  <c r="H21" i="37"/>
  <c r="G21" i="37"/>
  <c r="F21" i="37"/>
  <c r="E21" i="37"/>
  <c r="D21" i="37"/>
  <c r="C21" i="37"/>
  <c r="AQ20" i="37"/>
  <c r="AP20" i="37"/>
  <c r="AO20" i="37"/>
  <c r="AN20" i="37"/>
  <c r="AM20" i="37"/>
  <c r="AL20" i="37"/>
  <c r="AK20" i="37"/>
  <c r="AJ20" i="37"/>
  <c r="AI20" i="37"/>
  <c r="AH20" i="37"/>
  <c r="AG20" i="37"/>
  <c r="AF20" i="37"/>
  <c r="AE20" i="37"/>
  <c r="AD20" i="37"/>
  <c r="AC20" i="37"/>
  <c r="AB20" i="37"/>
  <c r="AA20" i="37"/>
  <c r="Z20" i="37"/>
  <c r="Y20" i="37"/>
  <c r="X20" i="37"/>
  <c r="W20" i="37"/>
  <c r="V20" i="37"/>
  <c r="U20" i="37"/>
  <c r="T20" i="37"/>
  <c r="S20" i="37"/>
  <c r="R20" i="37"/>
  <c r="Q20" i="37"/>
  <c r="P20" i="37"/>
  <c r="O20" i="37"/>
  <c r="N20" i="37"/>
  <c r="M20" i="37"/>
  <c r="K20" i="37"/>
  <c r="J20" i="37"/>
  <c r="I20" i="37"/>
  <c r="F20" i="37"/>
  <c r="E20" i="37"/>
  <c r="D20" i="37"/>
  <c r="C20" i="37"/>
  <c r="C17" i="37"/>
  <c r="D17" i="37"/>
  <c r="E17" i="37"/>
  <c r="F17" i="37"/>
  <c r="G17" i="37"/>
  <c r="H17" i="37"/>
  <c r="I17" i="37"/>
  <c r="J17" i="37"/>
  <c r="K17" i="37"/>
  <c r="M17" i="37"/>
  <c r="N17" i="37"/>
  <c r="O17" i="37"/>
  <c r="P17" i="37"/>
  <c r="Q17" i="37"/>
  <c r="R17" i="37"/>
  <c r="S17" i="37"/>
  <c r="T17" i="37"/>
  <c r="U17" i="37"/>
  <c r="V17" i="37"/>
  <c r="W17" i="37"/>
  <c r="X17" i="37"/>
  <c r="Y17" i="37"/>
  <c r="Z17" i="37"/>
  <c r="AA17" i="37"/>
  <c r="AB17" i="37"/>
  <c r="AC17" i="37"/>
  <c r="AD17" i="37"/>
  <c r="AE17" i="37"/>
  <c r="AF17" i="37"/>
  <c r="AG17" i="37"/>
  <c r="AH17" i="37"/>
  <c r="AI17" i="37"/>
  <c r="AJ17" i="37"/>
  <c r="AK17" i="37"/>
  <c r="AL17" i="37"/>
  <c r="AM17" i="37"/>
  <c r="AN17" i="37"/>
  <c r="AO17" i="37"/>
  <c r="AP17" i="37"/>
  <c r="AQ17" i="37"/>
  <c r="C18" i="37"/>
  <c r="D18" i="37"/>
  <c r="E18" i="37"/>
  <c r="F18" i="37"/>
  <c r="G18" i="37"/>
  <c r="H18" i="37"/>
  <c r="I18" i="37"/>
  <c r="J18" i="37"/>
  <c r="K18" i="37"/>
  <c r="M18" i="37"/>
  <c r="N18" i="37"/>
  <c r="O18" i="37"/>
  <c r="P18" i="37"/>
  <c r="Q18" i="37"/>
  <c r="R18" i="37"/>
  <c r="S18" i="37"/>
  <c r="T18" i="37"/>
  <c r="U18" i="37"/>
  <c r="V18" i="37"/>
  <c r="W18" i="37"/>
  <c r="X18" i="37"/>
  <c r="Y18" i="37"/>
  <c r="Z18" i="37"/>
  <c r="AA18" i="37"/>
  <c r="AB18" i="37"/>
  <c r="AC18" i="37"/>
  <c r="AD18" i="37"/>
  <c r="AE18" i="37"/>
  <c r="AF18" i="37"/>
  <c r="AG18" i="37"/>
  <c r="AH18" i="37"/>
  <c r="AI18" i="37"/>
  <c r="AJ18" i="37"/>
  <c r="AK18" i="37"/>
  <c r="AL18" i="37"/>
  <c r="AM18" i="37"/>
  <c r="AN18" i="37"/>
  <c r="AO18" i="37"/>
  <c r="AP18" i="37"/>
  <c r="AQ18" i="37"/>
  <c r="C19" i="37"/>
  <c r="D19" i="37"/>
  <c r="E19" i="37"/>
  <c r="F19" i="37"/>
  <c r="G19" i="37"/>
  <c r="H19" i="37"/>
  <c r="I19" i="37"/>
  <c r="J19" i="37"/>
  <c r="K19" i="37"/>
  <c r="M19" i="37"/>
  <c r="N19" i="37"/>
  <c r="O19" i="37"/>
  <c r="P19" i="37"/>
  <c r="Q19" i="37"/>
  <c r="R19" i="37"/>
  <c r="S19" i="37"/>
  <c r="T19" i="37"/>
  <c r="U19" i="37"/>
  <c r="V19" i="37"/>
  <c r="W19" i="37"/>
  <c r="X19" i="37"/>
  <c r="Y19" i="37"/>
  <c r="Z19" i="37"/>
  <c r="AA19" i="37"/>
  <c r="AB19" i="37"/>
  <c r="AC19" i="37"/>
  <c r="AD19" i="37"/>
  <c r="AE19" i="37"/>
  <c r="AF19" i="37"/>
  <c r="AG19" i="37"/>
  <c r="AH19" i="37"/>
  <c r="AI19" i="37"/>
  <c r="AJ19" i="37"/>
  <c r="AK19" i="37"/>
  <c r="AL19" i="37"/>
  <c r="AM19" i="37"/>
  <c r="AN19" i="37"/>
  <c r="AO19" i="37"/>
  <c r="AP19" i="37"/>
  <c r="AQ19" i="37"/>
  <c r="B23" i="1"/>
  <c r="B19" i="1"/>
  <c r="B22" i="1"/>
  <c r="B13" i="1"/>
  <c r="B12" i="1"/>
  <c r="B10" i="1"/>
  <c r="B41" i="37"/>
  <c r="AQ32" i="37"/>
  <c r="AP32" i="37"/>
  <c r="AO32" i="37"/>
  <c r="AN32" i="37"/>
  <c r="AM32" i="37"/>
  <c r="AL32" i="37"/>
  <c r="AK32" i="37"/>
  <c r="AJ32" i="37"/>
  <c r="AI32" i="37"/>
  <c r="AH32" i="37"/>
  <c r="AG32" i="37"/>
  <c r="AF32" i="37"/>
  <c r="AE32" i="37"/>
  <c r="AD32" i="37"/>
  <c r="AC32" i="37"/>
  <c r="AB32" i="37"/>
  <c r="AA32" i="37"/>
  <c r="Z32" i="37"/>
  <c r="Y32" i="37"/>
  <c r="X32" i="37"/>
  <c r="W32" i="37"/>
  <c r="V32" i="37"/>
  <c r="U32" i="37"/>
  <c r="T32" i="37"/>
  <c r="S32" i="37"/>
  <c r="R32" i="37"/>
  <c r="Q32" i="37"/>
  <c r="P32" i="37"/>
  <c r="O32" i="37"/>
  <c r="N32" i="37"/>
  <c r="M32" i="37"/>
  <c r="L32" i="37"/>
  <c r="K32" i="37"/>
  <c r="J32" i="37"/>
  <c r="I32" i="37"/>
  <c r="H32" i="37"/>
  <c r="G32" i="37"/>
  <c r="F32" i="37"/>
  <c r="E32" i="37"/>
  <c r="D32" i="37"/>
  <c r="C32" i="37"/>
  <c r="AQ31" i="37"/>
  <c r="AP31" i="37"/>
  <c r="AO31" i="37"/>
  <c r="AN31" i="37"/>
  <c r="AM31" i="37"/>
  <c r="AL31" i="37"/>
  <c r="AK31" i="37"/>
  <c r="AJ31" i="37"/>
  <c r="AI31" i="37"/>
  <c r="AH31" i="37"/>
  <c r="AG31" i="37"/>
  <c r="AF31" i="37"/>
  <c r="AE31" i="37"/>
  <c r="AD31" i="37"/>
  <c r="AC31" i="37"/>
  <c r="AB31" i="37"/>
  <c r="AA31" i="37"/>
  <c r="Z31" i="37"/>
  <c r="Y31" i="37"/>
  <c r="X31" i="37"/>
  <c r="W31" i="37"/>
  <c r="V31" i="37"/>
  <c r="U31" i="37"/>
  <c r="T31" i="37"/>
  <c r="S31" i="37"/>
  <c r="R31" i="37"/>
  <c r="Q31" i="37"/>
  <c r="P31" i="37"/>
  <c r="O31" i="37"/>
  <c r="N31" i="37"/>
  <c r="M31" i="37"/>
  <c r="L31" i="37"/>
  <c r="K31" i="37"/>
  <c r="J31" i="37"/>
  <c r="I31" i="37"/>
  <c r="H31" i="37"/>
  <c r="G31" i="37"/>
  <c r="F31" i="37"/>
  <c r="E31" i="37"/>
  <c r="D31" i="37"/>
  <c r="C31" i="37"/>
  <c r="AQ30" i="37"/>
  <c r="AP30" i="37"/>
  <c r="AO30" i="37"/>
  <c r="AN30" i="37"/>
  <c r="AM30" i="37"/>
  <c r="AL30" i="37"/>
  <c r="AK30" i="37"/>
  <c r="AJ30" i="37"/>
  <c r="AI30" i="37"/>
  <c r="AH30" i="37"/>
  <c r="AG30" i="37"/>
  <c r="AF30" i="37"/>
  <c r="AE30" i="37"/>
  <c r="AD30" i="37"/>
  <c r="AC30" i="37"/>
  <c r="AB30" i="37"/>
  <c r="AA30" i="37"/>
  <c r="Z30" i="37"/>
  <c r="Y30" i="37"/>
  <c r="X30" i="37"/>
  <c r="W30" i="37"/>
  <c r="V30" i="37"/>
  <c r="U30" i="37"/>
  <c r="T30" i="37"/>
  <c r="S30" i="37"/>
  <c r="R30" i="37"/>
  <c r="Q30" i="37"/>
  <c r="P30" i="37"/>
  <c r="O30" i="37"/>
  <c r="N30" i="37"/>
  <c r="M30" i="37"/>
  <c r="L30" i="37"/>
  <c r="K30" i="37"/>
  <c r="J30" i="37"/>
  <c r="I30" i="37"/>
  <c r="H30" i="37"/>
  <c r="G30" i="37"/>
  <c r="F30" i="37"/>
  <c r="E30" i="37"/>
  <c r="D30" i="37"/>
  <c r="C30" i="37"/>
  <c r="AQ29" i="37"/>
  <c r="AP29" i="37"/>
  <c r="AO29" i="37"/>
  <c r="AN29" i="37"/>
  <c r="AM29" i="37"/>
  <c r="AL29" i="37"/>
  <c r="AK29" i="37"/>
  <c r="AJ29" i="37"/>
  <c r="AI29" i="37"/>
  <c r="AH29" i="37"/>
  <c r="AG29" i="37"/>
  <c r="AF29" i="37"/>
  <c r="AE29" i="37"/>
  <c r="AD29" i="37"/>
  <c r="AC29" i="37"/>
  <c r="AB29" i="37"/>
  <c r="AA29" i="37"/>
  <c r="Z29" i="37"/>
  <c r="Y29" i="37"/>
  <c r="X29" i="37"/>
  <c r="W29" i="37"/>
  <c r="V29" i="37"/>
  <c r="U29" i="37"/>
  <c r="T29" i="37"/>
  <c r="S29" i="37"/>
  <c r="R29" i="37"/>
  <c r="Q29" i="37"/>
  <c r="P29" i="37"/>
  <c r="O29" i="37"/>
  <c r="N29" i="37"/>
  <c r="M29" i="37"/>
  <c r="L29" i="37"/>
  <c r="K29" i="37"/>
  <c r="J29" i="37"/>
  <c r="I29" i="37"/>
  <c r="H29" i="37"/>
  <c r="G29" i="37"/>
  <c r="F29" i="37"/>
  <c r="E29" i="37"/>
  <c r="D29" i="37"/>
  <c r="C29" i="37"/>
  <c r="AQ28" i="37"/>
  <c r="AP28" i="37"/>
  <c r="AO28" i="37"/>
  <c r="AN28" i="37"/>
  <c r="AM28" i="37"/>
  <c r="AL28" i="37"/>
  <c r="AK28" i="37"/>
  <c r="AJ28" i="37"/>
  <c r="AI28" i="37"/>
  <c r="AH28" i="37"/>
  <c r="AG28" i="37"/>
  <c r="AF28" i="37"/>
  <c r="AE28" i="37"/>
  <c r="AD28" i="37"/>
  <c r="AC28" i="37"/>
  <c r="AB28" i="37"/>
  <c r="AA28" i="37"/>
  <c r="Z28" i="37"/>
  <c r="Y28" i="37"/>
  <c r="X28" i="37"/>
  <c r="W28" i="37"/>
  <c r="V28" i="37"/>
  <c r="U28" i="37"/>
  <c r="T28" i="37"/>
  <c r="S28" i="37"/>
  <c r="R28" i="37"/>
  <c r="Q28" i="37"/>
  <c r="P28" i="37"/>
  <c r="O28" i="37"/>
  <c r="N28" i="37"/>
  <c r="M28" i="37"/>
  <c r="L28" i="37"/>
  <c r="K28" i="37"/>
  <c r="J28" i="37"/>
  <c r="I28" i="37"/>
  <c r="H28" i="37"/>
  <c r="G28" i="37"/>
  <c r="F28" i="37"/>
  <c r="E28" i="37"/>
  <c r="D28" i="37"/>
  <c r="C28" i="37"/>
  <c r="AQ27" i="37"/>
  <c r="AP27" i="37"/>
  <c r="AO27" i="37"/>
  <c r="AN27" i="37"/>
  <c r="AM27" i="37"/>
  <c r="AL27" i="37"/>
  <c r="AK27" i="37"/>
  <c r="AJ27" i="37"/>
  <c r="AI27" i="37"/>
  <c r="AH27" i="37"/>
  <c r="AG27" i="37"/>
  <c r="AF27" i="37"/>
  <c r="AE27" i="37"/>
  <c r="AD27" i="37"/>
  <c r="AC27" i="37"/>
  <c r="AB27" i="37"/>
  <c r="AA27" i="37"/>
  <c r="Z27" i="37"/>
  <c r="Y27" i="37"/>
  <c r="X27" i="37"/>
  <c r="W27" i="37"/>
  <c r="V27" i="37"/>
  <c r="U27" i="37"/>
  <c r="T27" i="37"/>
  <c r="S27" i="37"/>
  <c r="R27" i="37"/>
  <c r="Q27" i="37"/>
  <c r="P27" i="37"/>
  <c r="O27" i="37"/>
  <c r="N27" i="37"/>
  <c r="M27" i="37"/>
  <c r="L27" i="37"/>
  <c r="K27" i="37"/>
  <c r="J27" i="37"/>
  <c r="I27" i="37"/>
  <c r="H27" i="37"/>
  <c r="G27" i="37"/>
  <c r="F27" i="37"/>
  <c r="E27" i="37"/>
  <c r="D27" i="37"/>
  <c r="C27" i="37"/>
  <c r="AQ26" i="37"/>
  <c r="AP26" i="37"/>
  <c r="AO26" i="37"/>
  <c r="AN26" i="37"/>
  <c r="AM26" i="37"/>
  <c r="AL26" i="37"/>
  <c r="AK26" i="37"/>
  <c r="AJ26" i="37"/>
  <c r="AI26" i="37"/>
  <c r="AH26" i="37"/>
  <c r="AG26" i="37"/>
  <c r="AF26" i="37"/>
  <c r="AE26" i="37"/>
  <c r="AD26" i="37"/>
  <c r="AC26" i="37"/>
  <c r="AB26" i="37"/>
  <c r="AA26" i="37"/>
  <c r="Z26" i="37"/>
  <c r="Y26" i="37"/>
  <c r="X26" i="37"/>
  <c r="W26" i="37"/>
  <c r="V26" i="37"/>
  <c r="U26" i="37"/>
  <c r="T26" i="37"/>
  <c r="S26" i="37"/>
  <c r="R26" i="37"/>
  <c r="Q26" i="37"/>
  <c r="P26" i="37"/>
  <c r="O26" i="37"/>
  <c r="N26" i="37"/>
  <c r="M26" i="37"/>
  <c r="L26" i="37"/>
  <c r="K26" i="37"/>
  <c r="J26" i="37"/>
  <c r="I26" i="37"/>
  <c r="H26" i="37"/>
  <c r="G26" i="37"/>
  <c r="F26" i="37"/>
  <c r="E26" i="37"/>
  <c r="D26" i="37"/>
  <c r="C26" i="37"/>
  <c r="AQ25" i="37"/>
  <c r="AP25" i="37"/>
  <c r="AO25" i="37"/>
  <c r="AN25" i="37"/>
  <c r="AM25" i="37"/>
  <c r="AL25" i="37"/>
  <c r="AK25" i="37"/>
  <c r="AJ25" i="37"/>
  <c r="AI25" i="37"/>
  <c r="AH25" i="37"/>
  <c r="AG25" i="37"/>
  <c r="AF25" i="37"/>
  <c r="AE25" i="37"/>
  <c r="AD25" i="37"/>
  <c r="AC25" i="37"/>
  <c r="AB25" i="37"/>
  <c r="AA25" i="37"/>
  <c r="Z25" i="37"/>
  <c r="Y25" i="37"/>
  <c r="X25" i="37"/>
  <c r="W25" i="37"/>
  <c r="V25" i="37"/>
  <c r="U25" i="37"/>
  <c r="T25" i="37"/>
  <c r="S25" i="37"/>
  <c r="R25" i="37"/>
  <c r="Q25" i="37"/>
  <c r="P25" i="37"/>
  <c r="O25" i="37"/>
  <c r="N25" i="37"/>
  <c r="M25" i="37"/>
  <c r="L25" i="37"/>
  <c r="K25" i="37"/>
  <c r="J25" i="37"/>
  <c r="I25" i="37"/>
  <c r="H25" i="37"/>
  <c r="G25" i="37"/>
  <c r="F25" i="37"/>
  <c r="E25" i="37"/>
  <c r="D25" i="37"/>
  <c r="C25" i="37"/>
  <c r="AQ24" i="37"/>
  <c r="AP24" i="37"/>
  <c r="AO24" i="37"/>
  <c r="AN24" i="37"/>
  <c r="AM24" i="37"/>
  <c r="AL24" i="37"/>
  <c r="AK24" i="37"/>
  <c r="AJ24" i="37"/>
  <c r="AI24" i="37"/>
  <c r="AH24" i="37"/>
  <c r="AG24" i="37"/>
  <c r="AF24" i="37"/>
  <c r="AE24" i="37"/>
  <c r="AD24" i="37"/>
  <c r="AC24" i="37"/>
  <c r="AB24" i="37"/>
  <c r="AA24" i="37"/>
  <c r="Z24" i="37"/>
  <c r="Y24" i="37"/>
  <c r="X24" i="37"/>
  <c r="W24" i="37"/>
  <c r="V24" i="37"/>
  <c r="U24" i="37"/>
  <c r="T24" i="37"/>
  <c r="S24" i="37"/>
  <c r="R24" i="37"/>
  <c r="Q24" i="37"/>
  <c r="P24" i="37"/>
  <c r="O24" i="37"/>
  <c r="N24" i="37"/>
  <c r="M24" i="37"/>
  <c r="L24" i="37"/>
  <c r="K24" i="37"/>
  <c r="J24" i="37"/>
  <c r="I24" i="37"/>
  <c r="H24" i="37"/>
  <c r="G24" i="37"/>
  <c r="F24" i="37"/>
  <c r="E24" i="37"/>
  <c r="D24" i="37"/>
  <c r="C24" i="37"/>
  <c r="AQ23" i="37"/>
  <c r="AP23" i="37"/>
  <c r="AO23" i="37"/>
  <c r="AN23" i="37"/>
  <c r="AM23" i="37"/>
  <c r="AL23" i="37"/>
  <c r="AK23" i="37"/>
  <c r="AJ23" i="37"/>
  <c r="AI23" i="37"/>
  <c r="AH23" i="37"/>
  <c r="AG23" i="37"/>
  <c r="AF23" i="37"/>
  <c r="AE23" i="37"/>
  <c r="AD23" i="37"/>
  <c r="AC23" i="37"/>
  <c r="AB23" i="37"/>
  <c r="AA23" i="37"/>
  <c r="Z23" i="37"/>
  <c r="Y23" i="37"/>
  <c r="X23" i="37"/>
  <c r="W23" i="37"/>
  <c r="V23" i="37"/>
  <c r="U23" i="37"/>
  <c r="T23" i="37"/>
  <c r="S23" i="37"/>
  <c r="R23" i="37"/>
  <c r="Q23" i="37"/>
  <c r="P23" i="37"/>
  <c r="O23" i="37"/>
  <c r="N23" i="37"/>
  <c r="M23" i="37"/>
  <c r="L23" i="37"/>
  <c r="K23" i="37"/>
  <c r="J23" i="37"/>
  <c r="I23" i="37"/>
  <c r="H23" i="37"/>
  <c r="G23" i="37"/>
  <c r="F23" i="37"/>
  <c r="E23" i="37"/>
  <c r="D23" i="37"/>
  <c r="C23" i="37"/>
  <c r="AQ22" i="37"/>
  <c r="AP22" i="37"/>
  <c r="AO22" i="37"/>
  <c r="AN22" i="37"/>
  <c r="AM22" i="37"/>
  <c r="AL22" i="37"/>
  <c r="AK22" i="37"/>
  <c r="AJ22" i="37"/>
  <c r="AI22" i="37"/>
  <c r="AH22" i="37"/>
  <c r="AG22" i="37"/>
  <c r="AF22" i="37"/>
  <c r="AE22" i="37"/>
  <c r="AD22" i="37"/>
  <c r="AC22" i="37"/>
  <c r="AB22" i="37"/>
  <c r="AA22" i="37"/>
  <c r="Z22" i="37"/>
  <c r="Y22" i="37"/>
  <c r="X22" i="37"/>
  <c r="W22" i="37"/>
  <c r="V22" i="37"/>
  <c r="U22" i="37"/>
  <c r="T22" i="37"/>
  <c r="S22" i="37"/>
  <c r="R22" i="37"/>
  <c r="Q22" i="37"/>
  <c r="P22" i="37"/>
  <c r="O22" i="37"/>
  <c r="N22" i="37"/>
  <c r="M22" i="37"/>
  <c r="L22" i="37"/>
  <c r="K22" i="37"/>
  <c r="J22" i="37"/>
  <c r="I22" i="37"/>
  <c r="H22" i="37"/>
  <c r="G22" i="37"/>
  <c r="F22" i="37"/>
  <c r="E22" i="37"/>
  <c r="D22" i="37"/>
  <c r="C22" i="37"/>
  <c r="AQ16" i="37"/>
  <c r="AP16" i="37"/>
  <c r="AO16" i="37"/>
  <c r="AN16" i="37"/>
  <c r="AM16" i="37"/>
  <c r="AL16" i="37"/>
  <c r="AK16" i="37"/>
  <c r="AJ16" i="37"/>
  <c r="AI16" i="37"/>
  <c r="AH16" i="37"/>
  <c r="AG16" i="37"/>
  <c r="AF16" i="37"/>
  <c r="AE16" i="37"/>
  <c r="AD16" i="37"/>
  <c r="AC16" i="37"/>
  <c r="AB16" i="37"/>
  <c r="AA16" i="37"/>
  <c r="Z16" i="37"/>
  <c r="Y16" i="37"/>
  <c r="X16" i="37"/>
  <c r="W16" i="37"/>
  <c r="V16" i="37"/>
  <c r="U16" i="37"/>
  <c r="T16" i="37"/>
  <c r="S16" i="37"/>
  <c r="R16" i="37"/>
  <c r="Q16" i="37"/>
  <c r="P16" i="37"/>
  <c r="O16" i="37"/>
  <c r="N16" i="37"/>
  <c r="M16" i="37"/>
  <c r="K16" i="37"/>
  <c r="J16" i="37"/>
  <c r="H16" i="37"/>
  <c r="G16" i="37"/>
  <c r="E16" i="37"/>
  <c r="D16" i="37"/>
  <c r="C16" i="37"/>
  <c r="AQ15" i="37"/>
  <c r="AP15" i="37"/>
  <c r="AO15" i="37"/>
  <c r="AN15" i="37"/>
  <c r="AM15" i="37"/>
  <c r="AL15" i="37"/>
  <c r="AK15" i="37"/>
  <c r="AJ15" i="37"/>
  <c r="AI15" i="37"/>
  <c r="AH15" i="37"/>
  <c r="AG15" i="37"/>
  <c r="AF15" i="37"/>
  <c r="AE15" i="37"/>
  <c r="AD15" i="37"/>
  <c r="AC15" i="37"/>
  <c r="AB15" i="37"/>
  <c r="AA15" i="37"/>
  <c r="Z15" i="37"/>
  <c r="Y15" i="37"/>
  <c r="X15" i="37"/>
  <c r="W15" i="37"/>
  <c r="V15" i="37"/>
  <c r="U15" i="37"/>
  <c r="T15" i="37"/>
  <c r="S15" i="37"/>
  <c r="R15" i="37"/>
  <c r="Q15" i="37"/>
  <c r="P15" i="37"/>
  <c r="O15" i="37"/>
  <c r="N15" i="37"/>
  <c r="M15" i="37"/>
  <c r="K15" i="37"/>
  <c r="J15" i="37"/>
  <c r="H15" i="37"/>
  <c r="G15" i="37"/>
  <c r="F15" i="37"/>
  <c r="E15" i="37"/>
  <c r="D15" i="37"/>
  <c r="C15" i="37"/>
  <c r="AQ14" i="37"/>
  <c r="AP14" i="37"/>
  <c r="AO14" i="37"/>
  <c r="AN14" i="37"/>
  <c r="AM14" i="37"/>
  <c r="AL14" i="37"/>
  <c r="AK14" i="37"/>
  <c r="AJ14" i="37"/>
  <c r="AI14" i="37"/>
  <c r="AH14" i="37"/>
  <c r="AG14" i="37"/>
  <c r="AF14" i="37"/>
  <c r="AE14" i="37"/>
  <c r="AD14" i="37"/>
  <c r="AC14" i="37"/>
  <c r="AB14" i="37"/>
  <c r="AA14" i="37"/>
  <c r="Z14" i="37"/>
  <c r="Y14" i="37"/>
  <c r="X14" i="37"/>
  <c r="W14" i="37"/>
  <c r="V14" i="37"/>
  <c r="U14" i="37"/>
  <c r="T14" i="37"/>
  <c r="S14" i="37"/>
  <c r="R14" i="37"/>
  <c r="Q14" i="37"/>
  <c r="P14" i="37"/>
  <c r="O14" i="37"/>
  <c r="N14" i="37"/>
  <c r="M14" i="37"/>
  <c r="K14" i="37"/>
  <c r="J14" i="37"/>
  <c r="H14" i="37"/>
  <c r="G14" i="37"/>
  <c r="F14" i="37"/>
  <c r="E14" i="37"/>
  <c r="D14" i="37"/>
  <c r="C14" i="37"/>
  <c r="AQ13" i="37"/>
  <c r="AP13" i="37"/>
  <c r="AO13" i="37"/>
  <c r="AN13" i="37"/>
  <c r="AM13" i="37"/>
  <c r="AL13" i="37"/>
  <c r="AK13" i="37"/>
  <c r="AJ13" i="37"/>
  <c r="AI13" i="37"/>
  <c r="AH13" i="37"/>
  <c r="AG13" i="37"/>
  <c r="AF13" i="37"/>
  <c r="AE13" i="37"/>
  <c r="AD13" i="37"/>
  <c r="AC13" i="37"/>
  <c r="AB13" i="37"/>
  <c r="AA13" i="37"/>
  <c r="Z13" i="37"/>
  <c r="Y13" i="37"/>
  <c r="X13" i="37"/>
  <c r="W13" i="37"/>
  <c r="V13" i="37"/>
  <c r="U13" i="37"/>
  <c r="T13" i="37"/>
  <c r="S13" i="37"/>
  <c r="R13" i="37"/>
  <c r="Q13" i="37"/>
  <c r="P13" i="37"/>
  <c r="O13" i="37"/>
  <c r="N13" i="37"/>
  <c r="M13" i="37"/>
  <c r="K13" i="37"/>
  <c r="J13" i="37"/>
  <c r="H13" i="37"/>
  <c r="G13" i="37"/>
  <c r="F13" i="37"/>
  <c r="E13" i="37"/>
  <c r="D13" i="37"/>
  <c r="C13" i="37"/>
  <c r="AQ12" i="37"/>
  <c r="AP12" i="37"/>
  <c r="AO12" i="37"/>
  <c r="AN12" i="37"/>
  <c r="AM12" i="37"/>
  <c r="AL12" i="37"/>
  <c r="AK12" i="37"/>
  <c r="AJ12" i="37"/>
  <c r="AI12" i="37"/>
  <c r="AH12" i="37"/>
  <c r="AG12" i="37"/>
  <c r="AF12" i="37"/>
  <c r="AE12" i="37"/>
  <c r="AD12" i="37"/>
  <c r="AC12" i="37"/>
  <c r="AB12" i="37"/>
  <c r="AA12" i="37"/>
  <c r="Z12" i="37"/>
  <c r="Y12" i="37"/>
  <c r="X12" i="37"/>
  <c r="W12" i="37"/>
  <c r="V12" i="37"/>
  <c r="U12" i="37"/>
  <c r="T12" i="37"/>
  <c r="S12" i="37"/>
  <c r="R12" i="37"/>
  <c r="Q12" i="37"/>
  <c r="P12" i="37"/>
  <c r="O12" i="37"/>
  <c r="N12" i="37"/>
  <c r="M12" i="37"/>
  <c r="K12" i="37"/>
  <c r="J12" i="37"/>
  <c r="H12" i="37"/>
  <c r="G12" i="37"/>
  <c r="F12" i="37"/>
  <c r="E12" i="37"/>
  <c r="D12" i="37"/>
  <c r="C12" i="37"/>
  <c r="AQ11" i="37"/>
  <c r="AP11" i="37"/>
  <c r="AO11" i="37"/>
  <c r="AN11" i="37"/>
  <c r="AM11" i="37"/>
  <c r="AL11" i="37"/>
  <c r="AK11" i="37"/>
  <c r="AJ11" i="37"/>
  <c r="AI11" i="37"/>
  <c r="AH11" i="37"/>
  <c r="AG11" i="37"/>
  <c r="AF11" i="37"/>
  <c r="AE11" i="37"/>
  <c r="AD11" i="37"/>
  <c r="AC11" i="37"/>
  <c r="AB11" i="37"/>
  <c r="AA11" i="37"/>
  <c r="Z11" i="37"/>
  <c r="Y11" i="37"/>
  <c r="X11" i="37"/>
  <c r="W11" i="37"/>
  <c r="V11" i="37"/>
  <c r="U11" i="37"/>
  <c r="T11" i="37"/>
  <c r="S11" i="37"/>
  <c r="R11" i="37"/>
  <c r="Q11" i="37"/>
  <c r="P11" i="37"/>
  <c r="O11" i="37"/>
  <c r="N11" i="37"/>
  <c r="M11" i="37"/>
  <c r="K11" i="37"/>
  <c r="J11" i="37"/>
  <c r="H11" i="37"/>
  <c r="G11" i="37"/>
  <c r="F11" i="37"/>
  <c r="E11" i="37"/>
  <c r="D11" i="37"/>
  <c r="C11" i="37"/>
  <c r="AQ10" i="37"/>
  <c r="AP10" i="37"/>
  <c r="AO10" i="37"/>
  <c r="AN10" i="37"/>
  <c r="AM10" i="37"/>
  <c r="AL10" i="37"/>
  <c r="AK10" i="37"/>
  <c r="AJ10" i="37"/>
  <c r="AI10" i="37"/>
  <c r="AH10" i="37"/>
  <c r="AG10" i="37"/>
  <c r="AF10" i="37"/>
  <c r="AE10" i="37"/>
  <c r="AD10" i="37"/>
  <c r="AC10" i="37"/>
  <c r="AB10" i="37"/>
  <c r="AA10" i="37"/>
  <c r="Z10" i="37"/>
  <c r="Y10" i="37"/>
  <c r="X10" i="37"/>
  <c r="W10" i="37"/>
  <c r="V10" i="37"/>
  <c r="U10" i="37"/>
  <c r="T10" i="37"/>
  <c r="S10" i="37"/>
  <c r="R10" i="37"/>
  <c r="Q10" i="37"/>
  <c r="P10" i="37"/>
  <c r="O10" i="37"/>
  <c r="N10" i="37"/>
  <c r="M10" i="37"/>
  <c r="K10" i="37"/>
  <c r="J10" i="37"/>
  <c r="H10" i="37"/>
  <c r="G10" i="37"/>
  <c r="F10" i="37"/>
  <c r="E10" i="37"/>
  <c r="D10" i="37"/>
  <c r="AQ9" i="37"/>
  <c r="AP9" i="37"/>
  <c r="AO9" i="37"/>
  <c r="AN9" i="37"/>
  <c r="AM9" i="37"/>
  <c r="AL9" i="37"/>
  <c r="AK9" i="37"/>
  <c r="AJ9" i="37"/>
  <c r="AI9" i="37"/>
  <c r="AH9" i="37"/>
  <c r="AG9" i="37"/>
  <c r="AF9" i="37"/>
  <c r="AE9" i="37"/>
  <c r="AD9" i="37"/>
  <c r="AC9" i="37"/>
  <c r="AB9" i="37"/>
  <c r="AA9" i="37"/>
  <c r="Z9" i="37"/>
  <c r="Y9" i="37"/>
  <c r="X9" i="37"/>
  <c r="W9" i="37"/>
  <c r="V9" i="37"/>
  <c r="U9" i="37"/>
  <c r="T9" i="37"/>
  <c r="S9" i="37"/>
  <c r="R9" i="37"/>
  <c r="Q9" i="37"/>
  <c r="P9" i="37"/>
  <c r="O9" i="37"/>
  <c r="N9" i="37"/>
  <c r="M9" i="37"/>
  <c r="K9" i="37"/>
  <c r="J9" i="37"/>
  <c r="H9" i="37"/>
  <c r="G9" i="37"/>
  <c r="F9" i="37"/>
  <c r="E9" i="37"/>
  <c r="D9" i="37"/>
  <c r="C9" i="37"/>
  <c r="AQ8" i="37"/>
  <c r="AP8" i="37"/>
  <c r="AO8" i="37"/>
  <c r="AN8" i="37"/>
  <c r="AM8" i="37"/>
  <c r="AL8" i="37"/>
  <c r="AK8" i="37"/>
  <c r="AJ8" i="37"/>
  <c r="AI8" i="37"/>
  <c r="AH8" i="37"/>
  <c r="AG8" i="37"/>
  <c r="AF8" i="37"/>
  <c r="AE8" i="37"/>
  <c r="AD8" i="37"/>
  <c r="AC8" i="37"/>
  <c r="AB8" i="37"/>
  <c r="AA8" i="37"/>
  <c r="Z8" i="37"/>
  <c r="Y8" i="37"/>
  <c r="X8" i="37"/>
  <c r="W8" i="37"/>
  <c r="V8" i="37"/>
  <c r="U8" i="37"/>
  <c r="T8" i="37"/>
  <c r="S8" i="37"/>
  <c r="R8" i="37"/>
  <c r="Q8" i="37"/>
  <c r="P8" i="37"/>
  <c r="O8" i="37"/>
  <c r="N8" i="37"/>
  <c r="M8" i="37"/>
  <c r="K8" i="37"/>
  <c r="J8" i="37"/>
  <c r="H8" i="37"/>
  <c r="G8" i="37"/>
  <c r="F8" i="37"/>
  <c r="E8" i="37"/>
  <c r="D8" i="37"/>
  <c r="C8" i="37"/>
  <c r="AQ7" i="37"/>
  <c r="AP7" i="37"/>
  <c r="AO7" i="37"/>
  <c r="AN7" i="37"/>
  <c r="AM7" i="37"/>
  <c r="AL7" i="37"/>
  <c r="AK7" i="37"/>
  <c r="AJ7" i="37"/>
  <c r="AI7" i="37"/>
  <c r="AH7" i="37"/>
  <c r="AG7" i="37"/>
  <c r="AF7" i="37"/>
  <c r="AE7" i="37"/>
  <c r="AD7" i="37"/>
  <c r="AC7" i="37"/>
  <c r="AB7" i="37"/>
  <c r="AA7" i="37"/>
  <c r="Z7" i="37"/>
  <c r="Y7" i="37"/>
  <c r="X7" i="37"/>
  <c r="W7" i="37"/>
  <c r="V7" i="37"/>
  <c r="U7" i="37"/>
  <c r="T7" i="37"/>
  <c r="S7" i="37"/>
  <c r="R7" i="37"/>
  <c r="Q7" i="37"/>
  <c r="P7" i="37"/>
  <c r="O7" i="37"/>
  <c r="N7" i="37"/>
  <c r="M7" i="37"/>
  <c r="K7" i="37"/>
  <c r="J7" i="37"/>
  <c r="H7" i="37"/>
  <c r="G7" i="37"/>
  <c r="F7" i="37"/>
  <c r="E7" i="37"/>
  <c r="D7" i="37"/>
  <c r="C7" i="37"/>
  <c r="AQ6" i="37"/>
  <c r="AP6" i="37"/>
  <c r="AO6" i="37"/>
  <c r="AN6" i="37"/>
  <c r="AM6" i="37"/>
  <c r="AL6" i="37"/>
  <c r="AK6" i="37"/>
  <c r="AJ6" i="37"/>
  <c r="AI6" i="37"/>
  <c r="AH6" i="37"/>
  <c r="AG6" i="37"/>
  <c r="AF6" i="37"/>
  <c r="AE6" i="37"/>
  <c r="AD6" i="37"/>
  <c r="AC6" i="37"/>
  <c r="AB6" i="37"/>
  <c r="AA6" i="37"/>
  <c r="Z6" i="37"/>
  <c r="Y6" i="37"/>
  <c r="X6" i="37"/>
  <c r="W6" i="37"/>
  <c r="V6" i="37"/>
  <c r="U6" i="37"/>
  <c r="T6" i="37"/>
  <c r="S6" i="37"/>
  <c r="R6" i="37"/>
  <c r="Q6" i="37"/>
  <c r="P6" i="37"/>
  <c r="O6" i="37"/>
  <c r="N6" i="37"/>
  <c r="M6" i="37"/>
  <c r="K6" i="37"/>
  <c r="J6" i="37"/>
  <c r="H6" i="37"/>
  <c r="G6" i="37"/>
  <c r="F6" i="37"/>
  <c r="E6" i="37"/>
  <c r="D6" i="37"/>
  <c r="C6" i="37"/>
  <c r="AQ5" i="37"/>
  <c r="AP5" i="37"/>
  <c r="AO5" i="37"/>
  <c r="AN5" i="37"/>
  <c r="AM5" i="37"/>
  <c r="AL5" i="37"/>
  <c r="AK5" i="37"/>
  <c r="AJ5" i="37"/>
  <c r="AI5" i="37"/>
  <c r="AH5" i="37"/>
  <c r="AG5" i="37"/>
  <c r="AF5" i="37"/>
  <c r="AE5" i="37"/>
  <c r="AD5" i="37"/>
  <c r="AC5" i="37"/>
  <c r="AB5" i="37"/>
  <c r="AA5" i="37"/>
  <c r="Z5" i="37"/>
  <c r="Y5" i="37"/>
  <c r="X5" i="37"/>
  <c r="W5" i="37"/>
  <c r="V5" i="37"/>
  <c r="U5" i="37"/>
  <c r="T5" i="37"/>
  <c r="S5" i="37"/>
  <c r="R5" i="37"/>
  <c r="Q5" i="37"/>
  <c r="P5" i="37"/>
  <c r="O5" i="37"/>
  <c r="N5" i="37"/>
  <c r="M5" i="37"/>
  <c r="K5" i="37"/>
  <c r="J5" i="37"/>
  <c r="H5" i="37"/>
  <c r="G5" i="37"/>
  <c r="F5" i="37"/>
  <c r="E5" i="37"/>
  <c r="D5" i="37"/>
  <c r="C5" i="37"/>
  <c r="AQ4" i="37"/>
  <c r="AP4" i="37"/>
  <c r="AP36" i="37" s="1"/>
  <c r="AO4" i="37"/>
  <c r="AN4" i="37"/>
  <c r="AM4" i="37"/>
  <c r="AM36" i="37" s="1"/>
  <c r="AL4" i="37"/>
  <c r="AK4" i="37"/>
  <c r="AJ4" i="37"/>
  <c r="AJ36" i="37" s="1"/>
  <c r="AI4" i="37"/>
  <c r="AH4" i="37"/>
  <c r="AG4" i="37"/>
  <c r="AG36" i="37" s="1"/>
  <c r="AF4" i="37"/>
  <c r="AE4" i="37"/>
  <c r="AD4" i="37"/>
  <c r="AD36" i="37" s="1"/>
  <c r="AC4" i="37"/>
  <c r="AB4" i="37"/>
  <c r="AA4" i="37"/>
  <c r="AA36" i="37" s="1"/>
  <c r="Z4" i="37"/>
  <c r="Y4" i="37"/>
  <c r="X4" i="37"/>
  <c r="X36" i="37" s="1"/>
  <c r="W4" i="37"/>
  <c r="V4" i="37"/>
  <c r="U4" i="37"/>
  <c r="T4" i="37"/>
  <c r="S4" i="37"/>
  <c r="R4" i="37"/>
  <c r="Q4" i="37"/>
  <c r="P4" i="37"/>
  <c r="O4" i="37"/>
  <c r="N4" i="37"/>
  <c r="M4" i="37"/>
  <c r="L36" i="37"/>
  <c r="K4" i="37"/>
  <c r="J4" i="37"/>
  <c r="H4" i="37"/>
  <c r="G4" i="37"/>
  <c r="F4" i="37"/>
  <c r="E4" i="37"/>
  <c r="D4" i="37"/>
  <c r="C4" i="37"/>
  <c r="F2" i="35"/>
  <c r="F8" i="35"/>
  <c r="F9" i="35"/>
  <c r="F10" i="35"/>
  <c r="F11" i="35"/>
  <c r="F12" i="35"/>
  <c r="F13" i="35"/>
  <c r="F14" i="35"/>
  <c r="F15" i="35"/>
  <c r="F16" i="35"/>
  <c r="F7" i="35"/>
  <c r="F6" i="35"/>
  <c r="F17" i="35"/>
  <c r="F18" i="35"/>
  <c r="F19" i="35"/>
  <c r="F20" i="35"/>
  <c r="F21" i="35"/>
  <c r="F22" i="35"/>
  <c r="F23" i="35"/>
  <c r="F24" i="35"/>
  <c r="F25" i="35"/>
  <c r="F26" i="35"/>
  <c r="F27" i="35"/>
  <c r="F28" i="35"/>
  <c r="F29" i="35"/>
  <c r="F30" i="35"/>
  <c r="F31" i="35"/>
  <c r="F32" i="35"/>
  <c r="F33" i="35"/>
  <c r="F34" i="35"/>
  <c r="F35" i="35"/>
  <c r="F36" i="35"/>
  <c r="F37" i="35"/>
  <c r="F38" i="35"/>
  <c r="F4" i="35"/>
  <c r="K4" i="35" a="1"/>
  <c r="K4" i="35"/>
  <c r="J4" i="35" a="1"/>
  <c r="J4" i="35"/>
  <c r="I4" i="35" a="1"/>
  <c r="I4" i="35"/>
  <c r="H4" i="35" a="1"/>
  <c r="H4" i="35"/>
  <c r="E4" i="35" a="1"/>
  <c r="E4" i="35"/>
  <c r="I50" i="2"/>
  <c r="H50" i="2"/>
  <c r="G50" i="2"/>
  <c r="F50" i="2"/>
  <c r="E50" i="2"/>
  <c r="AP33" i="3"/>
  <c r="AO33" i="3"/>
  <c r="AN33" i="3"/>
  <c r="AM33" i="3"/>
  <c r="AL33" i="3"/>
  <c r="AK33" i="3"/>
  <c r="AJ33" i="3"/>
  <c r="AI33" i="3"/>
  <c r="AH33" i="3"/>
  <c r="AG33" i="3"/>
  <c r="AF33" i="3"/>
  <c r="AE33" i="3"/>
  <c r="AD33" i="3"/>
  <c r="AC33" i="3"/>
  <c r="AB33" i="3"/>
  <c r="AA33" i="3"/>
  <c r="Z33" i="3"/>
  <c r="Y33" i="3"/>
  <c r="X33" i="3"/>
  <c r="W33" i="3"/>
  <c r="V33" i="3"/>
  <c r="U33" i="3"/>
  <c r="T33" i="3"/>
  <c r="S33" i="3"/>
  <c r="R33" i="3"/>
  <c r="Q33" i="3"/>
  <c r="P33" i="3"/>
  <c r="O33" i="3"/>
  <c r="N33" i="3"/>
  <c r="M33" i="3"/>
  <c r="L33" i="3"/>
  <c r="K33" i="3"/>
  <c r="J33" i="3"/>
  <c r="I33" i="3"/>
  <c r="H33" i="3"/>
  <c r="G33" i="3"/>
  <c r="F33" i="3"/>
  <c r="E33" i="3"/>
  <c r="D33" i="3"/>
  <c r="C33" i="3"/>
  <c r="AP32" i="3"/>
  <c r="AO32" i="3"/>
  <c r="AN32" i="3"/>
  <c r="AM32" i="3"/>
  <c r="AL32" i="3"/>
  <c r="AK32" i="3"/>
  <c r="AJ32" i="3"/>
  <c r="AI32" i="3"/>
  <c r="AH32" i="3"/>
  <c r="AG32" i="3"/>
  <c r="AF32" i="3"/>
  <c r="AE32" i="3"/>
  <c r="AD32" i="3"/>
  <c r="AC32" i="3"/>
  <c r="AB32" i="3"/>
  <c r="AA32" i="3"/>
  <c r="Z32" i="3"/>
  <c r="Y32" i="3"/>
  <c r="X32" i="3"/>
  <c r="W32" i="3"/>
  <c r="V32" i="3"/>
  <c r="U32" i="3"/>
  <c r="T32" i="3"/>
  <c r="S32" i="3"/>
  <c r="R32" i="3"/>
  <c r="Q32" i="3"/>
  <c r="P32" i="3"/>
  <c r="O32" i="3"/>
  <c r="N32" i="3"/>
  <c r="M32" i="3"/>
  <c r="L32" i="3"/>
  <c r="K32" i="3"/>
  <c r="J32" i="3"/>
  <c r="I32" i="3"/>
  <c r="H32" i="3"/>
  <c r="G32" i="3"/>
  <c r="F32" i="3"/>
  <c r="E32" i="3"/>
  <c r="D32" i="3"/>
  <c r="C32" i="3"/>
  <c r="AP31" i="3"/>
  <c r="AO31" i="3"/>
  <c r="AN31" i="3"/>
  <c r="AM31" i="3"/>
  <c r="AL31" i="3"/>
  <c r="AK31" i="3"/>
  <c r="AJ31" i="3"/>
  <c r="AI31" i="3"/>
  <c r="AH31" i="3"/>
  <c r="AG31" i="3"/>
  <c r="AF31" i="3"/>
  <c r="AE31" i="3"/>
  <c r="AD31" i="3"/>
  <c r="AC31" i="3"/>
  <c r="AB31" i="3"/>
  <c r="AA31" i="3"/>
  <c r="Z31" i="3"/>
  <c r="Y31" i="3"/>
  <c r="X31" i="3"/>
  <c r="W31" i="3"/>
  <c r="V31" i="3"/>
  <c r="U31" i="3"/>
  <c r="T31" i="3"/>
  <c r="S31" i="3"/>
  <c r="R31" i="3"/>
  <c r="Q31" i="3"/>
  <c r="P31" i="3"/>
  <c r="O31" i="3"/>
  <c r="N31" i="3"/>
  <c r="M31" i="3"/>
  <c r="L31" i="3"/>
  <c r="K31" i="3"/>
  <c r="J31" i="3"/>
  <c r="I31" i="3"/>
  <c r="H31" i="3"/>
  <c r="G31" i="3"/>
  <c r="F31" i="3"/>
  <c r="E31" i="3"/>
  <c r="D31" i="3"/>
  <c r="C31" i="3"/>
  <c r="AP30" i="3"/>
  <c r="AO30" i="3"/>
  <c r="AN30" i="3"/>
  <c r="AM30" i="3"/>
  <c r="AL30" i="3"/>
  <c r="AK30" i="3"/>
  <c r="AJ30" i="3"/>
  <c r="AI30" i="3"/>
  <c r="AH30" i="3"/>
  <c r="AG30" i="3"/>
  <c r="AF30" i="3"/>
  <c r="AE30" i="3"/>
  <c r="AD30" i="3"/>
  <c r="AC30" i="3"/>
  <c r="AB30" i="3"/>
  <c r="AA30" i="3"/>
  <c r="Z30" i="3"/>
  <c r="Y30" i="3"/>
  <c r="X30" i="3"/>
  <c r="W30" i="3"/>
  <c r="V30" i="3"/>
  <c r="U30" i="3"/>
  <c r="T30" i="3"/>
  <c r="S30" i="3"/>
  <c r="R30" i="3"/>
  <c r="Q30" i="3"/>
  <c r="P30" i="3"/>
  <c r="O30" i="3"/>
  <c r="N30" i="3"/>
  <c r="M30" i="3"/>
  <c r="L30" i="3"/>
  <c r="K30" i="3"/>
  <c r="J30" i="3"/>
  <c r="I30" i="3"/>
  <c r="H30" i="3"/>
  <c r="G30" i="3"/>
  <c r="F30" i="3"/>
  <c r="E30" i="3"/>
  <c r="D30" i="3"/>
  <c r="C30" i="3"/>
  <c r="AP29" i="3"/>
  <c r="AO29" i="3"/>
  <c r="AN29" i="3"/>
  <c r="AM29" i="3"/>
  <c r="AL29" i="3"/>
  <c r="AK29" i="3"/>
  <c r="AJ29" i="3"/>
  <c r="AI29" i="3"/>
  <c r="AH29" i="3"/>
  <c r="AG29" i="3"/>
  <c r="AF29" i="3"/>
  <c r="AE29" i="3"/>
  <c r="AD29" i="3"/>
  <c r="AC29" i="3"/>
  <c r="AB29" i="3"/>
  <c r="AA29" i="3"/>
  <c r="Z29" i="3"/>
  <c r="Y29" i="3"/>
  <c r="X29" i="3"/>
  <c r="W29" i="3"/>
  <c r="V29" i="3"/>
  <c r="U29" i="3"/>
  <c r="T29" i="3"/>
  <c r="S29" i="3"/>
  <c r="R29" i="3"/>
  <c r="Q29" i="3"/>
  <c r="P29" i="3"/>
  <c r="O29" i="3"/>
  <c r="N29" i="3"/>
  <c r="M29" i="3"/>
  <c r="L29" i="3"/>
  <c r="K29" i="3"/>
  <c r="J29" i="3"/>
  <c r="I29" i="3"/>
  <c r="H29" i="3"/>
  <c r="G29" i="3"/>
  <c r="F29" i="3"/>
  <c r="E29" i="3"/>
  <c r="D29" i="3"/>
  <c r="C29" i="3"/>
  <c r="AP28" i="3"/>
  <c r="AO28" i="3"/>
  <c r="AN28" i="3"/>
  <c r="AM28" i="3"/>
  <c r="AL28" i="3"/>
  <c r="AK28" i="3"/>
  <c r="AJ28" i="3"/>
  <c r="AI28" i="3"/>
  <c r="AH28" i="3"/>
  <c r="AG28" i="3"/>
  <c r="AF28" i="3"/>
  <c r="AE28" i="3"/>
  <c r="AD28" i="3"/>
  <c r="AC28" i="3"/>
  <c r="AB28" i="3"/>
  <c r="AA28" i="3"/>
  <c r="Z28" i="3"/>
  <c r="Y28" i="3"/>
  <c r="X28" i="3"/>
  <c r="W28" i="3"/>
  <c r="V28" i="3"/>
  <c r="U28" i="3"/>
  <c r="T28" i="3"/>
  <c r="S28" i="3"/>
  <c r="R28" i="3"/>
  <c r="Q28" i="3"/>
  <c r="P28" i="3"/>
  <c r="O28" i="3"/>
  <c r="N28" i="3"/>
  <c r="M28" i="3"/>
  <c r="L28" i="3"/>
  <c r="K28" i="3"/>
  <c r="J28" i="3"/>
  <c r="I28" i="3"/>
  <c r="H28" i="3"/>
  <c r="G28" i="3"/>
  <c r="F28" i="3"/>
  <c r="E28" i="3"/>
  <c r="D28" i="3"/>
  <c r="C28" i="3"/>
  <c r="AP27" i="3"/>
  <c r="AO27" i="3"/>
  <c r="AN27" i="3"/>
  <c r="AM27" i="3"/>
  <c r="AL27" i="3"/>
  <c r="AK27" i="3"/>
  <c r="AJ27" i="3"/>
  <c r="AI27" i="3"/>
  <c r="AH27" i="3"/>
  <c r="AG27" i="3"/>
  <c r="AF27" i="3"/>
  <c r="AE27" i="3"/>
  <c r="AD27" i="3"/>
  <c r="AC27" i="3"/>
  <c r="AB27" i="3"/>
  <c r="AA27" i="3"/>
  <c r="Z27" i="3"/>
  <c r="Y27" i="3"/>
  <c r="X27" i="3"/>
  <c r="W27" i="3"/>
  <c r="V27" i="3"/>
  <c r="U27" i="3"/>
  <c r="T27" i="3"/>
  <c r="S27" i="3"/>
  <c r="R27" i="3"/>
  <c r="Q27" i="3"/>
  <c r="P27" i="3"/>
  <c r="O27" i="3"/>
  <c r="N27" i="3"/>
  <c r="M27" i="3"/>
  <c r="L27" i="3"/>
  <c r="K27" i="3"/>
  <c r="J27" i="3"/>
  <c r="I27" i="3"/>
  <c r="H27" i="3"/>
  <c r="G27" i="3"/>
  <c r="F27" i="3"/>
  <c r="E27" i="3"/>
  <c r="D27" i="3"/>
  <c r="C27" i="3"/>
  <c r="AP26" i="3"/>
  <c r="AO26" i="3"/>
  <c r="AN26" i="3"/>
  <c r="AM26" i="3"/>
  <c r="AL26" i="3"/>
  <c r="AK26" i="3"/>
  <c r="AJ26" i="3"/>
  <c r="AI26" i="3"/>
  <c r="AH26" i="3"/>
  <c r="AG26" i="3"/>
  <c r="AF26" i="3"/>
  <c r="AE26" i="3"/>
  <c r="AD26" i="3"/>
  <c r="AC26" i="3"/>
  <c r="AB26" i="3"/>
  <c r="AA26" i="3"/>
  <c r="Z26" i="3"/>
  <c r="Y26" i="3"/>
  <c r="X26" i="3"/>
  <c r="W26" i="3"/>
  <c r="V26" i="3"/>
  <c r="U26" i="3"/>
  <c r="T26" i="3"/>
  <c r="S26" i="3"/>
  <c r="R26" i="3"/>
  <c r="Q26" i="3"/>
  <c r="P26" i="3"/>
  <c r="O26" i="3"/>
  <c r="N26" i="3"/>
  <c r="M26" i="3"/>
  <c r="L26" i="3"/>
  <c r="K26" i="3"/>
  <c r="J26" i="3"/>
  <c r="I26" i="3"/>
  <c r="H26" i="3"/>
  <c r="G26" i="3"/>
  <c r="F26" i="3"/>
  <c r="E26" i="3"/>
  <c r="D26" i="3"/>
  <c r="C26" i="3"/>
  <c r="AP25" i="3"/>
  <c r="AO25" i="3"/>
  <c r="AN25" i="3"/>
  <c r="AM25" i="3"/>
  <c r="AL25" i="3"/>
  <c r="AK25" i="3"/>
  <c r="AJ25" i="3"/>
  <c r="AI25" i="3"/>
  <c r="AH25" i="3"/>
  <c r="AG25" i="3"/>
  <c r="AF25" i="3"/>
  <c r="AE25" i="3"/>
  <c r="AD25" i="3"/>
  <c r="AC25" i="3"/>
  <c r="AB25" i="3"/>
  <c r="AA25" i="3"/>
  <c r="Z25" i="3"/>
  <c r="Y25" i="3"/>
  <c r="X25" i="3"/>
  <c r="W25" i="3"/>
  <c r="V25" i="3"/>
  <c r="U25" i="3"/>
  <c r="T25" i="3"/>
  <c r="S25" i="3"/>
  <c r="R25" i="3"/>
  <c r="Q25" i="3"/>
  <c r="P25" i="3"/>
  <c r="O25" i="3"/>
  <c r="N25" i="3"/>
  <c r="M25" i="3"/>
  <c r="L25" i="3"/>
  <c r="K25" i="3"/>
  <c r="J25" i="3"/>
  <c r="I25" i="3"/>
  <c r="H25" i="3"/>
  <c r="G25" i="3"/>
  <c r="F25" i="3"/>
  <c r="E25" i="3"/>
  <c r="D25" i="3"/>
  <c r="C25" i="3"/>
  <c r="AP24" i="3"/>
  <c r="AO24" i="3"/>
  <c r="AN24" i="3"/>
  <c r="AM24" i="3"/>
  <c r="AL24" i="3"/>
  <c r="AK24" i="3"/>
  <c r="AJ24" i="3"/>
  <c r="AI24" i="3"/>
  <c r="AH24" i="3"/>
  <c r="AG24" i="3"/>
  <c r="AF24" i="3"/>
  <c r="AE24" i="3"/>
  <c r="AD24" i="3"/>
  <c r="AC24" i="3"/>
  <c r="AB24" i="3"/>
  <c r="AA24" i="3"/>
  <c r="Z24" i="3"/>
  <c r="Y24" i="3"/>
  <c r="X24" i="3"/>
  <c r="W24" i="3"/>
  <c r="V24" i="3"/>
  <c r="U24" i="3"/>
  <c r="T24" i="3"/>
  <c r="S24" i="3"/>
  <c r="R24" i="3"/>
  <c r="Q24" i="3"/>
  <c r="P24" i="3"/>
  <c r="O24" i="3"/>
  <c r="N24" i="3"/>
  <c r="M24" i="3"/>
  <c r="L24" i="3"/>
  <c r="K24" i="3"/>
  <c r="J24" i="3"/>
  <c r="I24" i="3"/>
  <c r="H24" i="3"/>
  <c r="G24" i="3"/>
  <c r="F24" i="3"/>
  <c r="E24" i="3"/>
  <c r="D24" i="3"/>
  <c r="C24" i="3"/>
  <c r="AP23" i="3"/>
  <c r="AO23" i="3"/>
  <c r="AN23" i="3"/>
  <c r="AM23" i="3"/>
  <c r="AL23" i="3"/>
  <c r="AK23" i="3"/>
  <c r="AJ23" i="3"/>
  <c r="AI23" i="3"/>
  <c r="AH23" i="3"/>
  <c r="AG23" i="3"/>
  <c r="AF23" i="3"/>
  <c r="AE23" i="3"/>
  <c r="AD23" i="3"/>
  <c r="AC23" i="3"/>
  <c r="AB23" i="3"/>
  <c r="AA23" i="3"/>
  <c r="Z23" i="3"/>
  <c r="Y23" i="3"/>
  <c r="X23" i="3"/>
  <c r="W23" i="3"/>
  <c r="V23" i="3"/>
  <c r="U23" i="3"/>
  <c r="T23" i="3"/>
  <c r="S23" i="3"/>
  <c r="R23" i="3"/>
  <c r="Q23" i="3"/>
  <c r="P23" i="3"/>
  <c r="O23" i="3"/>
  <c r="N23" i="3"/>
  <c r="M23" i="3"/>
  <c r="L23" i="3"/>
  <c r="K23" i="3"/>
  <c r="J23" i="3"/>
  <c r="I23" i="3"/>
  <c r="H23" i="3"/>
  <c r="G23" i="3"/>
  <c r="F23" i="3"/>
  <c r="E23" i="3"/>
  <c r="D23" i="3"/>
  <c r="C23" i="3"/>
  <c r="AP22" i="3"/>
  <c r="AO22" i="3"/>
  <c r="AN22" i="3"/>
  <c r="AM22" i="3"/>
  <c r="AL22" i="3"/>
  <c r="AK22" i="3"/>
  <c r="AJ22" i="3"/>
  <c r="AI22" i="3"/>
  <c r="AH22" i="3"/>
  <c r="AG22" i="3"/>
  <c r="AF22" i="3"/>
  <c r="AE22" i="3"/>
  <c r="AD22" i="3"/>
  <c r="AC22" i="3"/>
  <c r="AB22" i="3"/>
  <c r="AA22" i="3"/>
  <c r="Z22" i="3"/>
  <c r="Y22" i="3"/>
  <c r="X22" i="3"/>
  <c r="W22" i="3"/>
  <c r="V22" i="3"/>
  <c r="U22" i="3"/>
  <c r="T22" i="3"/>
  <c r="S22" i="3"/>
  <c r="R22" i="3"/>
  <c r="Q22" i="3"/>
  <c r="P22" i="3"/>
  <c r="O22" i="3"/>
  <c r="N22" i="3"/>
  <c r="M22" i="3"/>
  <c r="L22" i="3"/>
  <c r="K22" i="3"/>
  <c r="J22" i="3"/>
  <c r="I22" i="3"/>
  <c r="H22" i="3"/>
  <c r="G22" i="3"/>
  <c r="F22" i="3"/>
  <c r="E22" i="3"/>
  <c r="D22" i="3"/>
  <c r="C22" i="3"/>
  <c r="AP21" i="3"/>
  <c r="AO21" i="3"/>
  <c r="AN21" i="3"/>
  <c r="AM21" i="3"/>
  <c r="AL21" i="3"/>
  <c r="AK21" i="3"/>
  <c r="AJ21" i="3"/>
  <c r="AI21" i="3"/>
  <c r="AH21" i="3"/>
  <c r="AG21" i="3"/>
  <c r="AF21" i="3"/>
  <c r="AE21" i="3"/>
  <c r="AD21" i="3"/>
  <c r="AC21" i="3"/>
  <c r="AB21" i="3"/>
  <c r="AA21" i="3"/>
  <c r="Z21" i="3"/>
  <c r="Y21" i="3"/>
  <c r="X21" i="3"/>
  <c r="W21" i="3"/>
  <c r="V21" i="3"/>
  <c r="U21" i="3"/>
  <c r="T21" i="3"/>
  <c r="S21" i="3"/>
  <c r="R21" i="3"/>
  <c r="Q21" i="3"/>
  <c r="P21" i="3"/>
  <c r="O21" i="3"/>
  <c r="N21" i="3"/>
  <c r="M21" i="3"/>
  <c r="L21" i="3"/>
  <c r="K21" i="3"/>
  <c r="J21" i="3"/>
  <c r="I21" i="3"/>
  <c r="H21" i="3"/>
  <c r="G21" i="3"/>
  <c r="F21" i="3"/>
  <c r="E21" i="3"/>
  <c r="D21" i="3"/>
  <c r="C21" i="3"/>
  <c r="AP20" i="3"/>
  <c r="AO20" i="3"/>
  <c r="AN20" i="3"/>
  <c r="AM20" i="3"/>
  <c r="AL20" i="3"/>
  <c r="AK20" i="3"/>
  <c r="AJ20" i="3"/>
  <c r="AI20" i="3"/>
  <c r="AH20" i="3"/>
  <c r="AG20" i="3"/>
  <c r="AF20" i="3"/>
  <c r="AE20" i="3"/>
  <c r="AD20" i="3"/>
  <c r="AC20" i="3"/>
  <c r="AB20" i="3"/>
  <c r="AA20" i="3"/>
  <c r="Z20" i="3"/>
  <c r="Y20" i="3"/>
  <c r="X20" i="3"/>
  <c r="W20" i="3"/>
  <c r="V20" i="3"/>
  <c r="U20" i="3"/>
  <c r="T20" i="3"/>
  <c r="S20" i="3"/>
  <c r="R20" i="3"/>
  <c r="Q20" i="3"/>
  <c r="P20" i="3"/>
  <c r="O20" i="3"/>
  <c r="N20" i="3"/>
  <c r="M20" i="3"/>
  <c r="L20" i="3"/>
  <c r="K20" i="3"/>
  <c r="J20" i="3"/>
  <c r="I20" i="3"/>
  <c r="H20" i="3"/>
  <c r="G20" i="3"/>
  <c r="F20" i="3"/>
  <c r="E20" i="3"/>
  <c r="D20" i="3"/>
  <c r="C20" i="3"/>
  <c r="AP19" i="3"/>
  <c r="AO19" i="3"/>
  <c r="AN19" i="3"/>
  <c r="AM19" i="3"/>
  <c r="AL19" i="3"/>
  <c r="AK19" i="3"/>
  <c r="AJ19" i="3"/>
  <c r="AI19" i="3"/>
  <c r="AH19" i="3"/>
  <c r="AG19" i="3"/>
  <c r="AF19" i="3"/>
  <c r="AE19" i="3"/>
  <c r="AD19" i="3"/>
  <c r="AC19" i="3"/>
  <c r="AB19" i="3"/>
  <c r="AA19" i="3"/>
  <c r="Z19" i="3"/>
  <c r="Y19" i="3"/>
  <c r="X19" i="3"/>
  <c r="W19" i="3"/>
  <c r="V19" i="3"/>
  <c r="U19" i="3"/>
  <c r="T19" i="3"/>
  <c r="S19" i="3"/>
  <c r="R19" i="3"/>
  <c r="Q19" i="3"/>
  <c r="P19" i="3"/>
  <c r="O19" i="3"/>
  <c r="N19" i="3"/>
  <c r="M19" i="3"/>
  <c r="L19" i="3"/>
  <c r="K19" i="3"/>
  <c r="J19" i="3"/>
  <c r="I19" i="3"/>
  <c r="H19" i="3"/>
  <c r="G19" i="3"/>
  <c r="F19" i="3"/>
  <c r="E19" i="3"/>
  <c r="D19" i="3"/>
  <c r="C19" i="3"/>
  <c r="AP18" i="3"/>
  <c r="AO18" i="3"/>
  <c r="AN18" i="3"/>
  <c r="AM18" i="3"/>
  <c r="AL18" i="3"/>
  <c r="AK18" i="3"/>
  <c r="AJ18" i="3"/>
  <c r="AI18" i="3"/>
  <c r="AH18" i="3"/>
  <c r="AG18" i="3"/>
  <c r="AF18" i="3"/>
  <c r="AE18" i="3"/>
  <c r="AD18" i="3"/>
  <c r="AC18" i="3"/>
  <c r="AB18" i="3"/>
  <c r="AA18" i="3"/>
  <c r="Z18" i="3"/>
  <c r="Y18" i="3"/>
  <c r="X18" i="3"/>
  <c r="W18" i="3"/>
  <c r="V18" i="3"/>
  <c r="U18" i="3"/>
  <c r="T18" i="3"/>
  <c r="S18" i="3"/>
  <c r="R18" i="3"/>
  <c r="Q18" i="3"/>
  <c r="P18" i="3"/>
  <c r="O18" i="3"/>
  <c r="N18" i="3"/>
  <c r="M18" i="3"/>
  <c r="L18" i="3"/>
  <c r="K18" i="3"/>
  <c r="J18" i="3"/>
  <c r="I18" i="3"/>
  <c r="H18" i="3"/>
  <c r="G18" i="3"/>
  <c r="F18" i="3"/>
  <c r="E18" i="3"/>
  <c r="D18" i="3"/>
  <c r="C18" i="3"/>
  <c r="AP17" i="3"/>
  <c r="AO17" i="3"/>
  <c r="AN17" i="3"/>
  <c r="AM17" i="3"/>
  <c r="AL17" i="3"/>
  <c r="AK17" i="3"/>
  <c r="AJ17" i="3"/>
  <c r="AI17" i="3"/>
  <c r="AH17" i="3"/>
  <c r="AG17" i="3"/>
  <c r="AF17" i="3"/>
  <c r="AE17" i="3"/>
  <c r="AD17" i="3"/>
  <c r="AC17" i="3"/>
  <c r="AB17" i="3"/>
  <c r="AA17" i="3"/>
  <c r="Z17" i="3"/>
  <c r="Y17" i="3"/>
  <c r="X17" i="3"/>
  <c r="W17" i="3"/>
  <c r="V17" i="3"/>
  <c r="U17" i="3"/>
  <c r="T17" i="3"/>
  <c r="S17" i="3"/>
  <c r="R17" i="3"/>
  <c r="Q17" i="3"/>
  <c r="P17" i="3"/>
  <c r="O17" i="3"/>
  <c r="N17" i="3"/>
  <c r="M17" i="3"/>
  <c r="L17" i="3"/>
  <c r="K17" i="3"/>
  <c r="J17" i="3"/>
  <c r="I17" i="3"/>
  <c r="H17" i="3"/>
  <c r="G17" i="3"/>
  <c r="F17" i="3"/>
  <c r="E17" i="3"/>
  <c r="D17" i="3"/>
  <c r="C17" i="3"/>
  <c r="AP16" i="3"/>
  <c r="AO16" i="3"/>
  <c r="AN16" i="3"/>
  <c r="AM16" i="3"/>
  <c r="AL16" i="3"/>
  <c r="AK16" i="3"/>
  <c r="AJ16" i="3"/>
  <c r="AI16" i="3"/>
  <c r="AH16" i="3"/>
  <c r="AG16" i="3"/>
  <c r="AF16" i="3"/>
  <c r="AE16" i="3"/>
  <c r="AD16" i="3"/>
  <c r="AC16" i="3"/>
  <c r="AB16" i="3"/>
  <c r="AA16" i="3"/>
  <c r="Z16" i="3"/>
  <c r="Y16" i="3"/>
  <c r="X16" i="3"/>
  <c r="W16" i="3"/>
  <c r="V16" i="3"/>
  <c r="U16" i="3"/>
  <c r="T16" i="3"/>
  <c r="S16" i="3"/>
  <c r="R16" i="3"/>
  <c r="Q16" i="3"/>
  <c r="P16" i="3"/>
  <c r="O16" i="3"/>
  <c r="N16" i="3"/>
  <c r="M16" i="3"/>
  <c r="L16" i="3"/>
  <c r="K16" i="3"/>
  <c r="J16" i="3"/>
  <c r="I16" i="3"/>
  <c r="H16" i="3"/>
  <c r="G16" i="3"/>
  <c r="F16" i="3"/>
  <c r="E16" i="3"/>
  <c r="D16" i="3"/>
  <c r="C16" i="3"/>
  <c r="AP15" i="3"/>
  <c r="AO15" i="3"/>
  <c r="AN15" i="3"/>
  <c r="AM15" i="3"/>
  <c r="AL15" i="3"/>
  <c r="AK15" i="3"/>
  <c r="AJ15" i="3"/>
  <c r="AI15" i="3"/>
  <c r="AH15" i="3"/>
  <c r="AG15" i="3"/>
  <c r="AF15" i="3"/>
  <c r="AE15" i="3"/>
  <c r="AD15" i="3"/>
  <c r="AC15" i="3"/>
  <c r="AB15" i="3"/>
  <c r="AA15" i="3"/>
  <c r="Z15" i="3"/>
  <c r="Y15" i="3"/>
  <c r="X15" i="3"/>
  <c r="W15" i="3"/>
  <c r="V15" i="3"/>
  <c r="U15" i="3"/>
  <c r="T15" i="3"/>
  <c r="S15" i="3"/>
  <c r="R15" i="3"/>
  <c r="Q15" i="3"/>
  <c r="P15" i="3"/>
  <c r="O15" i="3"/>
  <c r="N15" i="3"/>
  <c r="M15" i="3"/>
  <c r="L15" i="3"/>
  <c r="K15" i="3"/>
  <c r="J15" i="3"/>
  <c r="I15" i="3"/>
  <c r="H15" i="3"/>
  <c r="H37" i="3" s="1"/>
  <c r="G15" i="3"/>
  <c r="F15" i="3"/>
  <c r="E15" i="3"/>
  <c r="E41" i="3" s="1"/>
  <c r="R41" i="3" s="1"/>
  <c r="D15" i="3"/>
  <c r="C15" i="3"/>
  <c r="AP14" i="3"/>
  <c r="AO14" i="3"/>
  <c r="AN14" i="3"/>
  <c r="AM14" i="3"/>
  <c r="AL14" i="3"/>
  <c r="AK14" i="3"/>
  <c r="AJ14" i="3"/>
  <c r="AI14" i="3"/>
  <c r="AH14" i="3"/>
  <c r="AG14" i="3"/>
  <c r="AF14" i="3"/>
  <c r="AE14" i="3"/>
  <c r="AD14" i="3"/>
  <c r="AC14" i="3"/>
  <c r="AB14" i="3"/>
  <c r="AA14" i="3"/>
  <c r="Z14" i="3"/>
  <c r="Y14" i="3"/>
  <c r="X14" i="3"/>
  <c r="W14" i="3"/>
  <c r="V14" i="3"/>
  <c r="U14" i="3"/>
  <c r="T14" i="3"/>
  <c r="S14" i="3"/>
  <c r="R14" i="3"/>
  <c r="Q14" i="3"/>
  <c r="P14" i="3"/>
  <c r="O14" i="3"/>
  <c r="N14" i="3"/>
  <c r="M14" i="3"/>
  <c r="L14" i="3"/>
  <c r="K14" i="3"/>
  <c r="J14" i="3"/>
  <c r="I14" i="3"/>
  <c r="H14" i="3"/>
  <c r="G14" i="3"/>
  <c r="F14" i="3"/>
  <c r="E14" i="3"/>
  <c r="D14" i="3"/>
  <c r="C14" i="3"/>
  <c r="AP13" i="3"/>
  <c r="AO13" i="3"/>
  <c r="AN13" i="3"/>
  <c r="AM13" i="3"/>
  <c r="AL13" i="3"/>
  <c r="AK13" i="3"/>
  <c r="AJ13" i="3"/>
  <c r="AI13" i="3"/>
  <c r="AH13" i="3"/>
  <c r="AG13" i="3"/>
  <c r="AF13" i="3"/>
  <c r="AE13" i="3"/>
  <c r="AD13" i="3"/>
  <c r="AC13" i="3"/>
  <c r="AB13" i="3"/>
  <c r="AA13" i="3"/>
  <c r="Z13" i="3"/>
  <c r="Y13" i="3"/>
  <c r="X13" i="3"/>
  <c r="W13" i="3"/>
  <c r="V13" i="3"/>
  <c r="U13" i="3"/>
  <c r="T13" i="3"/>
  <c r="S13" i="3"/>
  <c r="R13" i="3"/>
  <c r="Q13" i="3"/>
  <c r="P13" i="3"/>
  <c r="O13" i="3"/>
  <c r="N13" i="3"/>
  <c r="M13" i="3"/>
  <c r="L13" i="3"/>
  <c r="K13" i="3"/>
  <c r="J13" i="3"/>
  <c r="I13" i="3"/>
  <c r="H13" i="3"/>
  <c r="G13" i="3"/>
  <c r="F13" i="3"/>
  <c r="E13" i="3"/>
  <c r="D13" i="3"/>
  <c r="C13" i="3"/>
  <c r="AP12" i="3"/>
  <c r="AO12" i="3"/>
  <c r="AN12" i="3"/>
  <c r="AM12" i="3"/>
  <c r="AL12" i="3"/>
  <c r="AK12" i="3"/>
  <c r="AJ12" i="3"/>
  <c r="AI12" i="3"/>
  <c r="AH12" i="3"/>
  <c r="AG12" i="3"/>
  <c r="AF12" i="3"/>
  <c r="AE12" i="3"/>
  <c r="AD12" i="3"/>
  <c r="AC12" i="3"/>
  <c r="AB12" i="3"/>
  <c r="AA12" i="3"/>
  <c r="Z12" i="3"/>
  <c r="Y12" i="3"/>
  <c r="X12" i="3"/>
  <c r="W12" i="3"/>
  <c r="V12" i="3"/>
  <c r="U12" i="3"/>
  <c r="T12" i="3"/>
  <c r="S12" i="3"/>
  <c r="R12" i="3"/>
  <c r="Q12" i="3"/>
  <c r="P12" i="3"/>
  <c r="O12" i="3"/>
  <c r="N12" i="3"/>
  <c r="M12" i="3"/>
  <c r="L12" i="3"/>
  <c r="K12" i="3"/>
  <c r="J12" i="3"/>
  <c r="I12" i="3"/>
  <c r="H12" i="3"/>
  <c r="G12" i="3"/>
  <c r="F12" i="3"/>
  <c r="E12" i="3"/>
  <c r="D12" i="3"/>
  <c r="C12" i="3"/>
  <c r="AP11" i="3"/>
  <c r="AO11" i="3"/>
  <c r="AN11" i="3"/>
  <c r="AM11" i="3"/>
  <c r="AL11" i="3"/>
  <c r="AK11" i="3"/>
  <c r="AJ11" i="3"/>
  <c r="AI11" i="3"/>
  <c r="AH11" i="3"/>
  <c r="AG11" i="3"/>
  <c r="AF11" i="3"/>
  <c r="AE11" i="3"/>
  <c r="AD11" i="3"/>
  <c r="AC11" i="3"/>
  <c r="AB11" i="3"/>
  <c r="AA11" i="3"/>
  <c r="Z11" i="3"/>
  <c r="Y11" i="3"/>
  <c r="X11" i="3"/>
  <c r="W11" i="3"/>
  <c r="V11" i="3"/>
  <c r="U11" i="3"/>
  <c r="T11" i="3"/>
  <c r="S11" i="3"/>
  <c r="R11" i="3"/>
  <c r="Q11" i="3"/>
  <c r="P11" i="3"/>
  <c r="O11" i="3"/>
  <c r="N11" i="3"/>
  <c r="M11" i="3"/>
  <c r="L11" i="3"/>
  <c r="K11" i="3"/>
  <c r="J11" i="3"/>
  <c r="I11" i="3"/>
  <c r="H11" i="3"/>
  <c r="G11" i="3"/>
  <c r="F11" i="3"/>
  <c r="E11" i="3"/>
  <c r="D11" i="3"/>
  <c r="C11" i="3"/>
  <c r="AP10" i="3"/>
  <c r="AO10" i="3"/>
  <c r="AN10" i="3"/>
  <c r="AM10" i="3"/>
  <c r="AL10" i="3"/>
  <c r="AK10" i="3"/>
  <c r="AJ10" i="3"/>
  <c r="AI10" i="3"/>
  <c r="AH10" i="3"/>
  <c r="AG10" i="3"/>
  <c r="AF10" i="3"/>
  <c r="AE10" i="3"/>
  <c r="AD10" i="3"/>
  <c r="AC10" i="3"/>
  <c r="AB10" i="3"/>
  <c r="AA10" i="3"/>
  <c r="Z10" i="3"/>
  <c r="Y10" i="3"/>
  <c r="X10" i="3"/>
  <c r="W10" i="3"/>
  <c r="V10" i="3"/>
  <c r="U10" i="3"/>
  <c r="T10" i="3"/>
  <c r="S10" i="3"/>
  <c r="R10" i="3"/>
  <c r="Q10" i="3"/>
  <c r="P10" i="3"/>
  <c r="O10" i="3"/>
  <c r="N10" i="3"/>
  <c r="M10" i="3"/>
  <c r="L10" i="3"/>
  <c r="K10" i="3"/>
  <c r="J10" i="3"/>
  <c r="I10" i="3"/>
  <c r="H10" i="3"/>
  <c r="G10" i="3"/>
  <c r="F10" i="3"/>
  <c r="E10" i="3"/>
  <c r="D10" i="3"/>
  <c r="C10" i="3"/>
  <c r="AP9" i="3"/>
  <c r="AO9" i="3"/>
  <c r="AN9" i="3"/>
  <c r="AM9" i="3"/>
  <c r="AL9" i="3"/>
  <c r="AK9" i="3"/>
  <c r="AJ9" i="3"/>
  <c r="AI9" i="3"/>
  <c r="AH9" i="3"/>
  <c r="AG9" i="3"/>
  <c r="AF9" i="3"/>
  <c r="AE9" i="3"/>
  <c r="AD9" i="3"/>
  <c r="AC9" i="3"/>
  <c r="AB9" i="3"/>
  <c r="AA9" i="3"/>
  <c r="Z9" i="3"/>
  <c r="Y9" i="3"/>
  <c r="X9" i="3"/>
  <c r="W9" i="3"/>
  <c r="V9" i="3"/>
  <c r="U9" i="3"/>
  <c r="T9" i="3"/>
  <c r="S9" i="3"/>
  <c r="R9" i="3"/>
  <c r="Q9" i="3"/>
  <c r="P9" i="3"/>
  <c r="O9" i="3"/>
  <c r="N9" i="3"/>
  <c r="M9" i="3"/>
  <c r="L9" i="3"/>
  <c r="K9" i="3"/>
  <c r="J9" i="3"/>
  <c r="I9" i="3"/>
  <c r="H9" i="3"/>
  <c r="G9" i="3"/>
  <c r="F9" i="3"/>
  <c r="E9" i="3"/>
  <c r="D9" i="3"/>
  <c r="C9" i="3"/>
  <c r="AP8" i="3"/>
  <c r="AO8" i="3"/>
  <c r="AN8" i="3"/>
  <c r="AM8" i="3"/>
  <c r="AL8" i="3"/>
  <c r="AK8" i="3"/>
  <c r="AJ8" i="3"/>
  <c r="AI8" i="3"/>
  <c r="AH8" i="3"/>
  <c r="AG8" i="3"/>
  <c r="AF8" i="3"/>
  <c r="AE8" i="3"/>
  <c r="AD8" i="3"/>
  <c r="AC8" i="3"/>
  <c r="AB8" i="3"/>
  <c r="AA8" i="3"/>
  <c r="Z8" i="3"/>
  <c r="Y8" i="3"/>
  <c r="X8" i="3"/>
  <c r="W8" i="3"/>
  <c r="V8" i="3"/>
  <c r="U8" i="3"/>
  <c r="T8" i="3"/>
  <c r="S8" i="3"/>
  <c r="R8" i="3"/>
  <c r="Q8" i="3"/>
  <c r="P8" i="3"/>
  <c r="O8" i="3"/>
  <c r="N8" i="3"/>
  <c r="M8" i="3"/>
  <c r="L8" i="3"/>
  <c r="K8" i="3"/>
  <c r="J8" i="3"/>
  <c r="I8" i="3"/>
  <c r="H8" i="3"/>
  <c r="G8" i="3"/>
  <c r="F8" i="3"/>
  <c r="E8" i="3"/>
  <c r="D8" i="3"/>
  <c r="C8" i="3"/>
  <c r="AP7" i="3"/>
  <c r="AO7" i="3"/>
  <c r="AN7" i="3"/>
  <c r="AM7" i="3"/>
  <c r="AL7" i="3"/>
  <c r="AK7" i="3"/>
  <c r="AJ7" i="3"/>
  <c r="AI7" i="3"/>
  <c r="AH7" i="3"/>
  <c r="AG7" i="3"/>
  <c r="AF7" i="3"/>
  <c r="AE7" i="3"/>
  <c r="AD7" i="3"/>
  <c r="AC7" i="3"/>
  <c r="AB7" i="3"/>
  <c r="AA7" i="3"/>
  <c r="Z7" i="3"/>
  <c r="Y7" i="3"/>
  <c r="X7" i="3"/>
  <c r="W7" i="3"/>
  <c r="V7" i="3"/>
  <c r="U7" i="3"/>
  <c r="T7" i="3"/>
  <c r="S7" i="3"/>
  <c r="R7" i="3"/>
  <c r="Q7" i="3"/>
  <c r="P7" i="3"/>
  <c r="O7" i="3"/>
  <c r="N7" i="3"/>
  <c r="M7" i="3"/>
  <c r="L7" i="3"/>
  <c r="K7" i="3"/>
  <c r="J7" i="3"/>
  <c r="I7" i="3"/>
  <c r="H7" i="3"/>
  <c r="G7" i="3"/>
  <c r="F7" i="3"/>
  <c r="E7" i="3"/>
  <c r="D7" i="3"/>
  <c r="C7" i="3"/>
  <c r="AP6" i="3"/>
  <c r="AO6" i="3"/>
  <c r="AN6" i="3"/>
  <c r="AM6" i="3"/>
  <c r="AL6" i="3"/>
  <c r="AK6" i="3"/>
  <c r="AJ6" i="3"/>
  <c r="AI6" i="3"/>
  <c r="AH6" i="3"/>
  <c r="AG6" i="3"/>
  <c r="AF6" i="3"/>
  <c r="AE6" i="3"/>
  <c r="AD6" i="3"/>
  <c r="AC6" i="3"/>
  <c r="AB6" i="3"/>
  <c r="AA6" i="3"/>
  <c r="Z6" i="3"/>
  <c r="Y6" i="3"/>
  <c r="X6" i="3"/>
  <c r="W6" i="3"/>
  <c r="V6" i="3"/>
  <c r="U6" i="3"/>
  <c r="T6" i="3"/>
  <c r="S6" i="3"/>
  <c r="R6" i="3"/>
  <c r="Q6" i="3"/>
  <c r="P6" i="3"/>
  <c r="O6" i="3"/>
  <c r="N6" i="3"/>
  <c r="M6" i="3"/>
  <c r="L6" i="3"/>
  <c r="K6" i="3"/>
  <c r="J6" i="3"/>
  <c r="I6" i="3"/>
  <c r="H6" i="3"/>
  <c r="G6" i="3"/>
  <c r="F6" i="3"/>
  <c r="E6" i="3"/>
  <c r="D6" i="3"/>
  <c r="C6" i="3"/>
  <c r="AP5" i="3"/>
  <c r="AO5" i="3"/>
  <c r="AN5" i="3"/>
  <c r="AM5" i="3"/>
  <c r="AL5" i="3"/>
  <c r="AK5" i="3"/>
  <c r="AJ5" i="3"/>
  <c r="AI5" i="3"/>
  <c r="AH5" i="3"/>
  <c r="AG5" i="3"/>
  <c r="AF5" i="3"/>
  <c r="AE5" i="3"/>
  <c r="AD5" i="3"/>
  <c r="AC5" i="3"/>
  <c r="AB5" i="3"/>
  <c r="AA5" i="3"/>
  <c r="Z5" i="3"/>
  <c r="Y5" i="3"/>
  <c r="X5" i="3"/>
  <c r="W5" i="3"/>
  <c r="V5" i="3"/>
  <c r="U5" i="3"/>
  <c r="T5" i="3"/>
  <c r="S5" i="3"/>
  <c r="R5" i="3"/>
  <c r="Q5" i="3"/>
  <c r="P5" i="3"/>
  <c r="O5" i="3"/>
  <c r="N5" i="3"/>
  <c r="M5" i="3"/>
  <c r="L5" i="3"/>
  <c r="K5" i="3"/>
  <c r="J5" i="3"/>
  <c r="I5" i="3"/>
  <c r="H5" i="3"/>
  <c r="G5" i="3"/>
  <c r="F5" i="3"/>
  <c r="E5" i="3"/>
  <c r="D5" i="3"/>
  <c r="C5" i="3"/>
  <c r="AP4" i="3"/>
  <c r="AO4" i="3"/>
  <c r="AN4" i="3"/>
  <c r="AM4" i="3"/>
  <c r="AL4" i="3"/>
  <c r="AK4" i="3"/>
  <c r="AJ4" i="3"/>
  <c r="AI4" i="3"/>
  <c r="AH4" i="3"/>
  <c r="AG4" i="3"/>
  <c r="AF4" i="3"/>
  <c r="AE4" i="3"/>
  <c r="AD4" i="3"/>
  <c r="AC4" i="3"/>
  <c r="AB4" i="3"/>
  <c r="AA4" i="3"/>
  <c r="Z4" i="3"/>
  <c r="Y4" i="3"/>
  <c r="X4" i="3"/>
  <c r="W4" i="3"/>
  <c r="V4" i="3"/>
  <c r="U4" i="3"/>
  <c r="T4" i="3"/>
  <c r="S4" i="3"/>
  <c r="R4" i="3"/>
  <c r="Q4" i="3"/>
  <c r="P4" i="3"/>
  <c r="O4" i="3"/>
  <c r="N4" i="3"/>
  <c r="M4" i="3"/>
  <c r="L4" i="3"/>
  <c r="K4" i="3"/>
  <c r="J4" i="3"/>
  <c r="I4" i="3"/>
  <c r="H4" i="3"/>
  <c r="G4" i="3"/>
  <c r="F4" i="3"/>
  <c r="E4" i="3"/>
  <c r="D4" i="3"/>
  <c r="C4" i="3"/>
  <c r="AH50" i="2"/>
  <c r="AG50" i="2"/>
  <c r="AF50" i="2"/>
  <c r="AE50" i="2"/>
  <c r="AD50" i="2"/>
  <c r="AC50" i="2"/>
  <c r="AB50" i="2"/>
  <c r="AA50" i="2"/>
  <c r="Z50" i="2"/>
  <c r="Y50" i="2"/>
  <c r="X50" i="2"/>
  <c r="W50" i="2"/>
  <c r="V50" i="2"/>
  <c r="U50" i="2"/>
  <c r="T50" i="2"/>
  <c r="S50" i="2"/>
  <c r="R50" i="2"/>
  <c r="Q50" i="2"/>
  <c r="P50" i="2"/>
  <c r="O50" i="2"/>
  <c r="N50" i="2"/>
  <c r="M50" i="2"/>
  <c r="L50" i="2"/>
  <c r="K50" i="2"/>
  <c r="J50" i="2"/>
  <c r="AH49" i="2"/>
  <c r="AG49" i="2"/>
  <c r="AF49" i="2"/>
  <c r="AE49" i="2"/>
  <c r="AD49" i="2"/>
  <c r="AC49" i="2"/>
  <c r="AB49" i="2"/>
  <c r="AA49" i="2"/>
  <c r="Z49" i="2"/>
  <c r="Y49" i="2"/>
  <c r="X49" i="2"/>
  <c r="W49" i="2"/>
  <c r="V49" i="2"/>
  <c r="U49" i="2"/>
  <c r="T49" i="2"/>
  <c r="S49" i="2"/>
  <c r="R49" i="2"/>
  <c r="Q49" i="2"/>
  <c r="P49" i="2"/>
  <c r="O49" i="2"/>
  <c r="N49" i="2"/>
  <c r="M49" i="2"/>
  <c r="L49" i="2"/>
  <c r="K49" i="2"/>
  <c r="J49" i="2"/>
  <c r="I49" i="2"/>
  <c r="H49" i="2"/>
  <c r="G49" i="2"/>
  <c r="F49" i="2"/>
  <c r="E49" i="2"/>
  <c r="AH48" i="2"/>
  <c r="AG48" i="2"/>
  <c r="AF48" i="2"/>
  <c r="AE48" i="2"/>
  <c r="AD48" i="2"/>
  <c r="AC48" i="2"/>
  <c r="AB48" i="2"/>
  <c r="AA48" i="2"/>
  <c r="Z48" i="2"/>
  <c r="Y48" i="2"/>
  <c r="X48" i="2"/>
  <c r="W48" i="2"/>
  <c r="V48" i="2"/>
  <c r="U48" i="2"/>
  <c r="T48" i="2"/>
  <c r="S48" i="2"/>
  <c r="R48" i="2"/>
  <c r="Q48" i="2"/>
  <c r="P48" i="2"/>
  <c r="O48" i="2"/>
  <c r="N48" i="2"/>
  <c r="M48" i="2"/>
  <c r="L48" i="2"/>
  <c r="K48" i="2"/>
  <c r="J48" i="2"/>
  <c r="I48" i="2"/>
  <c r="H48" i="2"/>
  <c r="G48" i="2"/>
  <c r="F48" i="2"/>
  <c r="E48" i="2"/>
  <c r="AH47" i="2"/>
  <c r="AG47" i="2"/>
  <c r="AF47" i="2"/>
  <c r="AE47" i="2"/>
  <c r="AD47" i="2"/>
  <c r="AC47" i="2"/>
  <c r="AB47" i="2"/>
  <c r="AA47" i="2"/>
  <c r="Z47" i="2"/>
  <c r="Y47" i="2"/>
  <c r="X47" i="2"/>
  <c r="W47" i="2"/>
  <c r="V47" i="2"/>
  <c r="U47" i="2"/>
  <c r="T47" i="2"/>
  <c r="S47" i="2"/>
  <c r="R47" i="2"/>
  <c r="Q47" i="2"/>
  <c r="P47" i="2"/>
  <c r="O47" i="2"/>
  <c r="N47" i="2"/>
  <c r="M47" i="2"/>
  <c r="L47" i="2"/>
  <c r="K47" i="2"/>
  <c r="J47" i="2"/>
  <c r="I47" i="2"/>
  <c r="H47" i="2"/>
  <c r="G47" i="2"/>
  <c r="F47" i="2"/>
  <c r="E47" i="2"/>
  <c r="AH46" i="2"/>
  <c r="AG46" i="2"/>
  <c r="AF46" i="2"/>
  <c r="AE46" i="2"/>
  <c r="AD46" i="2"/>
  <c r="AC46" i="2"/>
  <c r="AB46" i="2"/>
  <c r="AA46" i="2"/>
  <c r="Z46" i="2"/>
  <c r="Y46" i="2"/>
  <c r="X46" i="2"/>
  <c r="W46" i="2"/>
  <c r="V46" i="2"/>
  <c r="U46" i="2"/>
  <c r="T46" i="2"/>
  <c r="S46" i="2"/>
  <c r="R46" i="2"/>
  <c r="Q46" i="2"/>
  <c r="P46" i="2"/>
  <c r="O46" i="2"/>
  <c r="N46" i="2"/>
  <c r="M46" i="2"/>
  <c r="L46" i="2"/>
  <c r="K46" i="2"/>
  <c r="J46" i="2"/>
  <c r="I46" i="2"/>
  <c r="H46" i="2"/>
  <c r="G46" i="2"/>
  <c r="F46" i="2"/>
  <c r="E46" i="2"/>
  <c r="AH45" i="2"/>
  <c r="AG45" i="2"/>
  <c r="AF45" i="2"/>
  <c r="AE45" i="2"/>
  <c r="AD45" i="2"/>
  <c r="AC45" i="2"/>
  <c r="AB45" i="2"/>
  <c r="AA45" i="2"/>
  <c r="Z45" i="2"/>
  <c r="Y45" i="2"/>
  <c r="X45" i="2"/>
  <c r="W45" i="2"/>
  <c r="V45" i="2"/>
  <c r="U45" i="2"/>
  <c r="T45" i="2"/>
  <c r="S45" i="2"/>
  <c r="R45" i="2"/>
  <c r="Q45" i="2"/>
  <c r="P45" i="2"/>
  <c r="O45" i="2"/>
  <c r="N45" i="2"/>
  <c r="M45" i="2"/>
  <c r="L45" i="2"/>
  <c r="K45" i="2"/>
  <c r="J45" i="2"/>
  <c r="I45" i="2"/>
  <c r="H45" i="2"/>
  <c r="G45" i="2"/>
  <c r="F45" i="2"/>
  <c r="E45" i="2"/>
  <c r="AH43" i="2"/>
  <c r="AG43" i="2"/>
  <c r="AF43" i="2"/>
  <c r="AE43" i="2"/>
  <c r="AD43" i="2"/>
  <c r="AC43" i="2"/>
  <c r="AB43" i="2"/>
  <c r="AA43" i="2"/>
  <c r="Z43" i="2"/>
  <c r="Y43" i="2"/>
  <c r="X43" i="2"/>
  <c r="W43" i="2"/>
  <c r="V43" i="2"/>
  <c r="U43" i="2"/>
  <c r="T43" i="2"/>
  <c r="S43" i="2"/>
  <c r="R43" i="2"/>
  <c r="Q43" i="2"/>
  <c r="P43" i="2"/>
  <c r="O43" i="2"/>
  <c r="N43" i="2"/>
  <c r="M43" i="2"/>
  <c r="L43" i="2"/>
  <c r="K43" i="2"/>
  <c r="J43" i="2"/>
  <c r="I43" i="2"/>
  <c r="H43" i="2"/>
  <c r="G43" i="2"/>
  <c r="F43" i="2"/>
  <c r="E43" i="2"/>
  <c r="AH42" i="2"/>
  <c r="AG42" i="2"/>
  <c r="AF42" i="2"/>
  <c r="AE42" i="2"/>
  <c r="AD42" i="2"/>
  <c r="AC42" i="2"/>
  <c r="AB42" i="2"/>
  <c r="AA42" i="2"/>
  <c r="Z42" i="2"/>
  <c r="Y42" i="2"/>
  <c r="X42" i="2"/>
  <c r="W42" i="2"/>
  <c r="V42" i="2"/>
  <c r="U42" i="2"/>
  <c r="T42" i="2"/>
  <c r="S42" i="2"/>
  <c r="R42" i="2"/>
  <c r="Q42" i="2"/>
  <c r="P42" i="2"/>
  <c r="O42" i="2"/>
  <c r="N42" i="2"/>
  <c r="M42" i="2"/>
  <c r="L42" i="2"/>
  <c r="K42" i="2"/>
  <c r="J42" i="2"/>
  <c r="I42" i="2"/>
  <c r="H42" i="2"/>
  <c r="G42" i="2"/>
  <c r="F42" i="2"/>
  <c r="E42" i="2"/>
  <c r="AH41" i="2"/>
  <c r="AG41" i="2"/>
  <c r="AF41" i="2"/>
  <c r="AE41" i="2"/>
  <c r="AD41" i="2"/>
  <c r="AC41" i="2"/>
  <c r="AB41" i="2"/>
  <c r="AA41" i="2"/>
  <c r="Z41" i="2"/>
  <c r="Y41" i="2"/>
  <c r="X41" i="2"/>
  <c r="W41" i="2"/>
  <c r="V41" i="2"/>
  <c r="U41" i="2"/>
  <c r="T41" i="2"/>
  <c r="S41" i="2"/>
  <c r="R41" i="2"/>
  <c r="Q41" i="2"/>
  <c r="P41" i="2"/>
  <c r="O41" i="2"/>
  <c r="N41" i="2"/>
  <c r="M41" i="2"/>
  <c r="L41" i="2"/>
  <c r="K41" i="2"/>
  <c r="J41" i="2"/>
  <c r="I41" i="2"/>
  <c r="H41" i="2"/>
  <c r="G41" i="2"/>
  <c r="F41" i="2"/>
  <c r="E41" i="2"/>
  <c r="AH40" i="2"/>
  <c r="AG40" i="2"/>
  <c r="AF40" i="2"/>
  <c r="AE40" i="2"/>
  <c r="AD40" i="2"/>
  <c r="AC40" i="2"/>
  <c r="AB40" i="2"/>
  <c r="AA40" i="2"/>
  <c r="Z40" i="2"/>
  <c r="Y40" i="2"/>
  <c r="X40" i="2"/>
  <c r="W40" i="2"/>
  <c r="V40" i="2"/>
  <c r="U40" i="2"/>
  <c r="T40" i="2"/>
  <c r="S40" i="2"/>
  <c r="R40" i="2"/>
  <c r="Q40" i="2"/>
  <c r="P40" i="2"/>
  <c r="O40" i="2"/>
  <c r="N40" i="2"/>
  <c r="M40" i="2"/>
  <c r="L40" i="2"/>
  <c r="K40" i="2"/>
  <c r="J40" i="2"/>
  <c r="I40" i="2"/>
  <c r="H40" i="2"/>
  <c r="G40" i="2"/>
  <c r="F40" i="2"/>
  <c r="E40" i="2"/>
  <c r="AH39" i="2"/>
  <c r="AG39" i="2"/>
  <c r="AF39" i="2"/>
  <c r="AE39" i="2"/>
  <c r="AD39" i="2"/>
  <c r="AC39" i="2"/>
  <c r="AB39" i="2"/>
  <c r="AA39" i="2"/>
  <c r="Z39" i="2"/>
  <c r="Y39" i="2"/>
  <c r="X39" i="2"/>
  <c r="W39" i="2"/>
  <c r="V39" i="2"/>
  <c r="U39" i="2"/>
  <c r="T39" i="2"/>
  <c r="S39" i="2"/>
  <c r="R39" i="2"/>
  <c r="Q39" i="2"/>
  <c r="P39" i="2"/>
  <c r="O39" i="2"/>
  <c r="N39" i="2"/>
  <c r="M39" i="2"/>
  <c r="L39" i="2"/>
  <c r="K39" i="2"/>
  <c r="J39" i="2"/>
  <c r="I39" i="2"/>
  <c r="H39" i="2"/>
  <c r="G39" i="2"/>
  <c r="F39" i="2"/>
  <c r="E39" i="2"/>
  <c r="AH37" i="2"/>
  <c r="AG37" i="2"/>
  <c r="AF37" i="2"/>
  <c r="AE37" i="2"/>
  <c r="AD37" i="2"/>
  <c r="AC37" i="2"/>
  <c r="AB37" i="2"/>
  <c r="AA37" i="2"/>
  <c r="Z37" i="2"/>
  <c r="Y37" i="2"/>
  <c r="X37" i="2"/>
  <c r="W37" i="2"/>
  <c r="V37" i="2"/>
  <c r="U37" i="2"/>
  <c r="T37" i="2"/>
  <c r="S37" i="2"/>
  <c r="R37" i="2"/>
  <c r="Q37" i="2"/>
  <c r="P37" i="2"/>
  <c r="O37" i="2"/>
  <c r="N37" i="2"/>
  <c r="M37" i="2"/>
  <c r="L37" i="2"/>
  <c r="K37" i="2"/>
  <c r="J37" i="2"/>
  <c r="I37" i="2"/>
  <c r="H37" i="2"/>
  <c r="G37" i="2"/>
  <c r="F37" i="2"/>
  <c r="E37" i="2"/>
  <c r="AH36" i="2"/>
  <c r="AG36" i="2"/>
  <c r="AF36" i="2"/>
  <c r="AE36" i="2"/>
  <c r="AD36" i="2"/>
  <c r="AC36" i="2"/>
  <c r="AB36" i="2"/>
  <c r="AA36" i="2"/>
  <c r="Z36" i="2"/>
  <c r="Y36" i="2"/>
  <c r="X36" i="2"/>
  <c r="W36" i="2"/>
  <c r="V36" i="2"/>
  <c r="U36" i="2"/>
  <c r="T36" i="2"/>
  <c r="S36" i="2"/>
  <c r="R36" i="2"/>
  <c r="Q36" i="2"/>
  <c r="P36" i="2"/>
  <c r="O36" i="2"/>
  <c r="N36" i="2"/>
  <c r="M36" i="2"/>
  <c r="L36" i="2"/>
  <c r="K36" i="2"/>
  <c r="J36" i="2"/>
  <c r="I36" i="2"/>
  <c r="H36" i="2"/>
  <c r="G36" i="2"/>
  <c r="F36" i="2"/>
  <c r="E36" i="2"/>
  <c r="AH35" i="2"/>
  <c r="AG35" i="2"/>
  <c r="AF35" i="2"/>
  <c r="AE35" i="2"/>
  <c r="AD35" i="2"/>
  <c r="AC35" i="2"/>
  <c r="AB35" i="2"/>
  <c r="AA35" i="2"/>
  <c r="Z35" i="2"/>
  <c r="Y35" i="2"/>
  <c r="X35" i="2"/>
  <c r="W35" i="2"/>
  <c r="V35" i="2"/>
  <c r="U35" i="2"/>
  <c r="T35" i="2"/>
  <c r="S35" i="2"/>
  <c r="R35" i="2"/>
  <c r="Q35" i="2"/>
  <c r="P35" i="2"/>
  <c r="O35" i="2"/>
  <c r="N35" i="2"/>
  <c r="M35" i="2"/>
  <c r="L35" i="2"/>
  <c r="K35" i="2"/>
  <c r="J35" i="2"/>
  <c r="I35" i="2"/>
  <c r="H35" i="2"/>
  <c r="G35" i="2"/>
  <c r="F35" i="2"/>
  <c r="E35" i="2"/>
  <c r="AH34" i="2"/>
  <c r="AG34" i="2"/>
  <c r="AF34" i="2"/>
  <c r="AE34" i="2"/>
  <c r="AD34" i="2"/>
  <c r="AC34" i="2"/>
  <c r="AB34" i="2"/>
  <c r="AA34" i="2"/>
  <c r="Z34" i="2"/>
  <c r="Y34" i="2"/>
  <c r="X34" i="2"/>
  <c r="W34" i="2"/>
  <c r="V34" i="2"/>
  <c r="U34" i="2"/>
  <c r="T34" i="2"/>
  <c r="S34" i="2"/>
  <c r="R34" i="2"/>
  <c r="Q34" i="2"/>
  <c r="P34" i="2"/>
  <c r="O34" i="2"/>
  <c r="N34" i="2"/>
  <c r="M34" i="2"/>
  <c r="L34" i="2"/>
  <c r="K34" i="2"/>
  <c r="J34" i="2"/>
  <c r="I34" i="2"/>
  <c r="H34" i="2"/>
  <c r="G34" i="2"/>
  <c r="F34" i="2"/>
  <c r="E34" i="2"/>
  <c r="AH32" i="2"/>
  <c r="AG32" i="2"/>
  <c r="AF32" i="2"/>
  <c r="AE32" i="2"/>
  <c r="AD32" i="2"/>
  <c r="AC32" i="2"/>
  <c r="AB32" i="2"/>
  <c r="AA32" i="2"/>
  <c r="Z32" i="2"/>
  <c r="Y32" i="2"/>
  <c r="X32" i="2"/>
  <c r="W32" i="2"/>
  <c r="V32" i="2"/>
  <c r="U32" i="2"/>
  <c r="T32" i="2"/>
  <c r="S32" i="2"/>
  <c r="R32" i="2"/>
  <c r="Q32" i="2"/>
  <c r="P32" i="2"/>
  <c r="O32" i="2"/>
  <c r="N32" i="2"/>
  <c r="M32" i="2"/>
  <c r="L32" i="2"/>
  <c r="K32" i="2"/>
  <c r="J32" i="2"/>
  <c r="I32" i="2"/>
  <c r="H32" i="2"/>
  <c r="G32" i="2"/>
  <c r="F32" i="2"/>
  <c r="E32" i="2"/>
  <c r="AH31" i="2"/>
  <c r="AG31" i="2"/>
  <c r="AF31" i="2"/>
  <c r="AE31" i="2"/>
  <c r="AD31" i="2"/>
  <c r="AC31" i="2"/>
  <c r="AB31" i="2"/>
  <c r="AA31" i="2"/>
  <c r="Z31" i="2"/>
  <c r="Y31" i="2"/>
  <c r="X31" i="2"/>
  <c r="W31" i="2"/>
  <c r="V31" i="2"/>
  <c r="U31" i="2"/>
  <c r="T31" i="2"/>
  <c r="S31" i="2"/>
  <c r="R31" i="2"/>
  <c r="Q31" i="2"/>
  <c r="P31" i="2"/>
  <c r="O31" i="2"/>
  <c r="N31" i="2"/>
  <c r="M31" i="2"/>
  <c r="L31" i="2"/>
  <c r="K31" i="2"/>
  <c r="J31" i="2"/>
  <c r="I31" i="2"/>
  <c r="H31" i="2"/>
  <c r="G31" i="2"/>
  <c r="F31" i="2"/>
  <c r="E31" i="2"/>
  <c r="AH30" i="2"/>
  <c r="AG30" i="2"/>
  <c r="AF30" i="2"/>
  <c r="AE30" i="2"/>
  <c r="AD30" i="2"/>
  <c r="AC30" i="2"/>
  <c r="AB30" i="2"/>
  <c r="AA30" i="2"/>
  <c r="Z30" i="2"/>
  <c r="Y30" i="2"/>
  <c r="X30" i="2"/>
  <c r="W30" i="2"/>
  <c r="V30" i="2"/>
  <c r="U30" i="2"/>
  <c r="T30" i="2"/>
  <c r="S30" i="2"/>
  <c r="R30" i="2"/>
  <c r="Q30" i="2"/>
  <c r="P30" i="2"/>
  <c r="O30" i="2"/>
  <c r="N30" i="2"/>
  <c r="M30" i="2"/>
  <c r="L30" i="2"/>
  <c r="K30" i="2"/>
  <c r="J30" i="2"/>
  <c r="I30" i="2"/>
  <c r="H30" i="2"/>
  <c r="G30" i="2"/>
  <c r="F30" i="2"/>
  <c r="E30" i="2"/>
  <c r="AH29" i="2"/>
  <c r="AG29" i="2"/>
  <c r="AF29" i="2"/>
  <c r="AE29" i="2"/>
  <c r="AD29" i="2"/>
  <c r="AC29" i="2"/>
  <c r="AB29" i="2"/>
  <c r="AA29" i="2"/>
  <c r="Z29" i="2"/>
  <c r="Y29" i="2"/>
  <c r="X29" i="2"/>
  <c r="W29" i="2"/>
  <c r="V29" i="2"/>
  <c r="U29" i="2"/>
  <c r="T29" i="2"/>
  <c r="S29" i="2"/>
  <c r="R29" i="2"/>
  <c r="Q29" i="2"/>
  <c r="P29" i="2"/>
  <c r="O29" i="2"/>
  <c r="N29" i="2"/>
  <c r="M29" i="2"/>
  <c r="L29" i="2"/>
  <c r="K29" i="2"/>
  <c r="J29" i="2"/>
  <c r="I29" i="2"/>
  <c r="H29" i="2"/>
  <c r="G29" i="2"/>
  <c r="F29" i="2"/>
  <c r="E29" i="2"/>
  <c r="AH28" i="2"/>
  <c r="AG28" i="2"/>
  <c r="AF28" i="2"/>
  <c r="AE28" i="2"/>
  <c r="AD28" i="2"/>
  <c r="AC28" i="2"/>
  <c r="AB28" i="2"/>
  <c r="AA28" i="2"/>
  <c r="Z28" i="2"/>
  <c r="Y28" i="2"/>
  <c r="X28" i="2"/>
  <c r="W28" i="2"/>
  <c r="V28" i="2"/>
  <c r="U28" i="2"/>
  <c r="T28" i="2"/>
  <c r="S28" i="2"/>
  <c r="R28" i="2"/>
  <c r="Q28" i="2"/>
  <c r="P28" i="2"/>
  <c r="O28" i="2"/>
  <c r="N28" i="2"/>
  <c r="M28" i="2"/>
  <c r="L28" i="2"/>
  <c r="K28" i="2"/>
  <c r="J28" i="2"/>
  <c r="I28" i="2"/>
  <c r="H28" i="2"/>
  <c r="G28" i="2"/>
  <c r="F28" i="2"/>
  <c r="E28" i="2"/>
  <c r="AH27" i="2"/>
  <c r="AG27" i="2"/>
  <c r="AF27" i="2"/>
  <c r="AE27" i="2"/>
  <c r="AD27" i="2"/>
  <c r="AC27" i="2"/>
  <c r="AB27" i="2"/>
  <c r="AA27" i="2"/>
  <c r="Z27" i="2"/>
  <c r="Y27" i="2"/>
  <c r="X27" i="2"/>
  <c r="W27" i="2"/>
  <c r="V27" i="2"/>
  <c r="U27" i="2"/>
  <c r="T27" i="2"/>
  <c r="S27" i="2"/>
  <c r="R27" i="2"/>
  <c r="Q27" i="2"/>
  <c r="P27" i="2"/>
  <c r="O27" i="2"/>
  <c r="N27" i="2"/>
  <c r="M27" i="2"/>
  <c r="L27" i="2"/>
  <c r="K27" i="2"/>
  <c r="J27" i="2"/>
  <c r="I27" i="2"/>
  <c r="H27" i="2"/>
  <c r="G27" i="2"/>
  <c r="F27" i="2"/>
  <c r="E27" i="2"/>
  <c r="AH26" i="2"/>
  <c r="AG26" i="2"/>
  <c r="AF26" i="2"/>
  <c r="AE26" i="2"/>
  <c r="AD26" i="2"/>
  <c r="AC26" i="2"/>
  <c r="AB26" i="2"/>
  <c r="AA26" i="2"/>
  <c r="Z26" i="2"/>
  <c r="Y26" i="2"/>
  <c r="X26" i="2"/>
  <c r="W26" i="2"/>
  <c r="V26" i="2"/>
  <c r="U26" i="2"/>
  <c r="T26" i="2"/>
  <c r="S26" i="2"/>
  <c r="R26" i="2"/>
  <c r="Q26" i="2"/>
  <c r="P26" i="2"/>
  <c r="O26" i="2"/>
  <c r="N26" i="2"/>
  <c r="M26" i="2"/>
  <c r="L26" i="2"/>
  <c r="K26" i="2"/>
  <c r="J26" i="2"/>
  <c r="I26" i="2"/>
  <c r="H26" i="2"/>
  <c r="G26" i="2"/>
  <c r="F26" i="2"/>
  <c r="E26" i="2"/>
  <c r="AH24" i="2"/>
  <c r="AG24" i="2"/>
  <c r="AF24" i="2"/>
  <c r="AE24" i="2"/>
  <c r="AD24" i="2"/>
  <c r="AC24" i="2"/>
  <c r="AB24" i="2"/>
  <c r="AA24" i="2"/>
  <c r="Z24" i="2"/>
  <c r="Y24" i="2"/>
  <c r="X24" i="2"/>
  <c r="W24" i="2"/>
  <c r="V24" i="2"/>
  <c r="U24" i="2"/>
  <c r="T24" i="2"/>
  <c r="S24" i="2"/>
  <c r="R24" i="2"/>
  <c r="Q24" i="2"/>
  <c r="P24" i="2"/>
  <c r="O24" i="2"/>
  <c r="N24" i="2"/>
  <c r="M24" i="2"/>
  <c r="L24" i="2"/>
  <c r="K24" i="2"/>
  <c r="J24" i="2"/>
  <c r="I24" i="2"/>
  <c r="H24" i="2"/>
  <c r="G24" i="2"/>
  <c r="F24" i="2"/>
  <c r="E24" i="2"/>
  <c r="AH23" i="2"/>
  <c r="AG23" i="2"/>
  <c r="AF23" i="2"/>
  <c r="AE23" i="2"/>
  <c r="AD23" i="2"/>
  <c r="AC23" i="2"/>
  <c r="AB23" i="2"/>
  <c r="AA23" i="2"/>
  <c r="Z23" i="2"/>
  <c r="Y23" i="2"/>
  <c r="X23" i="2"/>
  <c r="W23" i="2"/>
  <c r="V23" i="2"/>
  <c r="U23" i="2"/>
  <c r="T23" i="2"/>
  <c r="S23" i="2"/>
  <c r="R23" i="2"/>
  <c r="Q23" i="2"/>
  <c r="P23" i="2"/>
  <c r="O23" i="2"/>
  <c r="N23" i="2"/>
  <c r="M23" i="2"/>
  <c r="L23" i="2"/>
  <c r="K23" i="2"/>
  <c r="J23" i="2"/>
  <c r="I23" i="2"/>
  <c r="H23" i="2"/>
  <c r="G23" i="2"/>
  <c r="F23" i="2"/>
  <c r="E23" i="2"/>
  <c r="AH22" i="2"/>
  <c r="AG22" i="2"/>
  <c r="AF22" i="2"/>
  <c r="AE22" i="2"/>
  <c r="AD22" i="2"/>
  <c r="AC22" i="2"/>
  <c r="AB22" i="2"/>
  <c r="AA22" i="2"/>
  <c r="Z22" i="2"/>
  <c r="Y22" i="2"/>
  <c r="X22" i="2"/>
  <c r="W22" i="2"/>
  <c r="V22" i="2"/>
  <c r="U22" i="2"/>
  <c r="T22" i="2"/>
  <c r="S22" i="2"/>
  <c r="R22" i="2"/>
  <c r="Q22" i="2"/>
  <c r="P22" i="2"/>
  <c r="O22" i="2"/>
  <c r="N22" i="2"/>
  <c r="M22" i="2"/>
  <c r="L22" i="2"/>
  <c r="K22" i="2"/>
  <c r="J22" i="2"/>
  <c r="I22" i="2"/>
  <c r="H22" i="2"/>
  <c r="G22" i="2"/>
  <c r="F22" i="2"/>
  <c r="E22" i="2"/>
  <c r="AH21" i="2"/>
  <c r="AG21" i="2"/>
  <c r="AF21" i="2"/>
  <c r="AE21" i="2"/>
  <c r="AD21" i="2"/>
  <c r="AC21" i="2"/>
  <c r="AB21" i="2"/>
  <c r="AA21" i="2"/>
  <c r="Z21" i="2"/>
  <c r="Y21" i="2"/>
  <c r="X21" i="2"/>
  <c r="W21" i="2"/>
  <c r="V21" i="2"/>
  <c r="U21" i="2"/>
  <c r="T21" i="2"/>
  <c r="S21" i="2"/>
  <c r="R21" i="2"/>
  <c r="Q21" i="2"/>
  <c r="P21" i="2"/>
  <c r="O21" i="2"/>
  <c r="N21" i="2"/>
  <c r="M21" i="2"/>
  <c r="L21" i="2"/>
  <c r="K21" i="2"/>
  <c r="J21" i="2"/>
  <c r="I21" i="2"/>
  <c r="H21" i="2"/>
  <c r="G21" i="2"/>
  <c r="F21" i="2"/>
  <c r="E21" i="2"/>
  <c r="AH20" i="2"/>
  <c r="AG20" i="2"/>
  <c r="AF20" i="2"/>
  <c r="AE20" i="2"/>
  <c r="AD20" i="2"/>
  <c r="AC20" i="2"/>
  <c r="AB20" i="2"/>
  <c r="AA20" i="2"/>
  <c r="Z20" i="2"/>
  <c r="Y20" i="2"/>
  <c r="X20" i="2"/>
  <c r="W20" i="2"/>
  <c r="V20" i="2"/>
  <c r="U20" i="2"/>
  <c r="T20" i="2"/>
  <c r="S20" i="2"/>
  <c r="R20" i="2"/>
  <c r="Q20" i="2"/>
  <c r="P20" i="2"/>
  <c r="O20" i="2"/>
  <c r="N20" i="2"/>
  <c r="M20" i="2"/>
  <c r="L20" i="2"/>
  <c r="K20" i="2"/>
  <c r="J20" i="2"/>
  <c r="I20" i="2"/>
  <c r="H20" i="2"/>
  <c r="G20" i="2"/>
  <c r="F20" i="2"/>
  <c r="E20" i="2"/>
  <c r="AH19" i="2"/>
  <c r="AG19" i="2"/>
  <c r="AF19" i="2"/>
  <c r="AE19" i="2"/>
  <c r="AD19" i="2"/>
  <c r="AC19" i="2"/>
  <c r="AB19" i="2"/>
  <c r="AA19" i="2"/>
  <c r="Z19" i="2"/>
  <c r="Y19" i="2"/>
  <c r="X19" i="2"/>
  <c r="W19" i="2"/>
  <c r="V19" i="2"/>
  <c r="U19" i="2"/>
  <c r="T19" i="2"/>
  <c r="S19" i="2"/>
  <c r="R19" i="2"/>
  <c r="Q19" i="2"/>
  <c r="P19" i="2"/>
  <c r="O19" i="2"/>
  <c r="N19" i="2"/>
  <c r="M19" i="2"/>
  <c r="L19" i="2"/>
  <c r="K19" i="2"/>
  <c r="J19" i="2"/>
  <c r="I19" i="2"/>
  <c r="H19" i="2"/>
  <c r="G19" i="2"/>
  <c r="F19" i="2"/>
  <c r="E19" i="2"/>
  <c r="AH18" i="2"/>
  <c r="AG18" i="2"/>
  <c r="AF18" i="2"/>
  <c r="AE18" i="2"/>
  <c r="AD18" i="2"/>
  <c r="AC18" i="2"/>
  <c r="AB18" i="2"/>
  <c r="AA18" i="2"/>
  <c r="Z18" i="2"/>
  <c r="Y18" i="2"/>
  <c r="X18" i="2"/>
  <c r="W18" i="2"/>
  <c r="V18" i="2"/>
  <c r="U18" i="2"/>
  <c r="T18" i="2"/>
  <c r="S18" i="2"/>
  <c r="R18" i="2"/>
  <c r="Q18" i="2"/>
  <c r="P18" i="2"/>
  <c r="O18" i="2"/>
  <c r="N18" i="2"/>
  <c r="M18" i="2"/>
  <c r="L18" i="2"/>
  <c r="K18" i="2"/>
  <c r="J18" i="2"/>
  <c r="I18" i="2"/>
  <c r="H18" i="2"/>
  <c r="G18" i="2"/>
  <c r="F18" i="2"/>
  <c r="E18" i="2"/>
  <c r="AH17" i="2"/>
  <c r="AG17" i="2"/>
  <c r="AF17" i="2"/>
  <c r="AE17" i="2"/>
  <c r="AD17" i="2"/>
  <c r="AC17" i="2"/>
  <c r="AB17" i="2"/>
  <c r="AA17" i="2"/>
  <c r="Z17" i="2"/>
  <c r="Y17" i="2"/>
  <c r="X17" i="2"/>
  <c r="W17" i="2"/>
  <c r="V17" i="2"/>
  <c r="U17" i="2"/>
  <c r="T17" i="2"/>
  <c r="S17" i="2"/>
  <c r="R17" i="2"/>
  <c r="Q17" i="2"/>
  <c r="P17" i="2"/>
  <c r="O17" i="2"/>
  <c r="N17" i="2"/>
  <c r="M17" i="2"/>
  <c r="L17" i="2"/>
  <c r="K17" i="2"/>
  <c r="J17" i="2"/>
  <c r="I17" i="2"/>
  <c r="H17" i="2"/>
  <c r="G17" i="2"/>
  <c r="F17" i="2"/>
  <c r="E17" i="2"/>
  <c r="AH16" i="2"/>
  <c r="AG16" i="2"/>
  <c r="AF16" i="2"/>
  <c r="AE16" i="2"/>
  <c r="AD16" i="2"/>
  <c r="AC16" i="2"/>
  <c r="AB16" i="2"/>
  <c r="AA16" i="2"/>
  <c r="Z16" i="2"/>
  <c r="Y16" i="2"/>
  <c r="X16" i="2"/>
  <c r="W16" i="2"/>
  <c r="V16" i="2"/>
  <c r="U16" i="2"/>
  <c r="T16" i="2"/>
  <c r="S16" i="2"/>
  <c r="R16" i="2"/>
  <c r="Q16" i="2"/>
  <c r="P16" i="2"/>
  <c r="O16" i="2"/>
  <c r="N16" i="2"/>
  <c r="M16" i="2"/>
  <c r="L16" i="2"/>
  <c r="K16" i="2"/>
  <c r="J16" i="2"/>
  <c r="I16" i="2"/>
  <c r="H16" i="2"/>
  <c r="G16" i="2"/>
  <c r="F16" i="2"/>
  <c r="E16" i="2"/>
  <c r="AH14" i="2"/>
  <c r="AG14" i="2"/>
  <c r="AF14" i="2"/>
  <c r="AE14" i="2"/>
  <c r="AD14" i="2"/>
  <c r="AC14" i="2"/>
  <c r="AB14" i="2"/>
  <c r="AA14" i="2"/>
  <c r="Z14" i="2"/>
  <c r="Y14" i="2"/>
  <c r="X14" i="2"/>
  <c r="W14" i="2"/>
  <c r="V14" i="2"/>
  <c r="U14" i="2"/>
  <c r="T14" i="2"/>
  <c r="S14" i="2"/>
  <c r="R14" i="2"/>
  <c r="Q14" i="2"/>
  <c r="P14" i="2"/>
  <c r="O14" i="2"/>
  <c r="N14" i="2"/>
  <c r="M14" i="2"/>
  <c r="L14" i="2"/>
  <c r="K14" i="2"/>
  <c r="J14" i="2"/>
  <c r="I14" i="2"/>
  <c r="H14" i="2"/>
  <c r="G14" i="2"/>
  <c r="F14" i="2"/>
  <c r="E14" i="2"/>
  <c r="AH13" i="2"/>
  <c r="AG13" i="2"/>
  <c r="AF13" i="2"/>
  <c r="AE13" i="2"/>
  <c r="AD13" i="2"/>
  <c r="AC13" i="2"/>
  <c r="AB13" i="2"/>
  <c r="AA13" i="2"/>
  <c r="Z13" i="2"/>
  <c r="Y13" i="2"/>
  <c r="X13" i="2"/>
  <c r="W13" i="2"/>
  <c r="V13" i="2"/>
  <c r="U13" i="2"/>
  <c r="T13" i="2"/>
  <c r="S13" i="2"/>
  <c r="R13" i="2"/>
  <c r="Q13" i="2"/>
  <c r="P13" i="2"/>
  <c r="O13" i="2"/>
  <c r="N13" i="2"/>
  <c r="M13" i="2"/>
  <c r="L13" i="2"/>
  <c r="K13" i="2"/>
  <c r="J13" i="2"/>
  <c r="I13" i="2"/>
  <c r="H13" i="2"/>
  <c r="G13" i="2"/>
  <c r="F13" i="2"/>
  <c r="E13" i="2"/>
  <c r="AH12" i="2"/>
  <c r="AG12" i="2"/>
  <c r="AF12" i="2"/>
  <c r="AE12" i="2"/>
  <c r="AD12" i="2"/>
  <c r="AC12" i="2"/>
  <c r="AB12" i="2"/>
  <c r="AA12" i="2"/>
  <c r="Z12" i="2"/>
  <c r="Y12" i="2"/>
  <c r="X12" i="2"/>
  <c r="W12" i="2"/>
  <c r="V12" i="2"/>
  <c r="U12" i="2"/>
  <c r="T12" i="2"/>
  <c r="S12" i="2"/>
  <c r="R12" i="2"/>
  <c r="Q12" i="2"/>
  <c r="P12" i="2"/>
  <c r="O12" i="2"/>
  <c r="N12" i="2"/>
  <c r="M12" i="2"/>
  <c r="L12" i="2"/>
  <c r="K12" i="2"/>
  <c r="J12" i="2"/>
  <c r="I12" i="2"/>
  <c r="H12" i="2"/>
  <c r="G12" i="2"/>
  <c r="F12" i="2"/>
  <c r="E12" i="2"/>
  <c r="AH11" i="2"/>
  <c r="AG11" i="2"/>
  <c r="AF11" i="2"/>
  <c r="AE11" i="2"/>
  <c r="AD11" i="2"/>
  <c r="AC11" i="2"/>
  <c r="AB11" i="2"/>
  <c r="AA11" i="2"/>
  <c r="Z11" i="2"/>
  <c r="Y11" i="2"/>
  <c r="X11" i="2"/>
  <c r="W11" i="2"/>
  <c r="V11" i="2"/>
  <c r="U11" i="2"/>
  <c r="T11" i="2"/>
  <c r="S11" i="2"/>
  <c r="R11" i="2"/>
  <c r="Q11" i="2"/>
  <c r="P11" i="2"/>
  <c r="O11" i="2"/>
  <c r="N11" i="2"/>
  <c r="M11" i="2"/>
  <c r="L11" i="2"/>
  <c r="K11" i="2"/>
  <c r="J11" i="2"/>
  <c r="I11" i="2"/>
  <c r="H11" i="2"/>
  <c r="G11" i="2"/>
  <c r="F11" i="2"/>
  <c r="E11" i="2"/>
  <c r="AH7" i="2"/>
  <c r="AG7" i="2"/>
  <c r="AF7" i="2"/>
  <c r="AE7" i="2"/>
  <c r="AD7" i="2"/>
  <c r="AC7" i="2"/>
  <c r="AB7" i="2"/>
  <c r="AA7" i="2"/>
  <c r="Z7" i="2"/>
  <c r="Y7" i="2"/>
  <c r="X7" i="2"/>
  <c r="W7" i="2"/>
  <c r="V7" i="2"/>
  <c r="U7" i="2"/>
  <c r="T7" i="2"/>
  <c r="S7" i="2"/>
  <c r="R7" i="2"/>
  <c r="Q7" i="2"/>
  <c r="P7" i="2"/>
  <c r="O7" i="2"/>
  <c r="N7" i="2"/>
  <c r="M7" i="2"/>
  <c r="L7" i="2"/>
  <c r="K7" i="2"/>
  <c r="J7" i="2"/>
  <c r="I7" i="2"/>
  <c r="H7" i="2"/>
  <c r="G7" i="2"/>
  <c r="F7" i="2"/>
  <c r="E7" i="2"/>
  <c r="AH6" i="2"/>
  <c r="AG6" i="2"/>
  <c r="AF6" i="2"/>
  <c r="AE6" i="2"/>
  <c r="AD6" i="2"/>
  <c r="AC6" i="2"/>
  <c r="AB6" i="2"/>
  <c r="AA6" i="2"/>
  <c r="Z6" i="2"/>
  <c r="Y6" i="2"/>
  <c r="X6" i="2"/>
  <c r="W6" i="2"/>
  <c r="V6" i="2"/>
  <c r="U6" i="2"/>
  <c r="T6" i="2"/>
  <c r="S6" i="2"/>
  <c r="R6" i="2"/>
  <c r="Q6" i="2"/>
  <c r="P6" i="2"/>
  <c r="O6" i="2"/>
  <c r="N6" i="2"/>
  <c r="M6" i="2"/>
  <c r="L6" i="2"/>
  <c r="K6" i="2"/>
  <c r="J6" i="2"/>
  <c r="I6" i="2"/>
  <c r="H6" i="2"/>
  <c r="G6" i="2"/>
  <c r="F6" i="2"/>
  <c r="E6" i="2"/>
  <c r="AH5" i="2"/>
  <c r="AG5" i="2"/>
  <c r="AF5" i="2"/>
  <c r="AE5" i="2"/>
  <c r="AD5" i="2"/>
  <c r="AC5" i="2"/>
  <c r="AB5" i="2"/>
  <c r="AA5" i="2"/>
  <c r="Z5" i="2"/>
  <c r="Y5" i="2"/>
  <c r="X5" i="2"/>
  <c r="W5" i="2"/>
  <c r="V5" i="2"/>
  <c r="U5" i="2"/>
  <c r="T5" i="2"/>
  <c r="S5" i="2"/>
  <c r="R5" i="2"/>
  <c r="Q5" i="2"/>
  <c r="P5" i="2"/>
  <c r="O5" i="2"/>
  <c r="N5" i="2"/>
  <c r="M5" i="2"/>
  <c r="L5" i="2"/>
  <c r="K5" i="2"/>
  <c r="J5" i="2"/>
  <c r="I5" i="2"/>
  <c r="H5" i="2"/>
  <c r="G5" i="2"/>
  <c r="F5" i="2"/>
  <c r="E5" i="2"/>
  <c r="AH4" i="2"/>
  <c r="AG4" i="2"/>
  <c r="AF4" i="2"/>
  <c r="AE4" i="2"/>
  <c r="AD4" i="2"/>
  <c r="AC4" i="2"/>
  <c r="AB4" i="2"/>
  <c r="AA4" i="2"/>
  <c r="Z4" i="2"/>
  <c r="Y4" i="2"/>
  <c r="X4" i="2"/>
  <c r="W4" i="2"/>
  <c r="V4" i="2"/>
  <c r="U4" i="2"/>
  <c r="T4" i="2"/>
  <c r="S4" i="2"/>
  <c r="R4" i="2"/>
  <c r="Q4" i="2"/>
  <c r="P4" i="2"/>
  <c r="O4" i="2"/>
  <c r="N4" i="2"/>
  <c r="M4" i="2"/>
  <c r="L4" i="2"/>
  <c r="K4" i="2"/>
  <c r="J4" i="2"/>
  <c r="I4" i="2"/>
  <c r="H4" i="2"/>
  <c r="G4" i="2"/>
  <c r="F4" i="2"/>
  <c r="E4" i="2"/>
  <c r="AH3" i="2"/>
  <c r="AG3" i="2"/>
  <c r="AF3" i="2"/>
  <c r="AE3" i="2"/>
  <c r="AD3" i="2"/>
  <c r="AC3" i="2"/>
  <c r="AB3" i="2"/>
  <c r="AA3" i="2"/>
  <c r="Z3" i="2"/>
  <c r="Y3" i="2"/>
  <c r="X3" i="2"/>
  <c r="W3" i="2"/>
  <c r="V3" i="2"/>
  <c r="U3" i="2"/>
  <c r="T3" i="2"/>
  <c r="S3" i="2"/>
  <c r="R3" i="2"/>
  <c r="Q3" i="2"/>
  <c r="P3" i="2"/>
  <c r="O3" i="2"/>
  <c r="N3" i="2"/>
  <c r="M3" i="2"/>
  <c r="L3" i="2"/>
  <c r="K3" i="2"/>
  <c r="J3" i="2"/>
  <c r="I3" i="2"/>
  <c r="H3" i="2"/>
  <c r="G3" i="2"/>
  <c r="F3" i="2"/>
  <c r="E3" i="2"/>
  <c r="J36" i="37" l="1"/>
  <c r="V36" i="37"/>
  <c r="Y36" i="37"/>
  <c r="AB36" i="37"/>
  <c r="AE36" i="37"/>
  <c r="AH36" i="37"/>
  <c r="AK36" i="37"/>
  <c r="AN36" i="37"/>
  <c r="AQ36" i="37"/>
  <c r="K36" i="37"/>
  <c r="W36" i="37"/>
  <c r="Z36" i="37"/>
  <c r="AC36" i="37"/>
  <c r="AF36" i="37"/>
  <c r="AI36" i="37"/>
  <c r="AL36" i="37"/>
  <c r="AO36" i="37"/>
  <c r="C22" i="1"/>
  <c r="C11" i="1"/>
  <c r="C14" i="1"/>
  <c r="C15" i="1"/>
  <c r="C16" i="1"/>
  <c r="C17" i="1"/>
  <c r="C18" i="1"/>
  <c r="C19" i="1"/>
  <c r="C20" i="1"/>
  <c r="C21" i="1"/>
  <c r="I36" i="37"/>
  <c r="J41" i="37"/>
  <c r="K41" i="37"/>
  <c r="L41" i="37"/>
  <c r="V41" i="37"/>
  <c r="W41" i="37"/>
  <c r="X41" i="37"/>
  <c r="Y41" i="37"/>
  <c r="Z41" i="37"/>
  <c r="AA41" i="37"/>
  <c r="AB41" i="37"/>
  <c r="AC41" i="37"/>
  <c r="AD41" i="37"/>
  <c r="AE41" i="37"/>
  <c r="AF41" i="37"/>
  <c r="AG41" i="37"/>
  <c r="AH41" i="37"/>
  <c r="AI41" i="37"/>
  <c r="AJ41" i="37"/>
  <c r="AK41" i="37"/>
  <c r="AL41" i="37"/>
  <c r="AM41" i="37"/>
  <c r="AN41" i="37"/>
  <c r="AO41" i="37"/>
  <c r="AP41" i="37"/>
  <c r="AQ41" i="37"/>
  <c r="F41" i="37"/>
  <c r="N41" i="37" s="1"/>
  <c r="C10" i="1"/>
  <c r="C12" i="1"/>
  <c r="C13" i="1"/>
  <c r="C23" i="1"/>
  <c r="P41" i="37"/>
  <c r="AQ40" i="37"/>
  <c r="AP40" i="37"/>
  <c r="AO40" i="37"/>
  <c r="AN40" i="37"/>
  <c r="AM40" i="37"/>
  <c r="AL40" i="37"/>
  <c r="AK40" i="37"/>
  <c r="AJ40" i="37"/>
  <c r="AI40" i="37"/>
  <c r="AH40" i="37"/>
  <c r="AG40" i="37"/>
  <c r="AF40" i="37"/>
  <c r="AE40" i="37"/>
  <c r="AD40" i="37"/>
  <c r="AC40" i="37"/>
  <c r="AB40" i="37"/>
  <c r="AA40" i="37"/>
  <c r="Z40" i="37"/>
  <c r="Y40" i="37"/>
  <c r="X40" i="37"/>
  <c r="W40" i="37"/>
  <c r="V40" i="37"/>
  <c r="L40" i="37"/>
  <c r="K40" i="37"/>
  <c r="J40" i="37"/>
  <c r="F40" i="37"/>
  <c r="AQ39" i="37"/>
  <c r="AP39" i="37"/>
  <c r="AO39" i="37"/>
  <c r="AN39" i="37"/>
  <c r="AM39" i="37"/>
  <c r="AL39" i="37"/>
  <c r="AK39" i="37"/>
  <c r="AJ39" i="37"/>
  <c r="AI39" i="37"/>
  <c r="AH39" i="37"/>
  <c r="AG39" i="37"/>
  <c r="AF39" i="37"/>
  <c r="AE39" i="37"/>
  <c r="AD39" i="37"/>
  <c r="AC39" i="37"/>
  <c r="AB39" i="37"/>
  <c r="AA39" i="37"/>
  <c r="Z39" i="37"/>
  <c r="Y39" i="37"/>
  <c r="X39" i="37"/>
  <c r="W39" i="37"/>
  <c r="V39" i="37"/>
  <c r="L39" i="37"/>
  <c r="K39" i="37"/>
  <c r="J39" i="37"/>
  <c r="F39" i="37"/>
  <c r="I39" i="37" s="1"/>
  <c r="AQ38" i="37"/>
  <c r="AP38" i="37"/>
  <c r="AO38" i="37"/>
  <c r="AN38" i="37"/>
  <c r="AM38" i="37"/>
  <c r="AL38" i="37"/>
  <c r="AK38" i="37"/>
  <c r="AJ38" i="37"/>
  <c r="AI38" i="37"/>
  <c r="AH38" i="37"/>
  <c r="AG38" i="37"/>
  <c r="AF38" i="37"/>
  <c r="AE38" i="37"/>
  <c r="AD38" i="37"/>
  <c r="AC38" i="37"/>
  <c r="AB38" i="37"/>
  <c r="AA38" i="37"/>
  <c r="Z38" i="37"/>
  <c r="Y38" i="37"/>
  <c r="X38" i="37"/>
  <c r="W38" i="37"/>
  <c r="V38" i="37"/>
  <c r="L38" i="37"/>
  <c r="K38" i="37"/>
  <c r="J38" i="37"/>
  <c r="F38" i="37"/>
  <c r="I38" i="37" s="1"/>
  <c r="AQ37" i="37"/>
  <c r="AP37" i="37"/>
  <c r="AO37" i="37"/>
  <c r="AN37" i="37"/>
  <c r="AM37" i="37"/>
  <c r="AL37" i="37"/>
  <c r="AK37" i="37"/>
  <c r="AJ37" i="37"/>
  <c r="AI37" i="37"/>
  <c r="AH37" i="37"/>
  <c r="AG37" i="37"/>
  <c r="AF37" i="37"/>
  <c r="AE37" i="37"/>
  <c r="AD37" i="37"/>
  <c r="AC37" i="37"/>
  <c r="AB37" i="37"/>
  <c r="AA37" i="37"/>
  <c r="Z37" i="37"/>
  <c r="Y37" i="37"/>
  <c r="X37" i="37"/>
  <c r="W37" i="37"/>
  <c r="V37" i="37"/>
  <c r="L37" i="37"/>
  <c r="K37" i="37"/>
  <c r="J37" i="37"/>
  <c r="F37" i="37"/>
  <c r="M37" i="37" s="1"/>
  <c r="F36" i="37"/>
  <c r="I40" i="37"/>
  <c r="I37" i="37"/>
  <c r="M40" i="37"/>
  <c r="M39" i="37"/>
  <c r="M38" i="37"/>
  <c r="M36" i="37"/>
  <c r="N40" i="37"/>
  <c r="N39" i="37"/>
  <c r="N38" i="37"/>
  <c r="N36" i="37"/>
  <c r="O40" i="37"/>
  <c r="O39" i="37"/>
  <c r="O38" i="37"/>
  <c r="O36" i="37"/>
  <c r="P40" i="37"/>
  <c r="P39" i="37"/>
  <c r="P38" i="37"/>
  <c r="P36" i="37"/>
  <c r="Q40" i="37"/>
  <c r="Q39" i="37"/>
  <c r="Q38" i="37"/>
  <c r="Q37" i="37"/>
  <c r="Q36" i="37"/>
  <c r="R40" i="37"/>
  <c r="R39" i="37"/>
  <c r="R38" i="37"/>
  <c r="R37" i="37"/>
  <c r="R36" i="37"/>
  <c r="S40" i="37"/>
  <c r="S39" i="37"/>
  <c r="S38" i="37"/>
  <c r="S36" i="37"/>
  <c r="T40" i="37"/>
  <c r="T39" i="37"/>
  <c r="T38" i="37"/>
  <c r="T37" i="37"/>
  <c r="T36" i="37"/>
  <c r="U40" i="37"/>
  <c r="U39" i="37"/>
  <c r="U38" i="37"/>
  <c r="U37" i="37"/>
  <c r="U36" i="37"/>
  <c r="F5" i="35"/>
  <c r="M38" i="35"/>
  <c r="M37" i="35"/>
  <c r="M36" i="35"/>
  <c r="M35" i="35"/>
  <c r="M34" i="35"/>
  <c r="M33" i="35"/>
  <c r="M32" i="35"/>
  <c r="M31" i="35"/>
  <c r="M30" i="35"/>
  <c r="M29" i="35"/>
  <c r="M28" i="35"/>
  <c r="M27" i="35"/>
  <c r="M26" i="35"/>
  <c r="M25" i="35"/>
  <c r="M24" i="35"/>
  <c r="M23" i="35"/>
  <c r="M22" i="35"/>
  <c r="M21" i="35"/>
  <c r="M20" i="35"/>
  <c r="M19" i="35"/>
  <c r="M18" i="35"/>
  <c r="M17" i="35"/>
  <c r="M7" i="35"/>
  <c r="M6" i="35"/>
  <c r="M5" i="35"/>
  <c r="N38" i="35"/>
  <c r="N37" i="35"/>
  <c r="N36" i="35"/>
  <c r="N35" i="35"/>
  <c r="N34" i="35"/>
  <c r="N33" i="35"/>
  <c r="N32" i="35"/>
  <c r="N31" i="35"/>
  <c r="N30" i="35"/>
  <c r="N29" i="35"/>
  <c r="N28" i="35"/>
  <c r="N27" i="35"/>
  <c r="N26" i="35"/>
  <c r="N25" i="35"/>
  <c r="N24" i="35"/>
  <c r="N23" i="35"/>
  <c r="N22" i="35"/>
  <c r="N21" i="35"/>
  <c r="N20" i="35"/>
  <c r="N19" i="35"/>
  <c r="N18" i="35"/>
  <c r="N17" i="35"/>
  <c r="N7" i="35"/>
  <c r="N6" i="35"/>
  <c r="N5" i="35"/>
  <c r="O38" i="35"/>
  <c r="O37" i="35"/>
  <c r="O36" i="35"/>
  <c r="O35" i="35"/>
  <c r="O34" i="35"/>
  <c r="O33" i="35"/>
  <c r="O32" i="35"/>
  <c r="O31" i="35"/>
  <c r="O30" i="35"/>
  <c r="O29" i="35"/>
  <c r="O28" i="35"/>
  <c r="O27" i="35"/>
  <c r="O26" i="35"/>
  <c r="O25" i="35"/>
  <c r="O24" i="35"/>
  <c r="O23" i="35"/>
  <c r="O22" i="35"/>
  <c r="O21" i="35"/>
  <c r="O20" i="35"/>
  <c r="O19" i="35"/>
  <c r="O18" i="35"/>
  <c r="O17" i="35"/>
  <c r="O7" i="35"/>
  <c r="O6" i="35"/>
  <c r="O5" i="35"/>
  <c r="P38" i="35"/>
  <c r="P37" i="35"/>
  <c r="P36" i="35"/>
  <c r="P35" i="35"/>
  <c r="P34" i="35"/>
  <c r="P33" i="35"/>
  <c r="P32" i="35"/>
  <c r="P31" i="35"/>
  <c r="P30" i="35"/>
  <c r="P29" i="35"/>
  <c r="P28" i="35"/>
  <c r="P27" i="35"/>
  <c r="P26" i="35"/>
  <c r="P25" i="35"/>
  <c r="P24" i="35"/>
  <c r="P23" i="35"/>
  <c r="P22" i="35"/>
  <c r="P21" i="35"/>
  <c r="P20" i="35"/>
  <c r="P19" i="35"/>
  <c r="P18" i="35"/>
  <c r="P17" i="35"/>
  <c r="P7" i="35"/>
  <c r="P6" i="35"/>
  <c r="P5" i="35"/>
  <c r="AP41" i="3"/>
  <c r="AO41" i="3"/>
  <c r="AN41" i="3"/>
  <c r="AM41" i="3"/>
  <c r="AL41" i="3"/>
  <c r="AK41" i="3"/>
  <c r="AJ41" i="3"/>
  <c r="AI41" i="3"/>
  <c r="AH41" i="3"/>
  <c r="AG41" i="3"/>
  <c r="AF41" i="3"/>
  <c r="AE41" i="3"/>
  <c r="AD41" i="3"/>
  <c r="AC41" i="3"/>
  <c r="AB41" i="3"/>
  <c r="AA41" i="3"/>
  <c r="Z41" i="3"/>
  <c r="Y41" i="3"/>
  <c r="X41" i="3"/>
  <c r="W41" i="3"/>
  <c r="V41" i="3"/>
  <c r="U41" i="3"/>
  <c r="K41" i="3"/>
  <c r="J41" i="3"/>
  <c r="I41" i="3"/>
  <c r="AP40" i="3"/>
  <c r="AO40" i="3"/>
  <c r="AN40" i="3"/>
  <c r="AM40" i="3"/>
  <c r="AL40" i="3"/>
  <c r="AK40" i="3"/>
  <c r="AJ40" i="3"/>
  <c r="AI40" i="3"/>
  <c r="AH40" i="3"/>
  <c r="AG40" i="3"/>
  <c r="AF40" i="3"/>
  <c r="AE40" i="3"/>
  <c r="AD40" i="3"/>
  <c r="AC40" i="3"/>
  <c r="AB40" i="3"/>
  <c r="AA40" i="3"/>
  <c r="Z40" i="3"/>
  <c r="Y40" i="3"/>
  <c r="X40" i="3"/>
  <c r="W40" i="3"/>
  <c r="V40" i="3"/>
  <c r="U40" i="3"/>
  <c r="K40" i="3"/>
  <c r="J40" i="3"/>
  <c r="I40" i="3"/>
  <c r="AP39" i="3"/>
  <c r="AO39" i="3"/>
  <c r="AN39" i="3"/>
  <c r="AM39" i="3"/>
  <c r="AL39" i="3"/>
  <c r="AK39" i="3"/>
  <c r="AJ39" i="3"/>
  <c r="AI39" i="3"/>
  <c r="AH39" i="3"/>
  <c r="AG39" i="3"/>
  <c r="AF39" i="3"/>
  <c r="AE39" i="3"/>
  <c r="AD39" i="3"/>
  <c r="AC39" i="3"/>
  <c r="AB39" i="3"/>
  <c r="AA39" i="3"/>
  <c r="Z39" i="3"/>
  <c r="Y39" i="3"/>
  <c r="X39" i="3"/>
  <c r="W39" i="3"/>
  <c r="V39" i="3"/>
  <c r="U39" i="3"/>
  <c r="K39" i="3"/>
  <c r="J39" i="3"/>
  <c r="I39" i="3"/>
  <c r="AP38" i="3"/>
  <c r="AO38" i="3"/>
  <c r="AN38" i="3"/>
  <c r="AM38" i="3"/>
  <c r="AL38" i="3"/>
  <c r="AK38" i="3"/>
  <c r="AJ38" i="3"/>
  <c r="AI38" i="3"/>
  <c r="AH38" i="3"/>
  <c r="AG38" i="3"/>
  <c r="AF38" i="3"/>
  <c r="AE38" i="3"/>
  <c r="AD38" i="3"/>
  <c r="AC38" i="3"/>
  <c r="AB38" i="3"/>
  <c r="AA38" i="3"/>
  <c r="Z38" i="3"/>
  <c r="Y38" i="3"/>
  <c r="X38" i="3"/>
  <c r="W38" i="3"/>
  <c r="V38" i="3"/>
  <c r="U38" i="3"/>
  <c r="K38" i="3"/>
  <c r="J38" i="3"/>
  <c r="I38" i="3"/>
  <c r="E37" i="3"/>
  <c r="S41" i="3"/>
  <c r="T41" i="3"/>
  <c r="H41" i="3"/>
  <c r="L41" i="3"/>
  <c r="M41" i="3"/>
  <c r="N41" i="3"/>
  <c r="O41" i="3"/>
  <c r="P41" i="3"/>
  <c r="Q41" i="3"/>
  <c r="E38" i="3"/>
  <c r="E39" i="3"/>
  <c r="E40" i="3"/>
  <c r="T37" i="3"/>
  <c r="S37" i="3"/>
  <c r="Q37" i="3"/>
  <c r="R37" i="3"/>
  <c r="AE37" i="3"/>
  <c r="AF37" i="3"/>
  <c r="AG37" i="3"/>
  <c r="I37" i="3"/>
  <c r="AA37" i="3"/>
  <c r="AM37" i="3"/>
  <c r="O37" i="3"/>
  <c r="AB37" i="3"/>
  <c r="AO37" i="3"/>
  <c r="AP37" i="3"/>
  <c r="P37" i="3"/>
  <c r="U37" i="3"/>
  <c r="AN37" i="3"/>
  <c r="AC37" i="3"/>
  <c r="AD37" i="3"/>
  <c r="AH37" i="3"/>
  <c r="J37" i="3"/>
  <c r="V37" i="3"/>
  <c r="K37" i="3"/>
  <c r="W37" i="3"/>
  <c r="AI37" i="3"/>
  <c r="L37" i="3"/>
  <c r="X37" i="3"/>
  <c r="AJ37" i="3"/>
  <c r="M37" i="3"/>
  <c r="Y37" i="3"/>
  <c r="AK37" i="3"/>
  <c r="N37" i="3"/>
  <c r="Z37" i="3"/>
  <c r="AL37" i="3"/>
  <c r="S37" i="37" l="1"/>
  <c r="P37" i="37"/>
  <c r="N37" i="37"/>
  <c r="U41" i="37"/>
  <c r="M41" i="37"/>
  <c r="S41" i="37"/>
  <c r="R41" i="37"/>
  <c r="O41" i="37"/>
  <c r="I41" i="37"/>
  <c r="T41" i="37"/>
  <c r="Q41" i="37"/>
  <c r="O37" i="37"/>
  <c r="D3" i="1"/>
  <c r="D6" i="1"/>
  <c r="C6" i="1"/>
  <c r="D5" i="1"/>
  <c r="C5" i="1"/>
  <c r="D4" i="1"/>
  <c r="C4" i="1"/>
  <c r="C3" i="1"/>
  <c r="Q40" i="3"/>
  <c r="T40" i="3"/>
  <c r="P40" i="3"/>
  <c r="R40" i="3"/>
  <c r="O40" i="3"/>
  <c r="N40" i="3"/>
  <c r="M40" i="3"/>
  <c r="L40" i="3"/>
  <c r="H40" i="3"/>
  <c r="S40" i="3"/>
  <c r="R38" i="3"/>
  <c r="Q38" i="3"/>
  <c r="H38" i="3"/>
  <c r="N38" i="3"/>
  <c r="T38" i="3"/>
  <c r="S38" i="3"/>
  <c r="P38" i="3"/>
  <c r="O38" i="3"/>
  <c r="M38" i="3"/>
  <c r="L38" i="3"/>
  <c r="P39" i="3"/>
  <c r="O39" i="3"/>
  <c r="T39" i="3"/>
  <c r="N39" i="3"/>
  <c r="M39" i="3"/>
  <c r="L39" i="3"/>
  <c r="H39" i="3"/>
  <c r="S39" i="3"/>
  <c r="R39" i="3"/>
  <c r="Q39" i="3"/>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<sst xmlns="http://schemas.openxmlformats.org/spreadsheetml/2006/main" count="7388" uniqueCount="557">
  <si>
    <t>Company Target Prioritization</t>
  </si>
  <si>
    <t>Industry</t>
  </si>
  <si>
    <t>Average Grading</t>
  </si>
  <si>
    <t>Average grading if willing to use 3rd Party</t>
  </si>
  <si>
    <t>Phase 1</t>
  </si>
  <si>
    <t>Low data maturity, limited data exchange</t>
  </si>
  <si>
    <t>Manufacturer</t>
  </si>
  <si>
    <t>Phase 2</t>
  </si>
  <si>
    <t>Medium data maturity, some data exchange</t>
  </si>
  <si>
    <t>Specialty Retail</t>
  </si>
  <si>
    <t>Phase 3</t>
  </si>
  <si>
    <t>High data maturity, existing data exchange</t>
  </si>
  <si>
    <t>Wholesaler</t>
  </si>
  <si>
    <t>Retailer</t>
  </si>
  <si>
    <t>1=Low maturity</t>
  </si>
  <si>
    <t>5=high maturity</t>
  </si>
  <si>
    <t>0-10</t>
  </si>
  <si>
    <t>Company</t>
  </si>
  <si>
    <t>Data Maturity</t>
  </si>
  <si>
    <t>Collaboration</t>
  </si>
  <si>
    <t>Third Party</t>
  </si>
  <si>
    <t>Grade</t>
  </si>
  <si>
    <t>Notes</t>
  </si>
  <si>
    <t>Starting Phase</t>
  </si>
  <si>
    <t>Contact</t>
  </si>
  <si>
    <t>Familia Pharmacies</t>
  </si>
  <si>
    <t>Edgard &amp; Cooper</t>
  </si>
  <si>
    <t>Wellness Pet</t>
  </si>
  <si>
    <t>Arla</t>
  </si>
  <si>
    <t>Conway</t>
  </si>
  <si>
    <t>Gondola wholesale market data</t>
  </si>
  <si>
    <t>No Go</t>
  </si>
  <si>
    <t>Solucious</t>
  </si>
  <si>
    <t xml:space="preserve">Piloting already with a company (Gondola? ) </t>
  </si>
  <si>
    <t>Exited Nielsen data sharing 20 years ago</t>
  </si>
  <si>
    <t>Hanos</t>
  </si>
  <si>
    <t>Limiting Company Policy</t>
  </si>
  <si>
    <t>Spadel</t>
  </si>
  <si>
    <t>Target audience:</t>
  </si>
  <si>
    <t>1) Standalone</t>
  </si>
  <si>
    <t>1) Combined</t>
  </si>
  <si>
    <t xml:space="preserve">2) Combined </t>
  </si>
  <si>
    <t>Tool Target Prioritization</t>
  </si>
  <si>
    <t>Average Score by Industry</t>
  </si>
  <si>
    <t>Percentage by Industry</t>
  </si>
  <si>
    <t>Section</t>
  </si>
  <si>
    <t>Question ID</t>
  </si>
  <si>
    <t>Question</t>
  </si>
  <si>
    <t>Range</t>
  </si>
  <si>
    <t>Value</t>
  </si>
  <si>
    <t>%</t>
  </si>
  <si>
    <t>Baseline</t>
  </si>
  <si>
    <t>B1_INTEREST</t>
  </si>
  <si>
    <t>Interest (1–10)</t>
  </si>
  <si>
    <t>0-1</t>
  </si>
  <si>
    <t>Prioiritize Manufacturer &gt; Wholesaer &gt; Specialty Retailer &gt;  Retail</t>
  </si>
  <si>
    <t>B2_SHARING</t>
  </si>
  <si>
    <t>Shares data (0/1)</t>
  </si>
  <si>
    <t xml:space="preserve">Everyone shares some sort of data in the market. </t>
  </si>
  <si>
    <t>B3_MONETIZE</t>
  </si>
  <si>
    <t>Monetizes data (0/1)</t>
  </si>
  <si>
    <t>Data monetization is a critical strategic choice for retail and manufacturers, and some specialty retailers</t>
  </si>
  <si>
    <t>B4_STRATEGIC</t>
  </si>
  <si>
    <t>Strategic reasons (0/1)</t>
  </si>
  <si>
    <t xml:space="preserve">Data sharing is a strategic choice. </t>
  </si>
  <si>
    <t>Maturity</t>
  </si>
  <si>
    <t>M1_AUTOMATED</t>
  </si>
  <si>
    <t>Automated vs manual</t>
  </si>
  <si>
    <t>0-5</t>
  </si>
  <si>
    <t>M2_REALTIME</t>
  </si>
  <si>
    <t>Real-time vs lagging</t>
  </si>
  <si>
    <t>M3_STRATEGIC</t>
  </si>
  <si>
    <t>Ops vs strategic focus</t>
  </si>
  <si>
    <t>M4_BREADTH</t>
  </si>
  <si>
    <t>All clients vs selective</t>
  </si>
  <si>
    <t>M5_DATATYPES</t>
  </si>
  <si>
    <t>Breadth of data</t>
  </si>
  <si>
    <t>M6_TRUST</t>
  </si>
  <si>
    <t>Trust in data</t>
  </si>
  <si>
    <t>M7_BARRIERS</t>
  </si>
  <si>
    <t>Readiness/barriers</t>
  </si>
  <si>
    <t>M8_IMPACT</t>
  </si>
  <si>
    <t>Operational impact</t>
  </si>
  <si>
    <t>The operational inefficiencies have higher impact (to be tested further) on the retail side &gt; sell-in opportunities missed</t>
  </si>
  <si>
    <t>M9_WILLINGNESS</t>
  </si>
  <si>
    <t>Willingness (synthesis)</t>
  </si>
  <si>
    <t xml:space="preserve">Manufacturers have higher willingness to collaborate on data &amp; insights. Should be the primary contact to push for collaboration. </t>
  </si>
  <si>
    <t>Value Unlock</t>
  </si>
  <si>
    <t>SV1_PRICING</t>
  </si>
  <si>
    <t>Pricing</t>
  </si>
  <si>
    <t>Value driver #5</t>
  </si>
  <si>
    <t>SV2_PROMOTIONS</t>
  </si>
  <si>
    <t>Promotions</t>
  </si>
  <si>
    <t>Value driver #2</t>
  </si>
  <si>
    <t>SV3_SUPPLYCHAIN</t>
  </si>
  <si>
    <t>Supply Chain</t>
  </si>
  <si>
    <t>Value driver #1</t>
  </si>
  <si>
    <t>SV4_CATEGORY</t>
  </si>
  <si>
    <t>Category Planning</t>
  </si>
  <si>
    <t>Value driver #3</t>
  </si>
  <si>
    <t>SV5_DEMAND</t>
  </si>
  <si>
    <t>Demand Forecasting</t>
  </si>
  <si>
    <t>Value driver #4</t>
  </si>
  <si>
    <t>SV6_ACCOUNT</t>
  </si>
  <si>
    <t>Accountability</t>
  </si>
  <si>
    <t>Value driver #7</t>
  </si>
  <si>
    <t>SV7_OPS</t>
  </si>
  <si>
    <t>Operationalization</t>
  </si>
  <si>
    <t>Value driver #6</t>
  </si>
  <si>
    <t>Concerns</t>
  </si>
  <si>
    <t>SC1_DATASENS</t>
  </si>
  <si>
    <t>Data Sensitivity</t>
  </si>
  <si>
    <t>Concern #1</t>
  </si>
  <si>
    <t>SC2_COMPLIANCE</t>
  </si>
  <si>
    <t>Compliance</t>
  </si>
  <si>
    <t>Concern #2</t>
  </si>
  <si>
    <t>SC3_TRUST</t>
  </si>
  <si>
    <t>Trust Issues</t>
  </si>
  <si>
    <t>Concern #4</t>
  </si>
  <si>
    <t>SC4_DATAPROC</t>
  </si>
  <si>
    <t>Data Processing</t>
  </si>
  <si>
    <t>Concern #3</t>
  </si>
  <si>
    <t>Tool Features</t>
  </si>
  <si>
    <t>SF1_REALTIME</t>
  </si>
  <si>
    <t>Real-time exchange</t>
  </si>
  <si>
    <t>Feature #3</t>
  </si>
  <si>
    <t>SF2_ACCESS</t>
  </si>
  <si>
    <t>Equal access</t>
  </si>
  <si>
    <t>Feature #4</t>
  </si>
  <si>
    <t>SF3_UX</t>
  </si>
  <si>
    <t>Simple UX/UI</t>
  </si>
  <si>
    <t>Feature #2</t>
  </si>
  <si>
    <t>SF4_DECISION</t>
  </si>
  <si>
    <t>Joint decisions</t>
  </si>
  <si>
    <t>Feature #5</t>
  </si>
  <si>
    <t>SF5_MASKING</t>
  </si>
  <si>
    <t>Masking rules</t>
  </si>
  <si>
    <t>Feature #1</t>
  </si>
  <si>
    <t>Datasets</t>
  </si>
  <si>
    <t>SD1_TRENDS</t>
  </si>
  <si>
    <t>Global trends</t>
  </si>
  <si>
    <t>Collab data #2</t>
  </si>
  <si>
    <t>SD2_MARKET</t>
  </si>
  <si>
    <t>Market research</t>
  </si>
  <si>
    <t>Collab data #1</t>
  </si>
  <si>
    <t>SD3_CATEGORY</t>
  </si>
  <si>
    <t>Category perf.</t>
  </si>
  <si>
    <t>Collab data #3</t>
  </si>
  <si>
    <t>SD4_SHIPMENT</t>
  </si>
  <si>
    <t>Shipments</t>
  </si>
  <si>
    <t>Collab data #4</t>
  </si>
  <si>
    <t>SD5_LEAD</t>
  </si>
  <si>
    <t>Lead times</t>
  </si>
  <si>
    <t>Collab data #5</t>
  </si>
  <si>
    <t>SD6_CONJOINT</t>
  </si>
  <si>
    <t>Conjoint names</t>
  </si>
  <si>
    <t>Collab data #6</t>
  </si>
  <si>
    <t>Filter View — Companies as Rows</t>
  </si>
  <si>
    <t>Role</t>
  </si>
  <si>
    <t>Sub-Industry</t>
  </si>
  <si>
    <t>Size</t>
  </si>
  <si>
    <t>Country</t>
  </si>
  <si>
    <t>Company 1</t>
  </si>
  <si>
    <t>Company 2</t>
  </si>
  <si>
    <t>Company 3</t>
  </si>
  <si>
    <t>Company 4</t>
  </si>
  <si>
    <t>Company 5</t>
  </si>
  <si>
    <t>Company 6</t>
  </si>
  <si>
    <t>Company 7</t>
  </si>
  <si>
    <t>Company 8</t>
  </si>
  <si>
    <t>Company 9</t>
  </si>
  <si>
    <t>Company 10</t>
  </si>
  <si>
    <t>Company 11</t>
  </si>
  <si>
    <t>Company 12</t>
  </si>
  <si>
    <t>Company 13</t>
  </si>
  <si>
    <t>Company 14</t>
  </si>
  <si>
    <t>Company 15</t>
  </si>
  <si>
    <t>Company 16</t>
  </si>
  <si>
    <t>Company 17</t>
  </si>
  <si>
    <t>Company 18</t>
  </si>
  <si>
    <t>Company 19</t>
  </si>
  <si>
    <t>Company 20</t>
  </si>
  <si>
    <t>Company 21</t>
  </si>
  <si>
    <t>Company 22</t>
  </si>
  <si>
    <t>Company 23</t>
  </si>
  <si>
    <t>Company 24</t>
  </si>
  <si>
    <t>Company 25</t>
  </si>
  <si>
    <t>Company 26</t>
  </si>
  <si>
    <t>Company 27</t>
  </si>
  <si>
    <t>Company 28</t>
  </si>
  <si>
    <t>Company 29</t>
  </si>
  <si>
    <t>Company 30</t>
  </si>
  <si>
    <t>HOW TO FILTER</t>
  </si>
  <si>
    <t>Click ▼ on any column header to filter by Role, Industry, Size, Country. Each row = one interview. Stack filters freely.</t>
  </si>
  <si>
    <t>Totals</t>
  </si>
  <si>
    <t>Analysis — Individual Interviews</t>
  </si>
  <si>
    <t>FILTER DIMENSIONS</t>
  </si>
  <si>
    <t>Filter</t>
  </si>
  <si>
    <t>ROLE</t>
  </si>
  <si>
    <t>Interviewee Position</t>
  </si>
  <si>
    <t>INDUSTRY</t>
  </si>
  <si>
    <t>Company Industry</t>
  </si>
  <si>
    <t>SUB-INDUSTRY</t>
  </si>
  <si>
    <t>Company Sub-Industry</t>
  </si>
  <si>
    <t>COMPANY SIZE</t>
  </si>
  <si>
    <t>Company Size</t>
  </si>
  <si>
    <t>COUNTRY</t>
  </si>
  <si>
    <t>── BASELINE ──</t>
  </si>
  <si>
    <t>── MATURITY ──</t>
  </si>
  <si>
    <t>── VALUE UNLOCK ──</t>
  </si>
  <si>
    <t>── CONCERNS ──</t>
  </si>
  <si>
    <t>── TOOL FEATURES ──</t>
  </si>
  <si>
    <t>── DATASETS ──</t>
  </si>
  <si>
    <t>LEGEND</t>
  </si>
  <si>
    <t>Baseline: 1–10 or 0/1  |  Maturity: 1–5  |  Sub-items: 0/1  |  Use Filter View tab to filter by industry/role/country</t>
  </si>
  <si>
    <t>Tom &amp; Co — Juliette Hamer (Chief of Staff) — Int. 1</t>
  </si>
  <si>
    <t>Interviewee Details</t>
  </si>
  <si>
    <t>Response</t>
  </si>
  <si>
    <t>Coding</t>
  </si>
  <si>
    <t>Status</t>
  </si>
  <si>
    <t>Interviewee Name</t>
  </si>
  <si>
    <t>Juliette Hamer</t>
  </si>
  <si>
    <t>AY reviewed</t>
  </si>
  <si>
    <t>Chief of Staff</t>
  </si>
  <si>
    <t>Company (Real)</t>
  </si>
  <si>
    <t>Tom &amp; Co</t>
  </si>
  <si>
    <t>Company (Disguised)</t>
  </si>
  <si>
    <t>Interview Date</t>
  </si>
  <si>
    <t>13/05/2026</t>
  </si>
  <si>
    <t>Interviewer</t>
  </si>
  <si>
    <t>Aysegul &amp; Lore</t>
  </si>
  <si>
    <t>Interviewer Support</t>
  </si>
  <si>
    <t>Company Size (Turnover)</t>
  </si>
  <si>
    <t>Belgium</t>
  </si>
  <si>
    <t>── BASELINE BLOCK ──</t>
  </si>
  <si>
    <t>Are you interested in data collaboration?</t>
  </si>
  <si>
    <t>1-10</t>
  </si>
  <si>
    <t>1 = No interest — explicitly dismisses value of data collaboration</t>
  </si>
  <si>
    <t>10 = Fully committed — actively seeking deeper data collaboration</t>
  </si>
  <si>
    <t>Take the number directly from the interviewee's answer. If a range, take midpoint. If implicit, infer from overall tone (cross-check with M9).</t>
  </si>
  <si>
    <t>Changing from 6 to 7 as she seemed OK to be doing collaboration if the conditions were right</t>
  </si>
  <si>
    <t>↳ QUOTE</t>
  </si>
  <si>
    <t>"So yeah, I think it would be interesting depending on what level of data access they have... if they do have good data, I think it would be interesting to get them."
"The topic is always the cost. As you know, retailers don't have the biggest margins, and so everything we can get out of a negotiation cost-wise, helps us and everything we have to give back is a bit from the bottom."</t>
  </si>
  <si>
    <t>Do you share data currently?</t>
  </si>
  <si>
    <t>0/1</t>
  </si>
  <si>
    <t>0 = No — no active data sharing with any partners described</t>
  </si>
  <si>
    <t>1 = Yes — any form of data sharing mentioned, even informal or ad hoc</t>
  </si>
  <si>
    <t>1 = any active data sharing with partners mentioned, even informal. 0 = no sharing described whatsoever.</t>
  </si>
  <si>
    <t>Do you monetize your data currently?</t>
  </si>
  <si>
    <t>0 = No — data shared freely or not at all</t>
  </si>
  <si>
    <t>1 = Yes — describes payment or structured value exchange for data</t>
  </si>
  <si>
    <t>1 = interviewee describes receiving payment or structured value exchange. 0 = sharing is free, informal, or nonexistent.</t>
  </si>
  <si>
    <t>Do you not share/monetize due to strategic reasons?</t>
  </si>
  <si>
    <t>0 = No — technical inability or simply not considered</t>
  </si>
  <si>
    <t>1 = Yes — strategy or competitive sensitivity cited as PRIMARY reason for not sharing</t>
  </si>
  <si>
    <t>1 = strategy/competitive sensitivity cited as primary reason. 0 = technical inability or no mention. Score 1 only if this is THE primary reason.</t>
  </si>
  <si>
    <t>── DATA SHARING MATURITY (1–5) ──</t>
  </si>
  <si>
    <t>Scale</t>
  </si>
  <si>
    <t>SCORE</t>
  </si>
  <si>
    <t>Score = 1 means...</t>
  </si>
  <si>
    <t>Score = 5 means...</t>
  </si>
  <si>
    <t>Coding Guidance</t>
  </si>
  <si>
    <t>Is data sharing automated or manual?</t>
  </si>
  <si>
    <t>1–5</t>
  </si>
  <si>
    <t>1 = Fully manual — data pulled on request, no structured process</t>
  </si>
  <si>
    <t>5 = Fully automated — data flows via API or live dashboard, no human intervention</t>
  </si>
  <si>
    <t>Look for HOW data is extracted and delivered. Keywords: "we pull it manually" → 1-2; "scheduled reports" → 3; "API", "live dashboard" → 4-5.</t>
  </si>
  <si>
    <t>Is data sharing in real-time, or lagging?</t>
  </si>
  <si>
    <t>1 = Significant lag — data shared weekly/monthly or on request only</t>
  </si>
  <si>
    <t>5 = Real-time — data continuously updated and immediately accessible to partners</t>
  </si>
  <si>
    <t>Look for time references around data freshness. "real-time", "live" → 5; "daily batch" → 3-4; "weekly report", "on request" → 1-2.</t>
  </si>
  <si>
    <t>Is data sharing focused on operations or strategic planning?</t>
  </si>
  <si>
    <t>1 = Purely operational — shipments, lead times, stock levels only</t>
  </si>
  <si>
    <t>5 = Fully strategic — joint planning, forecasting, category growth, market insights</t>
  </si>
  <si>
    <t>Look for TYPE of data discussed. Operational = logistics/inventory → 1-2. Category/benchmarks = mix → 3. Market, planning, forecasting = strategic → 4-5.</t>
  </si>
  <si>
    <t>Is data sharing available to all clients, or based on strategic importance?</t>
  </si>
  <si>
    <t>1 = Exclusive — shared with one or very few top partners only</t>
  </si>
  <si>
    <t>5 = Universal — all clients have access to same data, often via self-serve</t>
  </si>
  <si>
    <t>Look for LANGUAGE about who gets access. "top clients only" → 1-2; "key accounts" → 3; "all our partners", "self-serve" → 4-5.</t>
  </si>
  <si>
    <t>Breadth of data exchanged</t>
  </si>
  <si>
    <t>1 = Internal only — shipment schedules and lead times</t>
  </si>
  <si>
    <t>5 = Full suite — global trends, market research, category performance, shipments, lead times</t>
  </si>
  <si>
    <t>Look for TYPES of datasets mentioned. Each additional data type moves score up. Internal → external → market-level.</t>
  </si>
  <si>
    <t>Trust in received data</t>
  </si>
  <si>
    <t>1 = No trust — always re-validates everything received from partners</t>
  </si>
  <si>
    <t>5 = Full trust — uses partner data directly without independent verification</t>
  </si>
  <si>
    <t>Look for re-validation language. "we always check" → 1-2; "we validate some" → 3; "we take it at face value" → 4-5.</t>
  </si>
  <si>
    <t>Readiness / barriers to collaborate</t>
  </si>
  <si>
    <t>1 = Cannot pull data at all — no technical capability</t>
  </si>
  <si>
    <t>5 = Technology is ready — strategic choice is the only barrier to sharing</t>
  </si>
  <si>
    <t>Look for what STOPS them from sharing more. Technical inability → 1-2. Manual process limitations → 3. Strategic/deliberate choice → 4-5.</t>
  </si>
  <si>
    <t>Operational impact of data gaps</t>
  </si>
  <si>
    <t>Willingness to collaborate overall</t>
  </si>
  <si>
    <t>1 = No interest — sees no value in deeper data collaboration with IMPAQTR</t>
  </si>
  <si>
    <t>10 = Fully committed — actively seeking deeper data collaboration with partners</t>
  </si>
  <si>
    <t>SYNTHESIS score (1–10) — use across the full interview. Should align closely with B1. If B1 was explicit (e.g. 7), use that as anchor and adjust up/down based on overall tone.</t>
  </si>
  <si>
    <t>── VALUE UNLOCK AREAS (0 = not mentioned / 1 = mentioned) ──</t>
  </si>
  <si>
    <t>Guidance</t>
  </si>
  <si>
    <t>1 = interviewee explicitly mentioned this as valuable or relevant. 0 = not mentioned or actively dismissed.</t>
  </si>
  <si>
    <t>0 = Did not mention</t>
  </si>
  <si>
    <t>1 = Mentioned</t>
  </si>
  <si>
    <t>"I will even start with basic category management because we make our decision of whether or not to continue a product or to launch a product based on what works at our stores. But we have no clue of what works elsewhere."</t>
  </si>
  <si>
    <t>Supply Chain Management</t>
  </si>
  <si>
    <t>Operationalization &amp; Workflows</t>
  </si>
  <si>
    <t>── CONCERNS TO RESOLVE (0 = not mentioned / 1 = mentioned) ──</t>
  </si>
  <si>
    <t>Mentioned Competition</t>
  </si>
  <si>
    <t>── CRITICAL TOOL FEATURES (0 = not mentioned / 1 = mentioned) ──</t>
  </si>
  <si>
    <t>Dynamic, real-time data exchange</t>
  </si>
  <si>
    <t>"I'm assuming that many of our suppliers have the exact same data sets that they want to monetize with us. But as soon as one of them gives it to us, everybody else loses."</t>
  </si>
  <si>
    <t>Equal access to shared datasets</t>
  </si>
  <si>
    <t>Allows joint decision making</t>
  </si>
  <si>
    <t>Clear masking rules by supplier/user</t>
  </si>
  <si>
    <t>She mentioned that the tool would do this to make the collab process streamlined</t>
  </si>
  <si>
    <t>── PREFERRED DATASETS (0 = not mentioned / 1 = mentioned) ──</t>
  </si>
  <si>
    <t>Global trends and insights</t>
  </si>
  <si>
    <t>Category performance</t>
  </si>
  <si>
    <t>Shipment schedules</t>
  </si>
  <si>
    <t>📌 NOTE</t>
  </si>
  <si>
    <t>Red cells = score needed (new questions with no old data to migrate from). If a transcript note at the top overrides coding guidance, it takes priority.</t>
  </si>
  <si>
    <t>Company 2 — Interview 1</t>
  </si>
  <si>
    <t>Jannes Colaert</t>
  </si>
  <si>
    <t>President and Managing Director Belgian Shell</t>
  </si>
  <si>
    <t>Shell Belgium</t>
  </si>
  <si>
    <t>Nicolas &amp;  Lore</t>
  </si>
  <si>
    <t>Oil &amp; Gas</t>
  </si>
  <si>
    <t>UK</t>
  </si>
  <si>
    <t>"call it a two... being a three. Yeah. Yeah. I think a three it's a it's a fair it's a it's a fair number"</t>
  </si>
  <si>
    <t>1 = Daily slowdowns — data gaps cause constant operational disruption</t>
  </si>
  <si>
    <t>5 = Quarterly or less — data gaps are rare, minimal operational impact</t>
  </si>
  <si>
    <t>Look for FREQUENCY language. "Every day we're blocked" → 1; "It happens sometimes" → 3; "Rarely an issue" → 5. High frequency = LOW score (more pain = lower maturity).</t>
  </si>
  <si>
    <t>[Paste verbatim quote from transcript that supports this score or adds context]</t>
  </si>
  <si>
    <t>Company 3 — Interview 1</t>
  </si>
  <si>
    <t>Stefan Fieremans</t>
  </si>
  <si>
    <t>Business Development / Media Services Manager</t>
  </si>
  <si>
    <t>Lore and Nicolas</t>
  </si>
  <si>
    <t>B2B Food Service Distribution</t>
  </si>
  <si>
    <t>"Willingness. I I think it's good. It's seven. But it depends on the... on the return... With The benefit in return could be 9 or 10."</t>
  </si>
  <si>
    <t>"prices and margins"</t>
  </si>
  <si>
    <t>"It's it's a daily upload of the data... you can also the date you can set the data on day on on week on month"</t>
  </si>
  <si>
    <t>Company 4 — Interview 1</t>
  </si>
  <si>
    <t>Joy Van Cauteren</t>
  </si>
  <si>
    <t>Data/Analytics role (formerly Department Head of Logistics)</t>
  </si>
  <si>
    <t>Solucious (part of Colruyt Group)</t>
  </si>
  <si>
    <t>22/05/2026</t>
  </si>
  <si>
    <t>Lore Verhoeven</t>
  </si>
  <si>
    <t>Nicolas Amaya Cardona</t>
  </si>
  <si>
    <t>Food Service</t>
  </si>
  <si>
    <t>"at this point, I think like 7 or 8, There is a question at this moment to search from some data"</t>
  </si>
  <si>
    <t>"even on prices, yeah, articles you can see on the websites... It depends on the revenue you bring to the company... It's from the moment you have a login, then you receive a special price for yourself"</t>
  </si>
  <si>
    <t>Company 5 — Interview 1</t>
  </si>
  <si>
    <t>Freija Deprest</t>
  </si>
  <si>
    <t>Supply Chain Director</t>
  </si>
  <si>
    <t>Dicofoods</t>
  </si>
  <si>
    <t>19/05/2026</t>
  </si>
  <si>
    <t>Lore Verhoeven, Nicolas Amaya Cardona</t>
  </si>
  <si>
    <t>Freija Deprest (Vlerick Executive MBA participant)</t>
  </si>
  <si>
    <t>Food Manufacturing</t>
  </si>
  <si>
    <t>"If it is sharing of data in terms of making sure that we have the reliability in the shop, that they have the availability of the product at all times and we can make it work and the data is fluently also for the mass of data, I would... The chances of having a successful project can be 10 out of 10. and we would be willing to do so. Everything that makes it more efficient, more digital, we are open to."</t>
  </si>
  <si>
    <t>Very open to data collaboration but excluding price information</t>
  </si>
  <si>
    <t>"we get this question quite often, that they would want us to share... the complete breakdown of our price, which we are not willing to give... If you talk to retailers and they can buy, for example, we are an energy intensive sector, say that they can buy their energy at 30... Then and we say that our energy is at 40. Then they will discuss on that"</t>
  </si>
  <si>
    <t>"If I would get what they sell in the shop, directly feed it to me... And I know the stock that is in the distribution center, then I can avoid, then I can plan better."</t>
  </si>
  <si>
    <t>Company 6 — Interview 1</t>
  </si>
  <si>
    <t>Filip Van Hoyweghen</t>
  </si>
  <si>
    <t>Sales Director</t>
  </si>
  <si>
    <t>20/05/2026</t>
  </si>
  <si>
    <t>Lore Verhoeven, Aysegul Yamak Eveno</t>
  </si>
  <si>
    <t>FMCG</t>
  </si>
  <si>
    <t xml:space="preserve">Changed from a 6. I think he is in general excited about collaboration, however less so through a third party as he believes they bring isolated solutions that are generalist. However they might be interested in a company such as "the Advantage Group", or we might need to talk to someone else in the company. </t>
  </si>
  <si>
    <t>"data is important and you need to control data and you need to be the owner of the data in a sense that if you do not share your data with the retailers. somebody else will, and it's better that it's your story than the story of somebody else"</t>
  </si>
  <si>
    <t xml:space="preserve">Keep as is. </t>
  </si>
  <si>
    <t>"Or pricing, which we track with folder. Visibility is also in Power BI... we did a fully RGM model in it"</t>
  </si>
  <si>
    <t xml:space="preserve">"data needs to be fast as well. So I think this is key... data flows via API or live dashboard... it's in one click"
"disappointed on what, for instance, impactor, step up and Nielsen they are bringing. Because at a sense they are not helping me because they have their tool, which is adapted to the most common needs of suppliers, not linked to my needs"
</t>
  </si>
  <si>
    <t>Added quotes</t>
  </si>
  <si>
    <t xml:space="preserve">Changed from 1 to 0 </t>
  </si>
  <si>
    <t>Company 7 — Interview 1</t>
  </si>
  <si>
    <t>Davy De Vlieger</t>
  </si>
  <si>
    <t>CEO</t>
  </si>
  <si>
    <t>Spuntini Group</t>
  </si>
  <si>
    <t>Vlerick Business School MBA students</t>
  </si>
  <si>
    <t>Food Service / Wholesale Distribution</t>
  </si>
  <si>
    <t>"If you need to scale, how much you're willing to do data collaboration currently from 1 to 10, what would you give it? Eight."</t>
  </si>
  <si>
    <t>[Paste verbatim quote from transcript supporting Value Unlock Areas scoring]</t>
  </si>
  <si>
    <t>"I think in a month from now, I will be able to have access to all the data live for every single warehouse we have."</t>
  </si>
  <si>
    <t>Company 8 — Interview 1</t>
  </si>
  <si>
    <t>Jochen Luypaert</t>
  </si>
  <si>
    <t>CFO / Finance Lead EMEA &amp; LATAM</t>
  </si>
  <si>
    <t>Wellness Pet (formerly Mars, 12 years experience in FMCG)</t>
  </si>
  <si>
    <t>27/05/2026</t>
  </si>
  <si>
    <t>Pet Food &amp; Products</t>
  </si>
  <si>
    <t>US</t>
  </si>
  <si>
    <t>"If I purely looked to it from an ROI point of view, I think we would get more value back than what we give. So, or what the, let's say the drawback of sharing our data will be smaller than what we get in return, I think. [When asked about 1-10 scale, indicated 8-9]"</t>
  </si>
  <si>
    <t>"So typically what Nielsen does and so forth is also for EI encoding... we get volume and price data, from that we can get value data."</t>
  </si>
  <si>
    <t>[Paste verbatim quote from transcript supporting Critical Tool Features scoring]</t>
  </si>
  <si>
    <t>Company 9 — Interview 1</t>
  </si>
  <si>
    <t>Jeroen Haesebeyt</t>
  </si>
  <si>
    <t>Commercial Director</t>
  </si>
  <si>
    <t>29/05/2026</t>
  </si>
  <si>
    <t>Aysegul Yamak Eveno, Nicolas Amaya Cardona</t>
  </si>
  <si>
    <t>Wholesale</t>
  </si>
  <si>
    <t>"They are all excited about it [Gondola Data Cube]. Higher level view on the market. New OOH market information leader."</t>
  </si>
  <si>
    <t>Company 10 — Interview 1</t>
  </si>
  <si>
    <t>Tim Roelands</t>
  </si>
  <si>
    <t>Data Insights Team</t>
  </si>
  <si>
    <t>2026-05-29</t>
  </si>
  <si>
    <t>Nicolas Amaya Cardona, Lore Verhoeven</t>
  </si>
  <si>
    <t>Denmark</t>
  </si>
  <si>
    <t>"So through a neutral party. So if it was without a neutral party, let's say, I would always say 10. I think at Arla we really value transparency, collaboration... So there, yes. For me, it's, I'm a bit uncertain what the advantage would be between doing that through a neutral party... Collaboration. Ten out of 10, love to do it. Data sharing is very important."</t>
  </si>
  <si>
    <t>"you cannot know pricing and trade terms, because that's that's for them"</t>
  </si>
  <si>
    <t>"our business in Denmark and Sweden and also the UK is very mature. And the data sharing is really on a daily, maybe weekly, daily level. So it's really advanced."</t>
  </si>
  <si>
    <t>Company 11 — Interview 1</t>
  </si>
  <si>
    <t>Christel Poncin</t>
  </si>
  <si>
    <t>Marketing Strategic Role</t>
  </si>
  <si>
    <t>Nicolas</t>
  </si>
  <si>
    <t>Pharmacy/Healthcare Retail</t>
  </si>
  <si>
    <t xml:space="preserve">Belgium </t>
  </si>
  <si>
    <t>"Yeah. I really want to collaborate, but not with everyone. So, I think that the people need to play the game and it needs to be a partnership."</t>
  </si>
  <si>
    <t>"We only sell pricing data"</t>
  </si>
  <si>
    <t>Lidl Belgium — Anonymous (Marketing) — Int. 1</t>
  </si>
  <si>
    <t>Thomas Vaarten</t>
  </si>
  <si>
    <t>Marketing / Commercial Director</t>
  </si>
  <si>
    <t>Lidl Belgium</t>
  </si>
  <si>
    <t>Grocery Retail</t>
  </si>
  <si>
    <t>Germany</t>
  </si>
  <si>
    <t>"We really think that sovereignty is key... sharing strategy data can be influential for competitors."</t>
  </si>
  <si>
    <t>Edgard &amp; Cooper — Jennifer Roelens (Data Lead/IT) — Int. 1</t>
  </si>
  <si>
    <t>Jennifer Roelens</t>
  </si>
  <si>
    <t>Data Lead / Head of IT &amp; ERP</t>
  </si>
  <si>
    <t>02/06/2026</t>
  </si>
  <si>
    <t>Lore Verhoeven &amp; Nicolas Amaya Cardona</t>
  </si>
  <si>
    <t>Pet Food Manufacturing</t>
  </si>
  <si>
    <t>"I say, like, we want the data... I think it's a 10 out of 10. Well, let's say 9 out of 10, just because of the GDPR component."</t>
  </si>
  <si>
    <t>Company 18 — Interview 1</t>
  </si>
  <si>
    <t>Company 19 — Interview 1</t>
  </si>
  <si>
    <t>Company 20 — Interview 1</t>
  </si>
  <si>
    <t>Company 21 — Interview 1</t>
  </si>
  <si>
    <t>Company 22 — Interview 1</t>
  </si>
  <si>
    <t>Company 23 — Interview 1</t>
  </si>
  <si>
    <t>Company 24 — Interview 1</t>
  </si>
  <si>
    <t>Company 25 — Interview 1</t>
  </si>
  <si>
    <t>Company 26 — Interview 1</t>
  </si>
  <si>
    <t>Company 27 — Interview 1</t>
  </si>
  <si>
    <t>Company 28 — Interview 1</t>
  </si>
  <si>
    <t>Company 29 — Interview 1</t>
  </si>
  <si>
    <t>Company 30 — Interview 1</t>
  </si>
  <si>
    <t>NEW COMPANY — Interview 1</t>
  </si>
  <si>
    <t>1 = No interest — sees no value in deeper data collaboration</t>
  </si>
  <si>
    <t>Company Name (Real)</t>
  </si>
  <si>
    <t>Size (Belgium Turnover)</t>
  </si>
  <si>
    <t>General Score</t>
  </si>
  <si>
    <t>Data Process Notes</t>
  </si>
  <si>
    <t>Willingness Notes</t>
  </si>
  <si>
    <t>Neutral Party Notes</t>
  </si>
  <si>
    <t>Yes</t>
  </si>
  <si>
    <t>"The big data gap is the market data — there's no specialised market data, scanning data for specialty retail in Belgium."</t>
  </si>
  <si>
    <t>"It would be interesting depending on what level of data access they have. The topic is always the cost."</t>
  </si>
  <si>
    <t>"As soon as one supplier gives us their data, everybody else loses — the competitive risk is the core problem."</t>
  </si>
  <si>
    <t>No</t>
  </si>
  <si>
    <t>M1 and M2 not discussed. Only M4 and M5 scored. Data sharing is legally mandated only — internal processes were not a topic of conversation.</t>
  </si>
  <si>
    <t>"Information is money. Our traders are in the business of obfuscating their own data and capturing the other one's — it's a zero-sum game."</t>
  </si>
  <si>
    <t>"We only share under a legal mandate — an official sector organisation with existing procedures. Any other sharing is a liability."</t>
  </si>
  <si>
    <t>"It's a daily upload of the data — you can set it by day, week, or month."</t>
  </si>
  <si>
    <t>"Willingness is 7, but with the benefit in return it could be 9 or 10."</t>
  </si>
  <si>
    <t>"In the Netherlands a neutral partner started a sharing platform — and there it is working. Why? Because it is a neutral partner."</t>
  </si>
  <si>
    <t>"Every retailer has a different platform — it's like mushrooms, a new one every time."</t>
  </si>
  <si>
    <t>"If it is sharing of data to ensure availability of product at all times and data flows fluently — the chances are very high."</t>
  </si>
  <si>
    <t>"If I would get what they sell in the shop, directly feed it to me, and I know the stock in the DC — then I can plan better."</t>
  </si>
  <si>
    <t>"Data flows via API or live dashboard — it's in one click. We did a fully RGM model in Power BI."</t>
  </si>
  <si>
    <t>"If you do not share your data with retailers, somebody else will — and it's better that it's your story than somebody else's."</t>
  </si>
  <si>
    <t>"Disappointed in what Impaqtr, Step Up and Nielsen are bringing — they are not helping me because they don't have the data I need."</t>
  </si>
  <si>
    <t>"In a month I will be able to have access to all the data live for every single warehouse we have."</t>
  </si>
  <si>
    <t>"Willingness to do data collaboration currently — eight out of ten."</t>
  </si>
  <si>
    <t>Data processing complexity was the one concern raised — consolidating across multiple warehouse systems is not yet solved internally.</t>
  </si>
  <si>
    <t>"We get volume and price data from Nielsen — from that we calculate value data."</t>
  </si>
  <si>
    <t>"The drawback of sharing our data will be smaller than what we get in return, I think."</t>
  </si>
  <si>
    <t>Data sensitivity and compliance both scored 1. Masking rules and clear governance were raised as prerequisites to sharing.</t>
  </si>
  <si>
    <t>"They are all excited about the Gondola Data Cube — higher level view on the market. New OOH market information leader."</t>
  </si>
  <si>
    <t>Discussed Impaqtr directly and positively. The OOH market has no centralised data benchmark today — this is the core gap they want addressed.</t>
  </si>
  <si>
    <t>Data sensitivity and compliance both scored 1. A neutral aggregator is the only viable mechanism for cross-supplier OOH benchmarking.</t>
  </si>
  <si>
    <t>"In Denmark, Sweden and the UK data sharing is really on a daily level — really advanced. Belgium is very new and far less data-rich."</t>
  </si>
  <si>
    <t>"Through a neutral party, I would always say 10. At Arla we really value transparency and collaboration."</t>
  </si>
  <si>
    <t>"You cannot know pricing and trade terms — that's for them. Sensitivity around what competitors see is the main blocker."</t>
  </si>
  <si>
    <t>"It's just a basic Excel sheet. I am even ashamed to say that — it's just nothing. Not professional at all."</t>
  </si>
  <si>
    <t>"I really want to collaborate, but not with everyone. People need to play the game — it needs to be a partnership."</t>
  </si>
  <si>
    <t>"My aim would be to use the best platform to share sell-out, stock levels, persona — a mix between category management and sell-in."</t>
  </si>
  <si>
    <t>M1 and M2 not discussed during interview — data process maturity was not a topic raised. Score based on M4 and M5 only.</t>
  </si>
  <si>
    <t>"We really think that sovereignty is key — sharing strategic data can be influential for competitors."</t>
  </si>
  <si>
    <t>Data sensitivity and compliance both cited, but in the context of strategic refusal — concerns are justifications for not sharing, not barriers a neutral party could resolve.</t>
  </si>
  <si>
    <t>"We built our own internal system to upload data, map external store IDs with our internal system, with automatic rule checks."</t>
  </si>
  <si>
    <t>"We want the data… I think it's a 10 out of 10. Well, let's say 9, just because of the GDPR component."</t>
  </si>
  <si>
    <t>GDPR explicitly cited as the limiting factor. Data sensitivity and compliance both scored 1 — governance and masking rules are prerequisites.</t>
  </si>
  <si>
    <t>Uses IQVIA and PharmaScan for market intelligence. Pharma operates on a completely separate data model from retail — sell-out sharing is not part of the commercial relationship.</t>
  </si>
  <si>
    <t>"If it's a scale from zero to 10, I think it's closer to 0. The pharma model doesn't work this way."</t>
  </si>
  <si>
    <t>All three concerns raised, but low willingness means the barriers are structural. A neutral party cannot resolve a refusal rooted in business model incompatibility.</t>
  </si>
  <si>
    <t>"It happens often that our salespeople visit customers and see — hey, where are our bottles? Everything is sold out for two weeks already."</t>
  </si>
  <si>
    <t>"Our willingness would be 10. I believe in the impact of data — it can impact sales, business processes, customer intimacy."</t>
  </si>
  <si>
    <t>"It would be awesome if you just arrive at a customer without them calling you — here are already your bottles."</t>
  </si>
  <si>
    <t>"Only three years ago we got data from other branches. We work with far too little data — no growth potential view, no benchmark."</t>
  </si>
  <si>
    <t>"Zero. Hanos believes very strongly in their own strength. Every euro is turned over — very cautious, risk-aware."</t>
  </si>
  <si>
    <t>Data sensitivity mentioned once. The blocker is institutional — leadership refusal is independent of what a neutral party could offer.</t>
  </si>
  <si>
    <t>Structured supplier reporting in place but not automated. Category reviews conducted periodically rather than on a live data basis.</t>
  </si>
  <si>
    <t>Interest focused on supply-side intelligence — sustainability data, production splits, upcoming products — rather than sell-out sharing.</t>
  </si>
  <si>
    <t>All three concerns scored 1. A governed neutral platform is a prerequisite given the sensitivity of private label and supplier pricing data.</t>
  </si>
  <si>
    <t>"We have a team that works on the dashboard and creating the visualization of all the data. The big blocker is that people still need to be trained massively on how to use the tool — double counting, not taking the right sources. It's almost never straightforward."</t>
  </si>
  <si>
    <t>"That would be high, around 8, because it's in our favour. It's more the retailer who will not always be happy to share everything — but we need them to sell our products, so from a brand perspective, obviously it's in our favour."</t>
  </si>
  <si>
    <t>"There is always a bit of distrust — afraid that they will use it for the wrong reasons, that you lose control. That's the only reason I would not put it at a 10."</t>
  </si>
  <si>
    <t>"The transparency with Albert Heijn goes as far as that we have insights in the stock levels in the stores, so we can already anticipate on that in our very operational purchasing day-to-day."</t>
  </si>
  <si>
    <t>"The exchange of data — if you really want to make it perfect, you go to the point that you have all the insights. I'm sure over time it will evolve because you both have to gain from it."</t>
  </si>
  <si>
    <t>"It's very difficult to convince the retailer to let go of data. Usually we would still have to buy the market data from a third party to know how others are doing — but ultimately, to improve your performance, the best is that you really know the exact data from their counters."</t>
  </si>
  <si>
    <t>— = Not relevant for the industry</t>
  </si>
  <si>
    <t>R = receives</t>
  </si>
  <si>
    <t>S = shares</t>
  </si>
  <si>
    <t>B = Blocked for sharing</t>
  </si>
  <si>
    <t>B/PL = Blocked besides Private Label</t>
  </si>
  <si>
    <t>x% = percentage of interviewees mentioned this as a priority value opportunity</t>
  </si>
  <si>
    <t>X = our recommendation of when to add given metric into the collaboration</t>
  </si>
  <si>
    <t>Metric</t>
  </si>
  <si>
    <t>x</t>
  </si>
  <si>
    <t>Category sell-out vs. market index</t>
  </si>
  <si>
    <t>R</t>
  </si>
  <si>
    <t>S</t>
  </si>
  <si>
    <t>X</t>
  </si>
  <si>
    <t>Multi-retailer category market share (i.e. Nielsen)</t>
  </si>
  <si>
    <t>Shopper penetration &amp; frequency (aggregate)</t>
  </si>
  <si>
    <t>—</t>
  </si>
  <si>
    <t>Consumer trends &amp; life-stage insights</t>
  </si>
  <si>
    <t>Store format / planogram / module data</t>
  </si>
  <si>
    <t>Assortment recommendations</t>
  </si>
  <si>
    <t>Promo calendar &amp; depth of discount</t>
  </si>
  <si>
    <t>Promo activation results &amp; sell-out uplift</t>
  </si>
  <si>
    <t>Promo ROI / effectiveness analysis</t>
  </si>
  <si>
    <t>Shopper switching data across promo events</t>
  </si>
  <si>
    <t>DC stock levels &amp; replenishment triggers (VMI)</t>
  </si>
  <si>
    <t>Lost sales / stockout events by SKU</t>
  </si>
  <si>
    <t>OTIF / delivery performance</t>
  </si>
  <si>
    <t>Returns &amp; faulty product rate by SKU</t>
  </si>
  <si>
    <t>Demand forecasts at DC / SKU level</t>
  </si>
  <si>
    <t>Production capacity &amp; safety stock</t>
  </si>
  <si>
    <t>B/PL</t>
  </si>
  <si>
    <t>Retail shelf price by SKU (publicly visible)</t>
  </si>
  <si>
    <t>Margin data / margin bands by product</t>
  </si>
  <si>
    <t>B</t>
  </si>
  <si>
    <t>Net pricing / trade terms / sourcing costs</t>
  </si>
  <si>
    <t>Wholesale trade terms with competing suppliers</t>
  </si>
  <si>
    <t>Sharing format: platform vs. report vs. raw data</t>
  </si>
  <si>
    <t>Retailer at 100% but Specialty at 0% — that's a notable split suggesting retailers see this as a priority but specialty retail doesn't yet engage with it formally.</t>
  </si>
  <si>
    <t>Granularity level (chain / store / category / SKU)</t>
  </si>
  <si>
    <t>Data refresh cadence (daily / weekly / monthly)</t>
  </si>
  <si>
    <t>Individual client / loyalty data (named)</t>
  </si>
  <si>
    <t>Cross-retailer competitive detail (named)</t>
  </si>
  <si>
    <t>Sell-out by SKU / customer segment</t>
  </si>
  <si>
    <t>Order frequency &amp; basket composition (segment)</t>
  </si>
  <si>
    <t>Historical promo uplift for forecast modelling</t>
  </si>
  <si>
    <t>Sell-in forecasts (manufacturer-side)</t>
  </si>
  <si>
    <t>NPD pipeline at late stage (for range planning)</t>
  </si>
  <si>
    <t>Joint scorecard KPIs (service level, category share)</t>
  </si>
  <si>
    <t>RGM targets (stock caps, OTIF %, faulty %)</t>
  </si>
  <si>
    <t>Unfavorable research / audit results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</si>
</sst>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_(* #,##0_);_(* \(#,##0\);_(* &quot;-&quot;??_);_(@_)"/>
    <numFmt numFmtId="165" formatCode="0.0"/>
  </numFmts>
  <fonts count="46">
    <font>
      <sz val="11"/>
      <color theme="1"/>
      <name val="Calibri"/>
      <family val="2"/>
      <scheme val="minor"/>
    </font>
    <font>
      <sz val="11"/>
      <color theme="1"/>
      <name val="Calibri"/>
      <scheme val="minor"/>
    </font>
    <font>
      <b/>
      <sz val="13"/>
      <color rgb="FFFFFFFF"/>
      <name val="Arial"/>
      <family val="2"/>
    </font>
    <font>
      <sz val="10"/>
      <color rgb="FF000000"/>
      <name val="Arial"/>
      <family val="2"/>
    </font>
    <font>
      <b/>
      <sz val="10"/>
      <color rgb="FFFFFFFF"/>
      <name val="Arial"/>
      <family val="2"/>
    </font>
    <font>
      <b/>
      <sz val="10"/>
      <color rgb="FF000000"/>
      <name val="Arial"/>
      <family val="2"/>
    </font>
    <font>
      <b/>
      <i/>
      <sz val="10"/>
      <color rgb="FFFFFFFF"/>
      <name val="Arial"/>
      <family val="2"/>
    </font>
    <font>
      <b/>
      <sz val="9"/>
      <color rgb="FF000000"/>
      <name val="Arial"/>
      <family val="2"/>
    </font>
    <font>
      <b/>
      <sz val="12"/>
      <color rgb="FF000000"/>
      <name val="Arial"/>
      <family val="2"/>
    </font>
    <font>
      <i/>
      <sz val="9"/>
      <color rgb="FF000000"/>
      <name val="Arial"/>
      <family val="2"/>
    </font>
    <font>
      <i/>
      <sz val="9"/>
      <color rgb="FFFFFFFF"/>
      <name val="Arial"/>
      <family val="2"/>
    </font>
    <font>
      <sz val="9"/>
      <color rgb="FF000000"/>
      <name val="Arial"/>
      <family val="2"/>
    </font>
    <font>
      <b/>
      <sz val="9"/>
      <color rgb="FF1F3864"/>
      <name val="Arial"/>
      <family val="2"/>
    </font>
    <font>
      <i/>
      <sz val="9"/>
      <color rgb="FF595959"/>
      <name val="Arial"/>
      <family val="2"/>
    </font>
    <font>
      <b/>
      <sz val="9"/>
      <color rgb="FFFFFFFF"/>
      <name val="Arial"/>
      <family val="2"/>
    </font>
    <font>
      <b/>
      <sz val="9"/>
      <color rgb="FF375623"/>
      <name val="Arial"/>
      <family val="2"/>
    </font>
    <font>
      <b/>
      <i/>
      <sz val="9"/>
      <color rgb="FF000000"/>
      <name val="Arial"/>
      <family val="2"/>
    </font>
    <font>
      <b/>
      <sz val="11"/>
      <color rgb="FF000000"/>
      <name val="Arial"/>
      <family val="2"/>
    </font>
    <font>
      <sz val="9"/>
      <color rgb="FFFFFFFF"/>
      <name val="Arial"/>
      <family val="2"/>
    </font>
    <font>
      <b/>
      <sz val="10"/>
      <color rgb="FF1F3864"/>
      <name val="Arial"/>
      <family val="2"/>
    </font>
    <font>
      <b/>
      <sz val="14"/>
      <color rgb="FFFFFFFF"/>
      <name val="Arial"/>
      <family val="2"/>
    </font>
    <font>
      <b/>
      <sz val="12"/>
      <name val="Arial"/>
      <family val="2"/>
    </font>
    <font>
      <i/>
      <sz val="9"/>
      <color rgb="FF333333"/>
      <name val="Arial"/>
      <family val="2"/>
    </font>
    <font>
      <b/>
      <sz val="8"/>
      <color rgb="FFFFFFFF"/>
      <name val="Arial"/>
      <family val="2"/>
    </font>
    <font>
      <b/>
      <sz val="8"/>
      <color rgb="FF000000"/>
      <name val="Arial"/>
      <family val="2"/>
    </font>
    <font>
      <sz val="11"/>
      <color theme="1"/>
      <name val="Calibri"/>
      <family val="2"/>
      <scheme val="minor"/>
    </font>
    <font>
      <sz val="10"/>
      <name val="Arial"/>
      <family val="2"/>
    </font>
    <font>
      <i/>
      <sz val="9"/>
      <name val="Arial"/>
      <family val="2"/>
    </font>
    <font>
      <sz val="9"/>
      <name val="Arial"/>
      <family val="2"/>
    </font>
    <font>
      <b/>
      <sz val="10"/>
      <color rgb="FF73726C"/>
      <name val="Segoe UI"/>
      <family val="2"/>
    </font>
    <font>
      <sz val="10"/>
      <color rgb="FF27500A"/>
      <name val="Segoe UI"/>
      <family val="2"/>
    </font>
    <font>
      <sz val="10"/>
      <color theme="1"/>
      <name val="Calibri"/>
      <family val="2"/>
      <scheme val="minor"/>
    </font>
    <font>
      <sz val="10"/>
      <color rgb="FF141413"/>
      <name val="Segoe UI"/>
      <family val="2"/>
    </font>
    <font>
      <sz val="10"/>
      <color rgb="FF0C447C"/>
      <name val="Segoe UI"/>
      <family val="2"/>
    </font>
    <font>
      <sz val="9"/>
      <color rgb="FF000000"/>
      <name val="Arial"/>
    </font>
    <font>
      <i/>
      <sz val="12"/>
      <color rgb="FF3D3D3A"/>
      <name val="Segoe UI"/>
    </font>
    <font>
      <sz val="12"/>
      <color rgb="FF3D3D3A"/>
      <name val="Segoe UI"/>
    </font>
    <font>
      <sz val="11"/>
      <color rgb="FF006100"/>
      <name val="Calibri"/>
      <scheme val="minor"/>
    </font>
    <font>
      <sz val="11"/>
      <color rgb="FF9C0006"/>
      <name val="Calibri"/>
      <scheme val="minor"/>
    </font>
    <font>
      <sz val="11"/>
      <color rgb="FF9C5700"/>
      <name val="Calibri"/>
      <scheme val="minor"/>
    </font>
    <font>
      <sz val="11"/>
      <name val="Calibri"/>
      <family val="2"/>
      <scheme val="minor"/>
    </font>
    <font>
      <sz val="10"/>
      <color theme="1"/>
      <name val="Segoe UI"/>
      <family val="2"/>
    </font>
    <font>
      <b/>
      <sz val="12"/>
      <color rgb="FF73726C"/>
      <name val="Calibri"/>
      <family val="2"/>
      <scheme val="minor"/>
    </font>
    <font>
      <sz val="12"/>
      <name val="Calibri"/>
      <family val="2"/>
      <scheme val="minor"/>
    </font>
    <font>
      <sz val="11"/>
      <color theme="2" tint="-9.9978637043366805E-2"/>
      <name val="Calibri"/>
      <family val="2"/>
      <scheme val="minor"/>
    </font>
    <font>
      <sz val="10"/>
      <name val="Segoe UI"/>
      <family val="2"/>
    </font>
  </fonts>
  <fills count="41">
    <fill>
      <patternFill patternType="none"/>
    </fill>
    <fill>
      <patternFill patternType="gray125"/>
    </fill>
    <fill>
      <patternFill patternType="solid">
        <fgColor rgb="FFFFFF00"/>
        <bgColor indexed="64"/>
      </patternFill>
    </fill>
    <fill>
      <patternFill patternType="solid">
        <fgColor rgb="FF1F3864"/>
      </patternFill>
    </fill>
    <fill>
      <patternFill patternType="solid">
        <fgColor rgb="FF2E5FA3"/>
      </patternFill>
    </fill>
    <fill>
      <patternFill patternType="solid">
        <fgColor rgb="FFDEEAF1"/>
      </patternFill>
    </fill>
    <fill>
      <patternFill patternType="solid">
        <fgColor rgb="FFFFC000"/>
      </patternFill>
    </fill>
    <fill>
      <patternFill patternType="solid">
        <fgColor rgb="FF375623"/>
      </patternFill>
    </fill>
    <fill>
      <patternFill patternType="solid">
        <fgColor rgb="FFED7D31"/>
      </patternFill>
    </fill>
    <fill>
      <patternFill patternType="solid">
        <fgColor rgb="FFBDD7EE"/>
      </patternFill>
    </fill>
    <fill>
      <patternFill patternType="solid">
        <fgColor rgb="FFD9D9D9"/>
      </patternFill>
    </fill>
    <fill>
      <patternFill patternType="solid">
        <fgColor rgb="FF9B59B6"/>
      </patternFill>
    </fill>
    <fill>
      <patternFill patternType="solid">
        <fgColor rgb="FFE8D5F5"/>
      </patternFill>
    </fill>
    <fill>
      <patternFill patternType="solid">
        <fgColor rgb="FF2980B9"/>
      </patternFill>
    </fill>
    <fill>
      <patternFill patternType="solid">
        <fgColor rgb="FFD5E8F5"/>
      </patternFill>
    </fill>
    <fill>
      <patternFill patternType="solid">
        <fgColor rgb="FF27AE60"/>
      </patternFill>
    </fill>
    <fill>
      <patternFill patternType="solid">
        <fgColor rgb="FFD5F5E8"/>
      </patternFill>
    </fill>
    <fill>
      <patternFill patternType="solid">
        <fgColor rgb="FFE67E22"/>
      </patternFill>
    </fill>
    <fill>
      <patternFill patternType="solid">
        <fgColor rgb="FFFDE8D8"/>
      </patternFill>
    </fill>
    <fill>
      <patternFill patternType="solid">
        <fgColor rgb="FFF39C12"/>
      </patternFill>
    </fill>
    <fill>
      <patternFill patternType="solid">
        <fgColor rgb="FFFDFDD8"/>
      </patternFill>
    </fill>
    <fill>
      <patternFill patternType="solid">
        <fgColor rgb="FFF2F2F2"/>
      </patternFill>
    </fill>
    <fill>
      <patternFill patternType="solid">
        <fgColor rgb="FFFFE0E0"/>
      </patternFill>
    </fill>
    <fill>
      <patternFill patternType="solid">
        <fgColor rgb="FFE2EFDA"/>
      </patternFill>
    </fill>
    <fill>
      <patternFill patternType="solid">
        <fgColor rgb="FF70AD47"/>
      </patternFill>
    </fill>
    <fill>
      <patternFill patternType="solid">
        <fgColor rgb="FFFFFFFF"/>
      </patternFill>
    </fill>
    <fill>
      <patternFill patternType="solid">
        <fgColor rgb="FFFFF2CC"/>
      </patternFill>
    </fill>
    <fill>
      <patternFill patternType="solid">
        <fgColor theme="4" tint="0.79998168889431442"/>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6" tint="0.79998168889431442"/>
        <bgColor indexed="64"/>
      </patternFill>
    </fill>
    <fill>
      <patternFill patternType="solid">
        <fgColor theme="4" tint="0.39997558519241921"/>
        <bgColor indexed="64"/>
      </patternFill>
    </fill>
    <fill>
      <patternFill patternType="solid">
        <fgColor theme="7" tint="0.59999389629810485"/>
        <bgColor indexed="64"/>
      </patternFill>
    </fill>
    <fill>
      <patternFill patternType="solid">
        <fgColor theme="2"/>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theme="8" tint="0.79998168889431442"/>
        <bgColor indexed="65"/>
      </patternFill>
    </fill>
    <fill>
      <patternFill patternType="solid">
        <fgColor theme="0" tint="-0.14999847407452621"/>
        <bgColor indexed="64"/>
      </patternFill>
    </fill>
    <fill>
      <patternFill patternType="solid">
        <fgColor theme="0"/>
        <bgColor indexed="64"/>
      </patternFill>
    </fill>
  </fills>
  <borders count="9">
    <border>
      <left/>
      <right/>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right/>
      <top/>
      <bottom style="thin">
        <color rgb="FFBFBFBF"/>
      </bottom>
      <diagonal/>
    </border>
    <border>
      <left style="thin">
        <color rgb="FFBFBFBF"/>
      </left>
      <right style="thin">
        <color rgb="FFBFBFBF"/>
      </right>
      <top/>
      <bottom/>
      <diagonal/>
    </border>
    <border>
      <left/>
      <right/>
      <top style="thin">
        <color theme="6"/>
      </top>
      <bottom/>
      <diagonal/>
    </border>
    <border>
      <left/>
      <right/>
      <top style="thin">
        <color theme="6"/>
      </top>
      <bottom style="thin">
        <color theme="6"/>
      </bottom>
      <diagonal/>
    </border>
    <border>
      <left style="thin">
        <color rgb="FF7F7F7F"/>
      </left>
      <right style="thin">
        <color rgb="FF7F7F7F"/>
      </right>
      <top style="thin">
        <color rgb="FF7F7F7F"/>
      </top>
      <bottom style="thin">
        <color rgb="FF7F7F7F"/>
      </bottom>
      <diagonal/>
    </border>
  </borders>
  <cellStyleXfs count="7">
    <xf numFmtId="0" fontId="0" fillId="0" borderId="0"/>
    <xf numFmtId="43" fontId="25" fillId="0" borderId="0"/>
    <xf numFmtId="9" fontId="25" fillId="0" borderId="0" applyFont="0" applyFill="0" applyBorder="0" applyAlignment="0" applyProtection="0"/>
    <xf numFmtId="0" fontId="37" fillId="35" borderId="0" applyNumberFormat="0" applyBorder="0" applyAlignment="0" applyProtection="0"/>
    <xf numFmtId="0" fontId="38" fillId="36" borderId="0" applyNumberFormat="0" applyBorder="0" applyAlignment="0" applyProtection="0"/>
    <xf numFmtId="0" fontId="39" fillId="37" borderId="0" applyNumberFormat="0" applyBorder="0" applyAlignment="0" applyProtection="0"/>
    <xf numFmtId="0" fontId="1" fillId="38" borderId="0" applyNumberFormat="0" applyBorder="0" applyAlignment="0" applyProtection="0"/>
  </cellStyleXfs>
  <cellXfs count="202">
    <xf numFmtId="0" fontId="0" fillId="0" borderId="0" xfId="0"/>
    <xf numFmtId="0" fontId="0" fillId="0" borderId="1" xfId="0" applyBorder="1"/>
    <xf numFmtId="0" fontId="0" fillId="0" borderId="2" xfId="0" applyBorder="1"/>
    <xf numFmtId="164" fontId="25" fillId="0" borderId="0" xfId="1" applyNumberFormat="1"/>
    <xf numFmtId="0" fontId="0" fillId="2" borderId="0" xfId="0" applyFill="1"/>
    <xf numFmtId="165" fontId="0" fillId="0" borderId="0" xfId="0" applyNumberFormat="1"/>
    <xf numFmtId="0" fontId="0" fillId="27" borderId="0" xfId="0" applyFill="1" applyAlignment="1">
      <alignment horizontal="center"/>
    </xf>
    <xf numFmtId="0" fontId="0" fillId="27" borderId="0" xfId="0" applyFill="1"/>
    <xf numFmtId="0" fontId="0" fillId="28" borderId="0" xfId="0" applyFill="1"/>
    <xf numFmtId="0" fontId="0" fillId="29" borderId="0" xfId="0" applyFill="1"/>
    <xf numFmtId="0" fontId="0" fillId="30" borderId="0" xfId="0" applyFill="1"/>
    <xf numFmtId="165" fontId="0" fillId="27" borderId="0" xfId="0" applyNumberFormat="1" applyFill="1"/>
    <xf numFmtId="165" fontId="0" fillId="28" borderId="0" xfId="0" applyNumberFormat="1" applyFill="1"/>
    <xf numFmtId="165" fontId="0" fillId="29" borderId="0" xfId="0" applyNumberFormat="1" applyFill="1"/>
    <xf numFmtId="165" fontId="0" fillId="30" borderId="0" xfId="0" applyNumberFormat="1" applyFill="1"/>
    <xf numFmtId="165" fontId="0" fillId="27" borderId="0" xfId="0" applyNumberFormat="1" applyFill="1" applyAlignment="1">
      <alignment horizontal="center"/>
    </xf>
    <xf numFmtId="165" fontId="0" fillId="28" borderId="0" xfId="0" applyNumberFormat="1" applyFill="1" applyAlignment="1">
      <alignment horizontal="center"/>
    </xf>
    <xf numFmtId="165" fontId="0" fillId="29" borderId="0" xfId="0" applyNumberFormat="1" applyFill="1" applyAlignment="1">
      <alignment horizontal="center"/>
    </xf>
    <xf numFmtId="165" fontId="0" fillId="30" borderId="0" xfId="0" applyNumberFormat="1" applyFill="1" applyAlignment="1">
      <alignment horizontal="center"/>
    </xf>
    <xf numFmtId="0" fontId="4" fillId="4" borderId="3" xfId="0" applyFont="1" applyFill="1" applyBorder="1" applyAlignment="1">
      <alignment horizontal="left" vertical="center" wrapText="1"/>
    </xf>
    <xf numFmtId="0" fontId="3" fillId="27" borderId="0" xfId="0" applyFont="1" applyFill="1" applyAlignment="1">
      <alignment horizontal="left" vertical="center" wrapText="1"/>
    </xf>
    <xf numFmtId="0" fontId="3" fillId="28" borderId="3" xfId="0" applyFont="1" applyFill="1" applyBorder="1" applyAlignment="1">
      <alignment horizontal="left" vertical="center" wrapText="1"/>
    </xf>
    <xf numFmtId="0" fontId="3" fillId="29" borderId="0" xfId="0" applyFont="1" applyFill="1" applyAlignment="1">
      <alignment horizontal="left" vertical="center" wrapText="1"/>
    </xf>
    <xf numFmtId="0" fontId="3" fillId="30" borderId="0" xfId="0" applyFont="1" applyFill="1" applyAlignment="1">
      <alignment horizontal="left" vertical="center" wrapText="1"/>
    </xf>
    <xf numFmtId="0" fontId="0" fillId="31" borderId="4" xfId="0" applyFill="1" applyBorder="1" applyAlignment="1">
      <alignment horizontal="center"/>
    </xf>
    <xf numFmtId="0" fontId="4" fillId="4" borderId="5" xfId="0" applyFont="1" applyFill="1" applyBorder="1" applyAlignment="1">
      <alignment horizontal="left" vertical="center" wrapText="1"/>
    </xf>
    <xf numFmtId="0" fontId="0" fillId="31" borderId="0" xfId="0" applyFill="1" applyAlignment="1">
      <alignment horizontal="center"/>
    </xf>
    <xf numFmtId="9" fontId="0" fillId="27" borderId="0" xfId="2" applyFont="1" applyFill="1"/>
    <xf numFmtId="9" fontId="0" fillId="28" borderId="0" xfId="2" applyFont="1" applyFill="1"/>
    <xf numFmtId="9" fontId="0" fillId="29" borderId="0" xfId="2" applyFont="1" applyFill="1"/>
    <xf numFmtId="0" fontId="3" fillId="32" borderId="0" xfId="0" applyFont="1" applyFill="1" applyAlignment="1">
      <alignment horizontal="left" vertical="center" wrapText="1"/>
    </xf>
    <xf numFmtId="165" fontId="0" fillId="32" borderId="0" xfId="0" applyNumberFormat="1" applyFill="1" applyAlignment="1">
      <alignment horizontal="center"/>
    </xf>
    <xf numFmtId="9" fontId="0" fillId="32" borderId="0" xfId="2" applyFont="1" applyFill="1"/>
    <xf numFmtId="165" fontId="0" fillId="32" borderId="0" xfId="0" applyNumberFormat="1" applyFill="1"/>
    <xf numFmtId="0" fontId="0" fillId="32" borderId="0" xfId="0" applyFill="1"/>
    <xf numFmtId="9" fontId="0" fillId="30" borderId="0" xfId="2" applyFont="1" applyFill="1"/>
    <xf numFmtId="0" fontId="3" fillId="33" borderId="0" xfId="0" applyFont="1" applyFill="1" applyAlignment="1">
      <alignment horizontal="left" vertical="center" wrapText="1"/>
    </xf>
    <xf numFmtId="165" fontId="0" fillId="33" borderId="0" xfId="0" applyNumberFormat="1" applyFill="1" applyAlignment="1">
      <alignment horizontal="center"/>
    </xf>
    <xf numFmtId="9" fontId="0" fillId="33" borderId="0" xfId="2" applyFont="1" applyFill="1"/>
    <xf numFmtId="165" fontId="0" fillId="33" borderId="0" xfId="0" applyNumberFormat="1" applyFill="1"/>
    <xf numFmtId="0" fontId="0" fillId="33" borderId="0" xfId="0" applyFill="1"/>
    <xf numFmtId="0" fontId="0" fillId="33" borderId="1" xfId="0" applyFill="1" applyBorder="1"/>
    <xf numFmtId="0" fontId="3" fillId="25" borderId="3" xfId="0" applyFont="1" applyFill="1" applyBorder="1" applyAlignment="1">
      <alignment horizontal="left" vertical="center" wrapText="1"/>
    </xf>
    <xf numFmtId="0" fontId="4" fillId="4" borderId="3" xfId="0" applyFont="1" applyFill="1" applyBorder="1" applyAlignment="1">
      <alignment horizontal="center" vertical="center" wrapText="1"/>
    </xf>
    <xf numFmtId="0" fontId="9" fillId="27" borderId="3" xfId="0" applyFont="1" applyFill="1" applyBorder="1" applyAlignment="1">
      <alignment horizontal="center" vertical="center" wrapText="1"/>
    </xf>
    <xf numFmtId="0" fontId="7" fillId="27" borderId="3" xfId="0" applyFont="1" applyFill="1" applyBorder="1" applyAlignment="1">
      <alignment horizontal="center" vertical="center" wrapText="1"/>
    </xf>
    <xf numFmtId="0" fontId="3" fillId="27" borderId="3" xfId="0" applyFont="1" applyFill="1" applyBorder="1" applyAlignment="1">
      <alignment horizontal="left" vertical="center" wrapText="1"/>
    </xf>
    <xf numFmtId="0" fontId="9" fillId="28" borderId="3" xfId="0" applyFont="1" applyFill="1" applyBorder="1" applyAlignment="1">
      <alignment horizontal="center" vertical="center" wrapText="1"/>
    </xf>
    <xf numFmtId="0" fontId="7" fillId="28" borderId="3" xfId="0" applyFont="1" applyFill="1" applyBorder="1" applyAlignment="1">
      <alignment horizontal="center" vertical="center" wrapText="1"/>
    </xf>
    <xf numFmtId="165" fontId="3" fillId="28" borderId="3" xfId="0" applyNumberFormat="1" applyFont="1" applyFill="1" applyBorder="1" applyAlignment="1">
      <alignment horizontal="center" vertical="center" wrapText="1"/>
    </xf>
    <xf numFmtId="0" fontId="9" fillId="29" borderId="3" xfId="0" applyFont="1" applyFill="1" applyBorder="1" applyAlignment="1">
      <alignment horizontal="center" vertical="center" wrapText="1"/>
    </xf>
    <xf numFmtId="0" fontId="7" fillId="29" borderId="3" xfId="0" applyFont="1" applyFill="1" applyBorder="1" applyAlignment="1">
      <alignment horizontal="center" vertical="center" wrapText="1"/>
    </xf>
    <xf numFmtId="0" fontId="3" fillId="29" borderId="3" xfId="0" applyFont="1" applyFill="1" applyBorder="1" applyAlignment="1">
      <alignment horizontal="left" vertical="center" wrapText="1"/>
    </xf>
    <xf numFmtId="165" fontId="3" fillId="29" borderId="3" xfId="0" applyNumberFormat="1" applyFont="1" applyFill="1" applyBorder="1" applyAlignment="1">
      <alignment horizontal="center" vertical="center" wrapText="1"/>
    </xf>
    <xf numFmtId="0" fontId="9" fillId="32" borderId="3" xfId="0" applyFont="1" applyFill="1" applyBorder="1" applyAlignment="1">
      <alignment horizontal="center" vertical="center" wrapText="1"/>
    </xf>
    <xf numFmtId="0" fontId="7" fillId="32" borderId="3" xfId="0" applyFont="1" applyFill="1" applyBorder="1" applyAlignment="1">
      <alignment horizontal="center" vertical="center" wrapText="1"/>
    </xf>
    <xf numFmtId="0" fontId="3" fillId="32" borderId="3" xfId="0" applyFont="1" applyFill="1" applyBorder="1" applyAlignment="1">
      <alignment horizontal="left" vertical="center" wrapText="1"/>
    </xf>
    <xf numFmtId="165" fontId="3" fillId="32" borderId="3" xfId="0" applyNumberFormat="1" applyFont="1" applyFill="1" applyBorder="1" applyAlignment="1">
      <alignment horizontal="center" vertical="center" wrapText="1"/>
    </xf>
    <xf numFmtId="0" fontId="9" fillId="30" borderId="3" xfId="0" applyFont="1" applyFill="1" applyBorder="1" applyAlignment="1">
      <alignment horizontal="center" vertical="center" wrapText="1"/>
    </xf>
    <xf numFmtId="0" fontId="7" fillId="30" borderId="3" xfId="0" applyFont="1" applyFill="1" applyBorder="1" applyAlignment="1">
      <alignment horizontal="center" vertical="center" wrapText="1"/>
    </xf>
    <xf numFmtId="0" fontId="3" fillId="30" borderId="3" xfId="0" applyFont="1" applyFill="1" applyBorder="1" applyAlignment="1">
      <alignment horizontal="left" vertical="center" wrapText="1"/>
    </xf>
    <xf numFmtId="165" fontId="3" fillId="30" borderId="3" xfId="0" applyNumberFormat="1" applyFont="1" applyFill="1" applyBorder="1" applyAlignment="1">
      <alignment horizontal="center" vertical="center" wrapText="1"/>
    </xf>
    <xf numFmtId="0" fontId="9" fillId="33" borderId="3" xfId="0" applyFont="1" applyFill="1" applyBorder="1" applyAlignment="1">
      <alignment horizontal="center" vertical="center" wrapText="1"/>
    </xf>
    <xf numFmtId="0" fontId="7" fillId="33" borderId="3" xfId="0" applyFont="1" applyFill="1" applyBorder="1" applyAlignment="1">
      <alignment horizontal="center" vertical="center" wrapText="1"/>
    </xf>
    <xf numFmtId="0" fontId="3" fillId="33" borderId="3" xfId="0" applyFont="1" applyFill="1" applyBorder="1" applyAlignment="1">
      <alignment horizontal="left" vertical="center" wrapText="1"/>
    </xf>
    <xf numFmtId="165" fontId="3" fillId="33" borderId="3" xfId="0" applyNumberFormat="1" applyFont="1" applyFill="1" applyBorder="1" applyAlignment="1">
      <alignment horizontal="center" vertical="center" wrapText="1"/>
    </xf>
    <xf numFmtId="0" fontId="7" fillId="33" borderId="3" xfId="0" applyFont="1" applyFill="1" applyBorder="1" applyAlignment="1">
      <alignment vertical="center" wrapText="1"/>
    </xf>
    <xf numFmtId="0" fontId="20" fillId="3" borderId="3" xfId="0" applyFont="1" applyFill="1" applyBorder="1" applyAlignment="1">
      <alignment horizontal="left" vertical="center" wrapText="1"/>
    </xf>
    <xf numFmtId="0" fontId="3" fillId="3" borderId="3" xfId="0" applyFont="1" applyFill="1" applyBorder="1" applyAlignment="1">
      <alignment horizontal="left" vertical="center" wrapText="1"/>
    </xf>
    <xf numFmtId="0" fontId="3" fillId="10" borderId="3" xfId="0" applyFont="1" applyFill="1" applyBorder="1" applyAlignment="1">
      <alignment horizontal="left" vertical="center" wrapText="1"/>
    </xf>
    <xf numFmtId="0" fontId="23" fillId="4" borderId="3" xfId="0" applyFont="1" applyFill="1" applyBorder="1" applyAlignment="1">
      <alignment horizontal="center" vertical="center" wrapText="1"/>
    </xf>
    <xf numFmtId="0" fontId="23" fillId="7" borderId="3" xfId="0" applyFont="1" applyFill="1" applyBorder="1" applyAlignment="1">
      <alignment horizontal="center" vertical="center" wrapText="1"/>
    </xf>
    <xf numFmtId="0" fontId="23" fillId="8" borderId="3" xfId="0" applyFont="1" applyFill="1" applyBorder="1" applyAlignment="1">
      <alignment horizontal="center" vertical="center" wrapText="1"/>
    </xf>
    <xf numFmtId="0" fontId="14" fillId="4" borderId="3" xfId="0" applyFont="1" applyFill="1" applyBorder="1" applyAlignment="1">
      <alignment horizontal="center" vertical="center" wrapText="1"/>
    </xf>
    <xf numFmtId="0" fontId="14" fillId="11" borderId="3" xfId="0" applyFont="1" applyFill="1" applyBorder="1" applyAlignment="1">
      <alignment horizontal="center" vertical="center" wrapText="1"/>
    </xf>
    <xf numFmtId="0" fontId="14" fillId="13" borderId="3" xfId="0" applyFont="1" applyFill="1" applyBorder="1" applyAlignment="1">
      <alignment horizontal="center" vertical="center" wrapText="1"/>
    </xf>
    <xf numFmtId="0" fontId="14" fillId="15" borderId="3" xfId="0" applyFont="1" applyFill="1" applyBorder="1" applyAlignment="1">
      <alignment horizontal="center" vertical="center" wrapText="1"/>
    </xf>
    <xf numFmtId="0" fontId="14" fillId="17" borderId="3" xfId="0" applyFont="1" applyFill="1" applyBorder="1" applyAlignment="1">
      <alignment horizontal="center" vertical="center" wrapText="1"/>
    </xf>
    <xf numFmtId="0" fontId="14" fillId="19" borderId="3" xfId="0" applyFont="1" applyFill="1" applyBorder="1" applyAlignment="1">
      <alignment horizontal="center" vertical="center" wrapText="1"/>
    </xf>
    <xf numFmtId="0" fontId="24" fillId="5" borderId="3" xfId="0" applyFont="1" applyFill="1" applyBorder="1" applyAlignment="1">
      <alignment horizontal="center" vertical="center" wrapText="1"/>
    </xf>
    <xf numFmtId="0" fontId="24" fillId="23" borderId="3" xfId="0" applyFont="1" applyFill="1" applyBorder="1" applyAlignment="1">
      <alignment horizontal="center" vertical="center" wrapText="1"/>
    </xf>
    <xf numFmtId="0" fontId="24" fillId="26" borderId="3" xfId="0" applyFont="1" applyFill="1" applyBorder="1" applyAlignment="1">
      <alignment horizontal="center" vertical="center" wrapText="1"/>
    </xf>
    <xf numFmtId="0" fontId="24" fillId="9" borderId="3" xfId="0" applyFont="1" applyFill="1" applyBorder="1" applyAlignment="1">
      <alignment horizontal="center" vertical="center" wrapText="1"/>
    </xf>
    <xf numFmtId="0" fontId="7" fillId="5" borderId="3" xfId="0" applyFont="1" applyFill="1" applyBorder="1" applyAlignment="1">
      <alignment horizontal="left" vertical="center" wrapText="1"/>
    </xf>
    <xf numFmtId="0" fontId="11" fillId="21" borderId="3" xfId="0" applyFont="1" applyFill="1" applyBorder="1" applyAlignment="1">
      <alignment horizontal="center" vertical="center" wrapText="1"/>
    </xf>
    <xf numFmtId="0" fontId="7" fillId="25" borderId="3" xfId="0" applyFont="1" applyFill="1" applyBorder="1" applyAlignment="1">
      <alignment horizontal="center" vertical="center"/>
    </xf>
    <xf numFmtId="0" fontId="12" fillId="26" borderId="3" xfId="0" applyFont="1" applyFill="1" applyBorder="1" applyAlignment="1">
      <alignment horizontal="left" vertical="center" wrapText="1"/>
    </xf>
    <xf numFmtId="0" fontId="16" fillId="10" borderId="3" xfId="0" applyFont="1" applyFill="1" applyBorder="1" applyAlignment="1">
      <alignment horizontal="left" vertical="center" wrapText="1"/>
    </xf>
    <xf numFmtId="0" fontId="14" fillId="11" borderId="3" xfId="0" applyFont="1" applyFill="1" applyBorder="1" applyAlignment="1">
      <alignment horizontal="left" vertical="center" wrapText="1"/>
    </xf>
    <xf numFmtId="0" fontId="9" fillId="12" borderId="3" xfId="0" applyFont="1" applyFill="1" applyBorder="1" applyAlignment="1">
      <alignment horizontal="left" vertical="center" wrapText="1"/>
    </xf>
    <xf numFmtId="0" fontId="11" fillId="12" borderId="3" xfId="0" applyFont="1" applyFill="1" applyBorder="1" applyAlignment="1">
      <alignment horizontal="center" vertical="center" wrapText="1"/>
    </xf>
    <xf numFmtId="0" fontId="14" fillId="13" borderId="3" xfId="0" applyFont="1" applyFill="1" applyBorder="1" applyAlignment="1">
      <alignment horizontal="left" vertical="center" wrapText="1"/>
    </xf>
    <xf numFmtId="0" fontId="9" fillId="14" borderId="3" xfId="0" applyFont="1" applyFill="1" applyBorder="1" applyAlignment="1">
      <alignment horizontal="left" vertical="center" wrapText="1"/>
    </xf>
    <xf numFmtId="0" fontId="11" fillId="14" borderId="3" xfId="0" applyFont="1" applyFill="1" applyBorder="1" applyAlignment="1">
      <alignment horizontal="center" vertical="center" wrapText="1"/>
    </xf>
    <xf numFmtId="0" fontId="14" fillId="15" borderId="3" xfId="0" applyFont="1" applyFill="1" applyBorder="1" applyAlignment="1">
      <alignment horizontal="left" vertical="center" wrapText="1"/>
    </xf>
    <xf numFmtId="0" fontId="9" fillId="16" borderId="3" xfId="0" applyFont="1" applyFill="1" applyBorder="1" applyAlignment="1">
      <alignment horizontal="left" vertical="center" wrapText="1"/>
    </xf>
    <xf numFmtId="0" fontId="11" fillId="16" borderId="3" xfId="0" applyFont="1" applyFill="1" applyBorder="1" applyAlignment="1">
      <alignment horizontal="center" vertical="center" wrapText="1"/>
    </xf>
    <xf numFmtId="0" fontId="14" fillId="17" borderId="3" xfId="0" applyFont="1" applyFill="1" applyBorder="1" applyAlignment="1">
      <alignment horizontal="left" vertical="center" wrapText="1"/>
    </xf>
    <xf numFmtId="0" fontId="9" fillId="18" borderId="3" xfId="0" applyFont="1" applyFill="1" applyBorder="1" applyAlignment="1">
      <alignment horizontal="left" vertical="center" wrapText="1"/>
    </xf>
    <xf numFmtId="0" fontId="14" fillId="19" borderId="3" xfId="0" applyFont="1" applyFill="1" applyBorder="1" applyAlignment="1">
      <alignment horizontal="left" vertical="center" wrapText="1"/>
    </xf>
    <xf numFmtId="0" fontId="9" fillId="20" borderId="3" xfId="0" applyFont="1" applyFill="1" applyBorder="1" applyAlignment="1">
      <alignment horizontal="left" vertical="center" wrapText="1"/>
    </xf>
    <xf numFmtId="0" fontId="11" fillId="20" borderId="3" xfId="0" applyFont="1" applyFill="1" applyBorder="1" applyAlignment="1">
      <alignment horizontal="center" vertical="center" wrapText="1"/>
    </xf>
    <xf numFmtId="0" fontId="6" fillId="4" borderId="3" xfId="0" applyFont="1" applyFill="1" applyBorder="1" applyAlignment="1">
      <alignment horizontal="left" vertical="center" wrapText="1"/>
    </xf>
    <xf numFmtId="0" fontId="3" fillId="4" borderId="3" xfId="0" applyFont="1" applyFill="1" applyBorder="1" applyAlignment="1">
      <alignment horizontal="left" vertical="center" wrapText="1"/>
    </xf>
    <xf numFmtId="0" fontId="9" fillId="5" borderId="3" xfId="0" applyFont="1" applyFill="1" applyBorder="1" applyAlignment="1">
      <alignment horizontal="center" vertical="center" wrapText="1"/>
    </xf>
    <xf numFmtId="0" fontId="7" fillId="5" borderId="3" xfId="0" applyFont="1" applyFill="1" applyBorder="1" applyAlignment="1">
      <alignment horizontal="center" vertical="center" wrapText="1"/>
    </xf>
    <xf numFmtId="0" fontId="5" fillId="25" borderId="3" xfId="0" applyFont="1" applyFill="1" applyBorder="1" applyAlignment="1">
      <alignment horizontal="center" vertical="center"/>
    </xf>
    <xf numFmtId="0" fontId="6" fillId="7" borderId="3" xfId="0" applyFont="1" applyFill="1" applyBorder="1" applyAlignment="1">
      <alignment horizontal="left" vertical="center" wrapText="1"/>
    </xf>
    <xf numFmtId="0" fontId="3" fillId="7" borderId="3" xfId="0" applyFont="1" applyFill="1" applyBorder="1" applyAlignment="1">
      <alignment horizontal="left" vertical="center" wrapText="1"/>
    </xf>
    <xf numFmtId="0" fontId="9" fillId="23" borderId="3" xfId="0" applyFont="1" applyFill="1" applyBorder="1" applyAlignment="1">
      <alignment horizontal="center" vertical="center" wrapText="1"/>
    </xf>
    <xf numFmtId="0" fontId="7" fillId="23" borderId="3" xfId="0" applyFont="1" applyFill="1" applyBorder="1" applyAlignment="1">
      <alignment horizontal="center" vertical="center" wrapText="1"/>
    </xf>
    <xf numFmtId="0" fontId="6" fillId="8" borderId="3" xfId="0" applyFont="1" applyFill="1" applyBorder="1" applyAlignment="1">
      <alignment horizontal="left" vertical="center" wrapText="1"/>
    </xf>
    <xf numFmtId="0" fontId="3" fillId="8" borderId="3" xfId="0" applyFont="1" applyFill="1" applyBorder="1" applyAlignment="1">
      <alignment horizontal="left" vertical="center" wrapText="1"/>
    </xf>
    <xf numFmtId="0" fontId="9" fillId="26" borderId="3" xfId="0" applyFont="1" applyFill="1" applyBorder="1" applyAlignment="1">
      <alignment horizontal="center" vertical="center" wrapText="1"/>
    </xf>
    <xf numFmtId="0" fontId="7" fillId="26" borderId="3" xfId="0" applyFont="1" applyFill="1" applyBorder="1" applyAlignment="1">
      <alignment horizontal="center" vertical="center" wrapText="1"/>
    </xf>
    <xf numFmtId="0" fontId="9" fillId="9" borderId="3" xfId="0" applyFont="1" applyFill="1" applyBorder="1" applyAlignment="1">
      <alignment horizontal="center" vertical="center" wrapText="1"/>
    </xf>
    <xf numFmtId="0" fontId="7" fillId="9" borderId="3" xfId="0" applyFont="1" applyFill="1" applyBorder="1" applyAlignment="1">
      <alignment horizontal="center" vertical="center" wrapText="1"/>
    </xf>
    <xf numFmtId="0" fontId="7" fillId="5" borderId="3" xfId="0" applyFont="1" applyFill="1" applyBorder="1" applyAlignment="1">
      <alignment vertical="center" wrapText="1"/>
    </xf>
    <xf numFmtId="0" fontId="2" fillId="3" borderId="3" xfId="0" applyFont="1" applyFill="1" applyBorder="1" applyAlignment="1">
      <alignment horizontal="left" vertical="center" wrapText="1"/>
    </xf>
    <xf numFmtId="0" fontId="5" fillId="5" borderId="3" xfId="0" applyFont="1" applyFill="1" applyBorder="1" applyAlignment="1">
      <alignment horizontal="left" vertical="center" wrapText="1"/>
    </xf>
    <xf numFmtId="0" fontId="3" fillId="2" borderId="3" xfId="0" applyFont="1" applyFill="1" applyBorder="1" applyAlignment="1">
      <alignment horizontal="left" vertical="center" wrapText="1"/>
    </xf>
    <xf numFmtId="0" fontId="3" fillId="21" borderId="3" xfId="0" applyFont="1" applyFill="1" applyBorder="1" applyAlignment="1">
      <alignment horizontal="left" vertical="center" wrapText="1"/>
    </xf>
    <xf numFmtId="164" fontId="3" fillId="25" borderId="3" xfId="1" applyNumberFormat="1" applyFont="1" applyFill="1" applyBorder="1" applyAlignment="1">
      <alignment horizontal="left" vertical="center" wrapText="1"/>
    </xf>
    <xf numFmtId="0" fontId="4" fillId="3" borderId="3" xfId="0" applyFont="1" applyFill="1" applyBorder="1" applyAlignment="1">
      <alignment horizontal="center" vertical="center" wrapText="1"/>
    </xf>
    <xf numFmtId="0" fontId="4" fillId="3" borderId="3" xfId="0" applyFont="1" applyFill="1" applyBorder="1" applyAlignment="1">
      <alignment horizontal="left" vertical="center" wrapText="1"/>
    </xf>
    <xf numFmtId="0" fontId="3" fillId="5" borderId="3" xfId="0" applyFont="1" applyFill="1" applyBorder="1" applyAlignment="1">
      <alignment horizontal="center" vertical="center" wrapText="1"/>
    </xf>
    <xf numFmtId="0" fontId="21" fillId="25" borderId="3" xfId="0" applyFont="1" applyFill="1" applyBorder="1" applyAlignment="1">
      <alignment horizontal="center" vertical="center"/>
    </xf>
    <xf numFmtId="0" fontId="9" fillId="23" borderId="3" xfId="0" applyFont="1" applyFill="1" applyBorder="1" applyAlignment="1">
      <alignment horizontal="left" vertical="center" wrapText="1"/>
    </xf>
    <xf numFmtId="0" fontId="10" fillId="24" borderId="3" xfId="0" applyFont="1" applyFill="1" applyBorder="1" applyAlignment="1">
      <alignment horizontal="left" vertical="center" wrapText="1"/>
    </xf>
    <xf numFmtId="0" fontId="11" fillId="21" borderId="3" xfId="0" applyFont="1" applyFill="1" applyBorder="1" applyAlignment="1">
      <alignment horizontal="left" vertical="center" wrapText="1"/>
    </xf>
    <xf numFmtId="0" fontId="12" fillId="26" borderId="3" xfId="0" applyFont="1" applyFill="1" applyBorder="1" applyAlignment="1">
      <alignment horizontal="center" vertical="center" wrapText="1"/>
    </xf>
    <xf numFmtId="0" fontId="22" fillId="26" borderId="3" xfId="0" applyFont="1" applyFill="1" applyBorder="1" applyAlignment="1">
      <alignment horizontal="left" vertical="center" wrapText="1"/>
    </xf>
    <xf numFmtId="0" fontId="14" fillId="3" borderId="3" xfId="0" applyFont="1" applyFill="1" applyBorder="1" applyAlignment="1">
      <alignment horizontal="center" vertical="center" wrapText="1"/>
    </xf>
    <xf numFmtId="0" fontId="14" fillId="3" borderId="3" xfId="0" applyFont="1" applyFill="1" applyBorder="1" applyAlignment="1">
      <alignment horizontal="left" vertical="center" wrapText="1"/>
    </xf>
    <xf numFmtId="0" fontId="7" fillId="6" borderId="3" xfId="0" applyFont="1" applyFill="1" applyBorder="1" applyAlignment="1">
      <alignment horizontal="center" vertical="center" wrapText="1"/>
    </xf>
    <xf numFmtId="0" fontId="15" fillId="23" borderId="3" xfId="0" applyFont="1" applyFill="1" applyBorder="1" applyAlignment="1">
      <alignment horizontal="center" vertical="center" wrapText="1"/>
    </xf>
    <xf numFmtId="0" fontId="14" fillId="24" borderId="3" xfId="0" applyFont="1" applyFill="1" applyBorder="1" applyAlignment="1">
      <alignment horizontal="center" vertical="center" wrapText="1"/>
    </xf>
    <xf numFmtId="0" fontId="3" fillId="21" borderId="3" xfId="0" applyFont="1" applyFill="1" applyBorder="1" applyAlignment="1">
      <alignment horizontal="center" vertical="center" wrapText="1"/>
    </xf>
    <xf numFmtId="0" fontId="26" fillId="21" borderId="3" xfId="0" applyFont="1" applyFill="1" applyBorder="1" applyAlignment="1">
      <alignment horizontal="center" vertical="center" wrapText="1"/>
    </xf>
    <xf numFmtId="0" fontId="27" fillId="23" borderId="3" xfId="0" applyFont="1" applyFill="1" applyBorder="1" applyAlignment="1">
      <alignment horizontal="left" vertical="center" wrapText="1"/>
    </xf>
    <xf numFmtId="0" fontId="28" fillId="21" borderId="3" xfId="0" applyFont="1" applyFill="1" applyBorder="1" applyAlignment="1">
      <alignment horizontal="left" vertical="center" wrapText="1"/>
    </xf>
    <xf numFmtId="0" fontId="16" fillId="21" borderId="3" xfId="0" applyFont="1" applyFill="1" applyBorder="1" applyAlignment="1">
      <alignment horizontal="left" vertical="center" wrapText="1"/>
    </xf>
    <xf numFmtId="0" fontId="9" fillId="21" borderId="3" xfId="0" applyFont="1" applyFill="1" applyBorder="1" applyAlignment="1">
      <alignment horizontal="left" vertical="center" wrapText="1"/>
    </xf>
    <xf numFmtId="0" fontId="11" fillId="5" borderId="3" xfId="0" applyFont="1" applyFill="1" applyBorder="1" applyAlignment="1">
      <alignment horizontal="center" vertical="center" wrapText="1"/>
    </xf>
    <xf numFmtId="0" fontId="11" fillId="23" borderId="3" xfId="0" applyFont="1" applyFill="1" applyBorder="1" applyAlignment="1">
      <alignment horizontal="left" vertical="center" wrapText="1"/>
    </xf>
    <xf numFmtId="0" fontId="18" fillId="24" borderId="3" xfId="0" applyFont="1" applyFill="1" applyBorder="1" applyAlignment="1">
      <alignment horizontal="left" vertical="center" wrapText="1"/>
    </xf>
    <xf numFmtId="0" fontId="21" fillId="22" borderId="3" xfId="0" applyFont="1" applyFill="1" applyBorder="1" applyAlignment="1">
      <alignment horizontal="center" vertical="center"/>
    </xf>
    <xf numFmtId="0" fontId="19" fillId="26" borderId="3" xfId="0" applyFont="1" applyFill="1" applyBorder="1" applyAlignment="1">
      <alignment horizontal="left" vertical="center" wrapText="1"/>
    </xf>
    <xf numFmtId="0" fontId="3" fillId="0" borderId="3" xfId="0" applyFont="1" applyBorder="1" applyAlignment="1">
      <alignment horizontal="left" vertical="center" wrapText="1"/>
    </xf>
    <xf numFmtId="0" fontId="8" fillId="22" borderId="3" xfId="0" applyFont="1" applyFill="1" applyBorder="1" applyAlignment="1">
      <alignment horizontal="center" vertical="center" wrapText="1"/>
    </xf>
    <xf numFmtId="0" fontId="13" fillId="26" borderId="3" xfId="0" applyFont="1" applyFill="1" applyBorder="1" applyAlignment="1">
      <alignment horizontal="left" vertical="center" wrapText="1"/>
    </xf>
    <xf numFmtId="14" fontId="3" fillId="25" borderId="3" xfId="0" applyNumberFormat="1" applyFont="1" applyFill="1" applyBorder="1" applyAlignment="1">
      <alignment horizontal="left" vertical="center" wrapText="1"/>
    </xf>
    <xf numFmtId="43" fontId="3" fillId="25" borderId="3" xfId="1" applyFont="1" applyFill="1" applyBorder="1" applyAlignment="1">
      <alignment horizontal="left" vertical="center" wrapText="1"/>
    </xf>
    <xf numFmtId="0" fontId="9" fillId="2" borderId="3" xfId="0" applyFont="1" applyFill="1" applyBorder="1" applyAlignment="1">
      <alignment horizontal="left" vertical="center" wrapText="1"/>
    </xf>
    <xf numFmtId="0" fontId="8" fillId="26" borderId="3" xfId="0" applyFont="1" applyFill="1" applyBorder="1" applyAlignment="1">
      <alignment horizontal="center" vertical="center" wrapText="1"/>
    </xf>
    <xf numFmtId="0" fontId="21" fillId="22" borderId="1" xfId="0" applyFont="1" applyFill="1" applyBorder="1" applyAlignment="1">
      <alignment horizontal="center" vertical="center"/>
    </xf>
    <xf numFmtId="0" fontId="21" fillId="22" borderId="0" xfId="0" applyFont="1" applyFill="1" applyAlignment="1">
      <alignment horizontal="center" vertical="center"/>
    </xf>
    <xf numFmtId="0" fontId="17" fillId="26" borderId="3" xfId="0" applyFont="1" applyFill="1" applyBorder="1" applyAlignment="1">
      <alignment horizontal="center" vertical="center" wrapText="1"/>
    </xf>
    <xf numFmtId="0" fontId="29" fillId="0" borderId="0" xfId="0" applyFont="1" applyAlignment="1">
      <alignment horizontal="center" vertical="center" wrapText="1"/>
    </xf>
    <xf numFmtId="0" fontId="31" fillId="0" borderId="0" xfId="0" applyFont="1"/>
    <xf numFmtId="0" fontId="30" fillId="0" borderId="0" xfId="0" applyFont="1" applyAlignment="1">
      <alignment horizontal="center" vertical="center" wrapText="1"/>
    </xf>
    <xf numFmtId="0" fontId="33" fillId="0" borderId="0" xfId="0" applyFont="1" applyAlignment="1">
      <alignment horizontal="center" vertical="center" wrapText="1"/>
    </xf>
    <xf numFmtId="0" fontId="34" fillId="21" borderId="3" xfId="0" applyFont="1" applyFill="1" applyBorder="1" applyAlignment="1">
      <alignment horizontal="center" vertical="center" wrapText="1"/>
    </xf>
    <xf numFmtId="0" fontId="24" fillId="2" borderId="3" xfId="0" applyFont="1" applyFill="1" applyBorder="1" applyAlignment="1">
      <alignment horizontal="center" vertical="center" wrapText="1"/>
    </xf>
    <xf numFmtId="0" fontId="0" fillId="0" borderId="6" xfId="0" applyBorder="1"/>
    <xf numFmtId="165" fontId="7" fillId="25" borderId="3" xfId="0" applyNumberFormat="1" applyFont="1" applyFill="1" applyBorder="1" applyAlignment="1">
      <alignment horizontal="center" vertical="center"/>
    </xf>
    <xf numFmtId="0" fontId="35" fillId="0" borderId="6" xfId="0" applyFont="1" applyBorder="1" applyAlignment="1">
      <alignment vertical="top" wrapText="1"/>
    </xf>
    <xf numFmtId="0" fontId="36" fillId="0" borderId="6" xfId="0" applyFont="1" applyBorder="1" applyAlignment="1">
      <alignment vertical="top" wrapText="1"/>
    </xf>
    <xf numFmtId="0" fontId="35" fillId="0" borderId="7" xfId="0" applyFont="1" applyBorder="1" applyAlignment="1">
      <alignment vertical="top" wrapText="1"/>
    </xf>
    <xf numFmtId="0" fontId="36" fillId="0" borderId="7" xfId="0" applyFont="1" applyBorder="1" applyAlignment="1">
      <alignment vertical="top" wrapText="1"/>
    </xf>
    <xf numFmtId="0" fontId="9" fillId="26" borderId="3" xfId="0" applyFont="1" applyFill="1" applyBorder="1" applyAlignment="1">
      <alignment horizontal="left" vertical="center" wrapText="1"/>
    </xf>
    <xf numFmtId="0" fontId="0" fillId="27" borderId="0" xfId="0" applyFill="1" applyAlignment="1">
      <alignment horizontal="center"/>
    </xf>
    <xf numFmtId="0" fontId="3" fillId="4" borderId="3" xfId="0" applyFont="1" applyFill="1" applyBorder="1" applyAlignment="1">
      <alignment horizontal="left" vertical="center" wrapText="1"/>
    </xf>
    <xf numFmtId="0" fontId="9" fillId="21" borderId="3" xfId="0" applyFont="1" applyFill="1" applyBorder="1" applyAlignment="1">
      <alignment horizontal="left" vertical="center" wrapText="1"/>
    </xf>
    <xf numFmtId="0" fontId="3" fillId="21" borderId="3" xfId="0" applyFont="1" applyFill="1" applyBorder="1" applyAlignment="1">
      <alignment horizontal="left" vertical="center" wrapText="1"/>
    </xf>
    <xf numFmtId="0" fontId="13" fillId="26" borderId="3" xfId="0" applyFont="1" applyFill="1" applyBorder="1" applyAlignment="1">
      <alignment horizontal="left" vertical="center" wrapText="1"/>
    </xf>
    <xf numFmtId="0" fontId="22" fillId="26" borderId="3" xfId="0" applyFont="1" applyFill="1" applyBorder="1" applyAlignment="1">
      <alignment horizontal="left" vertical="center" wrapText="1"/>
    </xf>
    <xf numFmtId="0" fontId="3" fillId="25" borderId="3" xfId="0" applyFont="1" applyFill="1" applyBorder="1" applyAlignment="1">
      <alignment horizontal="left" vertical="center" wrapText="1"/>
    </xf>
    <xf numFmtId="0" fontId="1" fillId="38" borderId="8" xfId="6" applyBorder="1" applyAlignment="1">
      <alignment horizontal="left" vertical="center" wrapText="1"/>
    </xf>
    <xf numFmtId="0" fontId="37" fillId="35" borderId="0" xfId="3"/>
    <xf numFmtId="0" fontId="39" fillId="37" borderId="0" xfId="5"/>
    <xf numFmtId="0" fontId="38" fillId="36" borderId="0" xfId="4"/>
    <xf numFmtId="0" fontId="40" fillId="36" borderId="0" xfId="4" applyFont="1"/>
    <xf numFmtId="0" fontId="41" fillId="34" borderId="0" xfId="0" applyFont="1" applyFill="1" applyAlignment="1">
      <alignment vertical="center" wrapText="1"/>
    </xf>
    <xf numFmtId="0" fontId="42" fillId="0" borderId="0" xfId="0" applyFont="1" applyAlignment="1">
      <alignment horizontal="left" vertical="center" wrapText="1"/>
    </xf>
    <xf numFmtId="0" fontId="42" fillId="0" borderId="0" xfId="0" applyFont="1" applyAlignment="1">
      <alignment horizontal="center" vertical="center" wrapText="1"/>
    </xf>
    <xf numFmtId="0" fontId="40" fillId="39" borderId="0" xfId="0" applyFont="1" applyFill="1"/>
    <xf numFmtId="9" fontId="43" fillId="39" borderId="0" xfId="0" applyNumberFormat="1" applyFont="1" applyFill="1" applyAlignment="1">
      <alignment horizontal="center" vertical="center" wrapText="1"/>
    </xf>
    <xf numFmtId="0" fontId="44" fillId="39" borderId="0" xfId="0" applyFont="1" applyFill="1" applyAlignment="1">
      <alignment horizontal="center"/>
    </xf>
    <xf numFmtId="0" fontId="32" fillId="0" borderId="0" xfId="0" applyFont="1" applyAlignment="1">
      <alignment horizontal="left" vertical="center" wrapText="1" indent="1"/>
    </xf>
    <xf numFmtId="0" fontId="39" fillId="37" borderId="0" xfId="5" applyAlignment="1">
      <alignment horizontal="center" vertical="center" wrapText="1"/>
    </xf>
    <xf numFmtId="0" fontId="0" fillId="0" borderId="0" xfId="0" applyAlignment="1">
      <alignment horizontal="center"/>
    </xf>
    <xf numFmtId="0" fontId="1" fillId="38" borderId="0" xfId="6" applyAlignment="1">
      <alignment horizontal="center" vertical="center" wrapText="1"/>
    </xf>
    <xf numFmtId="0" fontId="45" fillId="39" borderId="0" xfId="0" applyFont="1" applyFill="1" applyAlignment="1">
      <alignment vertical="center" wrapText="1"/>
    </xf>
    <xf numFmtId="9" fontId="43" fillId="39" borderId="0" xfId="5" applyNumberFormat="1" applyFont="1" applyFill="1" applyAlignment="1">
      <alignment horizontal="center" vertical="center" wrapText="1"/>
    </xf>
    <xf numFmtId="0" fontId="40" fillId="36" borderId="0" xfId="4" applyFont="1" applyAlignment="1">
      <alignment horizontal="center" vertical="center" wrapText="1"/>
    </xf>
    <xf numFmtId="0" fontId="32" fillId="40" borderId="0" xfId="0" applyFont="1" applyFill="1" applyAlignment="1">
      <alignment horizontal="left" vertical="center" wrapText="1" indent="1"/>
    </xf>
    <xf numFmtId="0" fontId="39" fillId="39" borderId="0" xfId="5" applyFill="1" applyAlignment="1">
      <alignment horizontal="center" vertical="center" wrapText="1"/>
    </xf>
    <xf numFmtId="0" fontId="0" fillId="40" borderId="0" xfId="0" applyFill="1" applyAlignment="1">
      <alignment horizontal="center"/>
    </xf>
    <xf numFmtId="0" fontId="0" fillId="0" borderId="1" xfId="0" applyBorder="1" applyAlignment="1"/>
    <xf numFmtId="0" fontId="0" fillId="0" borderId="2" xfId="0" applyBorder="1" applyAlignment="1"/>
    <xf numFmtId="0" fontId="0" fillId="0" borderId="0" xfId="0" applyAlignment="1"/>
  </cellXfs>
  <cellStyles count="7">
    <cellStyle name="20% - Énfasis5" xfId="6" builtinId="46"/>
    <cellStyle name="Bueno" xfId="3" builtinId="26"/>
    <cellStyle name="Incorrecto" xfId="4" builtinId="27"/>
    <cellStyle name="Millares" xfId="1" builtinId="3"/>
    <cellStyle name="Neutral" xfId="5" builtinId="28"/>
    <cellStyle name="Normal" xfId="0" builtinId="0"/>
    <cellStyle name="Porcentaje" xfId="2" builtinId="5"/>
  </cellStyles>
  <dxfs count="32">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sharedStrings" Target="sharedStrings.xml"/><Relationship Id="rId21" Type="http://schemas.openxmlformats.org/officeDocument/2006/relationships/worksheet" Target="worksheets/sheet21.xml"/><Relationship Id="rId34" Type="http://schemas.openxmlformats.org/officeDocument/2006/relationships/externalLink" Target="externalLinks/externalLink1.xml"/><Relationship Id="rId42"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theme" Target="theme/theme1.xml"/><Relationship Id="rId40"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externalLink" Target="externalLinks/externalLink3.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externalLink" Target="externalLinks/externalLink2.xml"/><Relationship Id="rId43" Type="http://schemas.openxmlformats.org/officeDocument/2006/relationships/customXml" Target="../customXml/item2.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54389</xdr:colOff>
      <xdr:row>50</xdr:row>
      <xdr:rowOff>147016</xdr:rowOff>
    </xdr:from>
    <xdr:to>
      <xdr:col>10</xdr:col>
      <xdr:colOff>76312</xdr:colOff>
      <xdr:row>65</xdr:row>
      <xdr:rowOff>157240</xdr:rowOff>
    </xdr:to>
    <xdr:pic>
      <xdr:nvPicPr>
        <xdr:cNvPr id="2" name="Picture 1">
          <a:extLst>
            <a:ext uri="{FF2B5EF4-FFF2-40B4-BE49-F238E27FC236}">
              <a16:creationId xmlns:a16="http://schemas.microsoft.com/office/drawing/2014/main" id="{C9DF05A5-F89D-2F3F-782E-36F9349608C7}"/>
            </a:ext>
          </a:extLst>
        </xdr:cNvPr>
        <xdr:cNvPicPr>
          <a:picLocks noChangeAspect="1"/>
        </xdr:cNvPicPr>
      </xdr:nvPicPr>
      <xdr:blipFill>
        <a:blip xmlns:r="http://schemas.openxmlformats.org/officeDocument/2006/relationships" r:embed="rId1"/>
        <a:stretch>
          <a:fillRect/>
        </a:stretch>
      </xdr:blipFill>
      <xdr:spPr>
        <a:xfrm>
          <a:off x="178214" y="6547816"/>
          <a:ext cx="7270448" cy="2724849"/>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eduvlerick.sharepoint.com/sites/IMPAQTR/Shared%20Documents/General/02_Interview%20Process/Interview%20Analysis/Interview_Analysis_v3_1_coded.xlsx" TargetMode="External"/><Relationship Id="rId1" Type="http://schemas.openxmlformats.org/officeDocument/2006/relationships/externalLinkPath" Target="Interview_Analysis_v3_1_coded.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Interview_Analysis_v3.xlsx" TargetMode="External"/><Relationship Id="rId1" Type="http://schemas.openxmlformats.org/officeDocument/2006/relationships/externalLinkPath" Target="/sites/IMPAQTR/Shared%20Documents/General/02_Interview%20Process/Interview%20Analysis/Interview_Analysis_v3.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Interview_Analysis_v3_final.xlsx" TargetMode="External"/><Relationship Id="rId1" Type="http://schemas.openxmlformats.org/officeDocument/2006/relationships/externalLinkPath" Target="/sites/IMPAQTR/Shared%20Documents/General/02_Interview%20Process/Interview%20Analysis/Interview_Analysis_v3_final.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vAc0eBLS0UqvPHNmGOfR5r2bZO1WU7VHjCd67e1MEiRnUT4dCyZbRo3Kxe2laClJ" itemId="01HKFUW4Q53CCFMHIV65HYR7L4FDE3ISBF">
      <xxl21:absoluteUrl r:id="rId2"/>
    </xxl21:alternateUrls>
    <sheetNames>
      <sheetName val="Prioritization"/>
      <sheetName val="Scorecard Planning"/>
      <sheetName val="Analysis — Filter View"/>
      <sheetName val="Analysis — Individual"/>
      <sheetName val="Company 1"/>
      <sheetName val="Company 2"/>
      <sheetName val="Company 3"/>
      <sheetName val="Company 4"/>
      <sheetName val="Company 5"/>
      <sheetName val="Company 6"/>
      <sheetName val="Company 7"/>
      <sheetName val="Company 8"/>
      <sheetName val="Company 9"/>
      <sheetName val="Company 10"/>
      <sheetName val="Company 11"/>
      <sheetName val="Company 12"/>
      <sheetName val="Company 13"/>
      <sheetName val="Company 14"/>
      <sheetName val="Company 15"/>
      <sheetName val="Company 16"/>
      <sheetName val="Company 17"/>
      <sheetName val="Company 18"/>
      <sheetName val="Company 19"/>
      <sheetName val="Company 20"/>
      <sheetName val="Company 21"/>
      <sheetName val="Company 22"/>
      <sheetName val="Company 23"/>
      <sheetName val="Company 24"/>
      <sheetName val="Company 25"/>
      <sheetName val="Company 26"/>
      <sheetName val="Company 27"/>
      <sheetName val="Company 28"/>
      <sheetName val="Company 29"/>
      <sheetName val="Company 30"/>
      <sheetName val="Template"/>
    </sheetNames>
    <sheetDataSet>
      <sheetData sheetId="0">
        <row r="23">
          <cell r="W23"/>
          <cell r="X23"/>
          <cell r="Y23"/>
          <cell r="Z23"/>
        </row>
        <row r="24">
          <cell r="W24"/>
          <cell r="X24"/>
          <cell r="Y24"/>
          <cell r="Z24"/>
        </row>
        <row r="25">
          <cell r="W25"/>
          <cell r="X25"/>
          <cell r="Y25"/>
          <cell r="Z25"/>
        </row>
        <row r="26">
          <cell r="W26"/>
          <cell r="X26">
            <v>0.8</v>
          </cell>
          <cell r="Y26">
            <v>0.33333333333333298</v>
          </cell>
          <cell r="Z26">
            <v>0.5</v>
          </cell>
        </row>
        <row r="27">
          <cell r="W27"/>
          <cell r="X27">
            <v>0.8</v>
          </cell>
          <cell r="Y27">
            <v>0.33333333333333298</v>
          </cell>
          <cell r="Z27">
            <v>0.5</v>
          </cell>
        </row>
        <row r="28">
          <cell r="W28"/>
          <cell r="X28">
            <v>0.8</v>
          </cell>
          <cell r="Y28">
            <v>0.66666666666666696</v>
          </cell>
          <cell r="Z28">
            <v>0.25</v>
          </cell>
        </row>
        <row r="29">
          <cell r="W29"/>
          <cell r="X29">
            <v>0.8</v>
          </cell>
          <cell r="Y29">
            <v>0.66666666666666696</v>
          </cell>
          <cell r="Z29">
            <v>1</v>
          </cell>
        </row>
      </sheetData>
      <sheetData sheetId="1"/>
      <sheetData sheetId="2"/>
      <sheetData sheetId="3"/>
      <sheetData sheetId="4">
        <row r="1">
          <cell r="B1" t="str">
            <v>Tom &amp; Co — Juliette Hamer (Chief of Staff) — Int. 1</v>
          </cell>
        </row>
        <row r="2">
          <cell r="B2" t="str">
            <v>Interviewee Details</v>
          </cell>
          <cell r="C2" t="str">
            <v>Response</v>
          </cell>
          <cell r="D2" t="str">
            <v>Coding</v>
          </cell>
        </row>
        <row r="3">
          <cell r="B3" t="str">
            <v>Interviewee Name</v>
          </cell>
          <cell r="C3" t="str">
            <v>Juliette Hamer</v>
          </cell>
          <cell r="D3" t="str">
            <v>AY reviewed</v>
          </cell>
        </row>
        <row r="4">
          <cell r="B4" t="str">
            <v>Interviewee Position</v>
          </cell>
          <cell r="C4" t="str">
            <v>Chief of Staff</v>
          </cell>
        </row>
        <row r="5">
          <cell r="B5" t="str">
            <v>Company (Real)</v>
          </cell>
          <cell r="C5" t="str">
            <v>Tom &amp; Co</v>
          </cell>
        </row>
        <row r="6">
          <cell r="B6" t="str">
            <v>Company (Disguised)</v>
          </cell>
          <cell r="C6" t="str">
            <v>Company 1</v>
          </cell>
        </row>
        <row r="7">
          <cell r="B7" t="str">
            <v>Interview Date</v>
          </cell>
          <cell r="C7" t="str">
            <v>13/05/2026</v>
          </cell>
        </row>
        <row r="8">
          <cell r="B8" t="str">
            <v>Interviewer</v>
          </cell>
          <cell r="C8" t="str">
            <v>Aysegul &amp; Lore</v>
          </cell>
        </row>
        <row r="9">
          <cell r="B9" t="str">
            <v>Interviewer Support</v>
          </cell>
        </row>
        <row r="10">
          <cell r="B10" t="str">
            <v>Company Industry</v>
          </cell>
          <cell r="C10" t="str">
            <v>Specialty Retail</v>
          </cell>
        </row>
        <row r="11">
          <cell r="B11" t="str">
            <v>Company Sub-Industry</v>
          </cell>
          <cell r="C11" t="str">
            <v>Specialty Retail</v>
          </cell>
        </row>
        <row r="12">
          <cell r="B12" t="str">
            <v>Company Size (Turnover)</v>
          </cell>
          <cell r="C12">
            <v>160000000</v>
          </cell>
        </row>
        <row r="13">
          <cell r="B13" t="str">
            <v>Country</v>
          </cell>
          <cell r="C13" t="str">
            <v>Belgium</v>
          </cell>
        </row>
        <row r="15">
          <cell r="B15" t="str">
            <v>Question ID</v>
          </cell>
          <cell r="C15" t="str">
            <v>Question</v>
          </cell>
        </row>
        <row r="16">
          <cell r="B16" t="str">
            <v>── BASELINE BLOCK ──</v>
          </cell>
        </row>
        <row r="17">
          <cell r="B17" t="str">
            <v>B1_INTEREST</v>
          </cell>
          <cell r="C17" t="str">
            <v>Are you interested in data collaboration?</v>
          </cell>
          <cell r="D17" t="str">
            <v>1-10</v>
          </cell>
          <cell r="E17">
            <v>7</v>
          </cell>
        </row>
        <row r="18">
          <cell r="B18" t="str">
            <v>↳ QUOTE</v>
          </cell>
          <cell r="C18" t="e">
            <v>#VALUE!</v>
          </cell>
        </row>
        <row r="19">
          <cell r="B19" t="str">
            <v>B2_SHARING</v>
          </cell>
          <cell r="C19" t="str">
            <v>Do you share data currently?</v>
          </cell>
          <cell r="D19" t="str">
            <v>0/1</v>
          </cell>
          <cell r="E19">
            <v>1</v>
          </cell>
        </row>
        <row r="20">
          <cell r="B20" t="str">
            <v>B3_MONETIZE</v>
          </cell>
          <cell r="C20" t="str">
            <v>Do you monetize your data currently?</v>
          </cell>
          <cell r="D20" t="str">
            <v>0/1</v>
          </cell>
          <cell r="E20">
            <v>1</v>
          </cell>
        </row>
        <row r="21">
          <cell r="B21" t="str">
            <v>B4_STRATEGIC</v>
          </cell>
          <cell r="C21" t="str">
            <v>Do you not share/monetize due to strategic reasons?</v>
          </cell>
          <cell r="D21" t="str">
            <v>0/1</v>
          </cell>
          <cell r="E21">
            <v>0</v>
          </cell>
        </row>
        <row r="22">
          <cell r="B22" t="str">
            <v>── DATA SHARING MATURITY (1–5) ──</v>
          </cell>
        </row>
        <row r="23">
          <cell r="B23" t="str">
            <v>Question ID</v>
          </cell>
          <cell r="C23" t="str">
            <v>Question</v>
          </cell>
          <cell r="D23" t="str">
            <v>Scale</v>
          </cell>
          <cell r="E23" t="str">
            <v>SCORE</v>
          </cell>
        </row>
        <row r="24">
          <cell r="B24" t="str">
            <v>M1_AUTOMATED</v>
          </cell>
          <cell r="C24" t="str">
            <v>Is data sharing automated or manual?</v>
          </cell>
          <cell r="D24" t="str">
            <v>1–5</v>
          </cell>
          <cell r="E24">
            <v>3</v>
          </cell>
        </row>
        <row r="25">
          <cell r="B25" t="str">
            <v>M2_REALTIME</v>
          </cell>
          <cell r="C25" t="str">
            <v>Is data sharing in real-time, or lagging?</v>
          </cell>
          <cell r="D25" t="str">
            <v>1–5</v>
          </cell>
          <cell r="E25">
            <v>2</v>
          </cell>
        </row>
        <row r="26">
          <cell r="B26" t="str">
            <v>M3_STRATEGIC</v>
          </cell>
          <cell r="C26" t="str">
            <v>Is data sharing focused on operations or strategic planning?</v>
          </cell>
          <cell r="D26" t="str">
            <v>1–5</v>
          </cell>
          <cell r="E26">
            <v>2</v>
          </cell>
        </row>
        <row r="27">
          <cell r="B27" t="str">
            <v>M4_BREADTH</v>
          </cell>
          <cell r="C27" t="str">
            <v>Is data sharing available to all clients, or based on strategic importance?</v>
          </cell>
          <cell r="D27" t="str">
            <v>1–5</v>
          </cell>
          <cell r="E27">
            <v>2</v>
          </cell>
        </row>
        <row r="28">
          <cell r="B28" t="str">
            <v>M5_DATATYPES</v>
          </cell>
          <cell r="C28" t="str">
            <v>Breadth of data exchanged</v>
          </cell>
          <cell r="D28" t="str">
            <v>1–5</v>
          </cell>
          <cell r="E28">
            <v>2</v>
          </cell>
        </row>
        <row r="29">
          <cell r="B29" t="str">
            <v>M6_TRUST</v>
          </cell>
          <cell r="C29" t="str">
            <v>Trust in received data</v>
          </cell>
          <cell r="D29" t="str">
            <v>1–5</v>
          </cell>
          <cell r="E29">
            <v>4</v>
          </cell>
        </row>
        <row r="30">
          <cell r="B30" t="str">
            <v>M7_BARRIERS</v>
          </cell>
          <cell r="C30" t="str">
            <v>Readiness / barriers to collaborate</v>
          </cell>
          <cell r="D30" t="str">
            <v>1–5</v>
          </cell>
          <cell r="E30">
            <v>3</v>
          </cell>
        </row>
        <row r="31">
          <cell r="B31" t="str">
            <v>M8_IMPACT</v>
          </cell>
          <cell r="C31" t="str">
            <v>Operational impact of data gaps</v>
          </cell>
        </row>
        <row r="32">
          <cell r="B32" t="str">
            <v>M9_WILLINGNESS</v>
          </cell>
          <cell r="C32" t="str">
            <v>Willingness to collaborate overall</v>
          </cell>
          <cell r="D32" t="str">
            <v>1-10</v>
          </cell>
          <cell r="E32">
            <v>6</v>
          </cell>
        </row>
        <row r="33">
          <cell r="B33" t="str">
            <v>── VALUE UNLOCK AREAS (0 = not mentioned / 1 = mentioned) ──</v>
          </cell>
        </row>
        <row r="34">
          <cell r="B34" t="str">
            <v>Guidance</v>
          </cell>
          <cell r="C34" t="str">
            <v>1 = interviewee explicitly mentioned this as valuable or relevant. 0 = not mentioned or actively dismissed.</v>
          </cell>
        </row>
        <row r="35">
          <cell r="B35" t="str">
            <v>SV1_PRICING</v>
          </cell>
          <cell r="C35" t="str">
            <v>Pricing</v>
          </cell>
          <cell r="D35" t="str">
            <v>0/1</v>
          </cell>
          <cell r="E35">
            <v>0</v>
          </cell>
        </row>
        <row r="36">
          <cell r="B36" t="str">
            <v>↳ QUOTE</v>
          </cell>
          <cell r="C36" t="str">
            <v>"I will even start with basic category management because we make our decision of whether or not to continue a product or to launch a product based on what works at our stores. But we have no clue of what works elsewhere."</v>
          </cell>
        </row>
        <row r="37">
          <cell r="B37" t="str">
            <v>SV2_PROMOTIONS</v>
          </cell>
          <cell r="C37" t="str">
            <v>Promotions</v>
          </cell>
          <cell r="D37" t="str">
            <v>0/1</v>
          </cell>
          <cell r="E37">
            <v>0</v>
          </cell>
        </row>
        <row r="38">
          <cell r="B38" t="str">
            <v>SV3_SUPPLYCHAIN</v>
          </cell>
          <cell r="C38" t="str">
            <v>Supply Chain Management</v>
          </cell>
          <cell r="D38" t="str">
            <v>0/1</v>
          </cell>
          <cell r="E38">
            <v>0</v>
          </cell>
        </row>
        <row r="39">
          <cell r="B39" t="str">
            <v>SV4_CATEGORY</v>
          </cell>
          <cell r="C39" t="str">
            <v>Category Planning</v>
          </cell>
          <cell r="D39" t="str">
            <v>0/1</v>
          </cell>
          <cell r="E39">
            <v>1</v>
          </cell>
        </row>
        <row r="40">
          <cell r="B40" t="str">
            <v>SV5_DEMAND</v>
          </cell>
          <cell r="C40" t="str">
            <v>Demand Forecasting</v>
          </cell>
          <cell r="D40" t="str">
            <v>0/1</v>
          </cell>
          <cell r="E40">
            <v>0</v>
          </cell>
        </row>
        <row r="41">
          <cell r="B41" t="str">
            <v>SV6_ACCOUNT</v>
          </cell>
          <cell r="C41" t="str">
            <v>Accountability</v>
          </cell>
          <cell r="D41" t="str">
            <v>0/1</v>
          </cell>
        </row>
        <row r="42">
          <cell r="B42" t="str">
            <v>SV7_OPS</v>
          </cell>
          <cell r="C42" t="str">
            <v>Operationalization &amp; Workflows</v>
          </cell>
          <cell r="D42" t="str">
            <v>0/1</v>
          </cell>
        </row>
        <row r="43">
          <cell r="B43" t="str">
            <v>── CONCERNS TO RESOLVE (0 = not mentioned / 1 = mentioned) ──</v>
          </cell>
        </row>
        <row r="44">
          <cell r="B44" t="str">
            <v>Guidance</v>
          </cell>
          <cell r="C44" t="str">
            <v>1 = interviewee explicitly mentioned this as valuable or relevant. 0 = not mentioned or actively dismissed.</v>
          </cell>
        </row>
        <row r="45">
          <cell r="B45" t="str">
            <v>SC1_DATASENS</v>
          </cell>
          <cell r="C45" t="str">
            <v>Data Sensitivity</v>
          </cell>
          <cell r="D45" t="str">
            <v>0/1</v>
          </cell>
          <cell r="E45">
            <v>1</v>
          </cell>
        </row>
        <row r="46">
          <cell r="B46" t="str">
            <v>SC2_COMPLIANCE</v>
          </cell>
          <cell r="C46" t="str">
            <v>Compliance</v>
          </cell>
          <cell r="D46" t="str">
            <v>0/1</v>
          </cell>
          <cell r="E46">
            <v>0</v>
          </cell>
        </row>
        <row r="47">
          <cell r="B47" t="str">
            <v>SC3_TRUST</v>
          </cell>
          <cell r="C47" t="str">
            <v>Trust Issues</v>
          </cell>
          <cell r="D47" t="str">
            <v>0/1</v>
          </cell>
          <cell r="E47">
            <v>0</v>
          </cell>
        </row>
        <row r="48">
          <cell r="B48" t="str">
            <v>SC4_DATAPROC</v>
          </cell>
          <cell r="C48" t="str">
            <v>Data Processing</v>
          </cell>
          <cell r="D48" t="str">
            <v>0/1</v>
          </cell>
          <cell r="E48">
            <v>0</v>
          </cell>
        </row>
        <row r="49">
          <cell r="B49" t="str">
            <v>── CRITICAL TOOL FEATURES (0 = not mentioned / 1 = mentioned) ──</v>
          </cell>
        </row>
        <row r="50">
          <cell r="B50" t="str">
            <v>Guidance</v>
          </cell>
          <cell r="C50" t="str">
            <v>1 = interviewee explicitly mentioned this as valuable or relevant. 0 = not mentioned or actively dismissed.</v>
          </cell>
        </row>
        <row r="51">
          <cell r="B51" t="str">
            <v>SF1_REALTIME</v>
          </cell>
          <cell r="C51" t="str">
            <v>Dynamic, real-time data exchange</v>
          </cell>
          <cell r="D51" t="str">
            <v>0/1</v>
          </cell>
          <cell r="E51">
            <v>0</v>
          </cell>
        </row>
        <row r="52">
          <cell r="B52" t="str">
            <v>↳ QUOTE</v>
          </cell>
          <cell r="C52" t="str">
            <v>"I'm assuming that many of our suppliers have the exact same data sets that they want to monetize with us. But as soon as one of them gives it to us, everybody else loses."</v>
          </cell>
        </row>
        <row r="53">
          <cell r="B53" t="str">
            <v>SF2_ACCESS</v>
          </cell>
          <cell r="C53" t="str">
            <v>Equal access to shared datasets</v>
          </cell>
          <cell r="D53" t="str">
            <v>0/1</v>
          </cell>
          <cell r="E53">
            <v>0</v>
          </cell>
        </row>
        <row r="54">
          <cell r="B54" t="str">
            <v>SF3_UX</v>
          </cell>
          <cell r="C54" t="str">
            <v>Simple UX/UI</v>
          </cell>
          <cell r="D54" t="str">
            <v>0/1</v>
          </cell>
          <cell r="E54">
            <v>0</v>
          </cell>
        </row>
        <row r="55">
          <cell r="B55" t="str">
            <v>SF4_DECISION</v>
          </cell>
          <cell r="C55" t="str">
            <v>Allows joint decision making</v>
          </cell>
          <cell r="D55" t="str">
            <v>0/1</v>
          </cell>
          <cell r="E55">
            <v>0</v>
          </cell>
        </row>
        <row r="56">
          <cell r="B56" t="str">
            <v>SF5_MASKING</v>
          </cell>
          <cell r="C56" t="str">
            <v>Clear masking rules by supplier/user</v>
          </cell>
          <cell r="D56" t="str">
            <v>0/1</v>
          </cell>
          <cell r="E56">
            <v>1</v>
          </cell>
        </row>
        <row r="57">
          <cell r="B57" t="str">
            <v>── PREFERRED DATASETS (0 = not mentioned / 1 = mentioned) ──</v>
          </cell>
        </row>
        <row r="58">
          <cell r="B58" t="str">
            <v>Guidance</v>
          </cell>
          <cell r="C58" t="str">
            <v>1 = interviewee explicitly mentioned this as valuable or relevant. 0 = not mentioned or actively dismissed.</v>
          </cell>
        </row>
        <row r="59">
          <cell r="B59" t="str">
            <v>SD1_TRENDS</v>
          </cell>
          <cell r="C59" t="str">
            <v>Global trends and insights</v>
          </cell>
          <cell r="D59" t="str">
            <v>0/1</v>
          </cell>
          <cell r="E59">
            <v>1</v>
          </cell>
        </row>
        <row r="60">
          <cell r="B60" t="str">
            <v>SD2_MARKET</v>
          </cell>
          <cell r="C60" t="str">
            <v>Market research</v>
          </cell>
          <cell r="D60" t="str">
            <v>0/1</v>
          </cell>
          <cell r="E60">
            <v>1</v>
          </cell>
        </row>
        <row r="61">
          <cell r="B61" t="str">
            <v>SD3_CATEGORY</v>
          </cell>
          <cell r="C61" t="str">
            <v>Category performance</v>
          </cell>
          <cell r="D61" t="str">
            <v>0/1</v>
          </cell>
          <cell r="E61">
            <v>1</v>
          </cell>
        </row>
        <row r="62">
          <cell r="B62" t="str">
            <v>SD4_SHIPMENT</v>
          </cell>
          <cell r="C62" t="str">
            <v>Shipment schedules</v>
          </cell>
          <cell r="D62" t="str">
            <v>0/1</v>
          </cell>
          <cell r="E62">
            <v>0</v>
          </cell>
        </row>
        <row r="63">
          <cell r="B63" t="str">
            <v>SD5_LEAD</v>
          </cell>
          <cell r="C63" t="str">
            <v>Lead times</v>
          </cell>
          <cell r="D63" t="str">
            <v>0/1</v>
          </cell>
          <cell r="E63">
            <v>0</v>
          </cell>
        </row>
        <row r="64">
          <cell r="B64" t="str">
            <v>SD6_CONJOINT</v>
          </cell>
          <cell r="C64" t="str">
            <v>Conjoint names</v>
          </cell>
          <cell r="D64" t="str">
            <v>0/1</v>
          </cell>
          <cell r="E64">
            <v>0</v>
          </cell>
        </row>
        <row r="65">
          <cell r="B65" t="str">
            <v>Guidance</v>
          </cell>
          <cell r="C65" t="str">
            <v>1 = interviewee explicitly mentioned this as valuable or relevant. 0 = not mentioned or actively dismissed.</v>
          </cell>
        </row>
        <row r="67">
          <cell r="B67" t="str">
            <v>📌 NOTE</v>
          </cell>
          <cell r="C67" t="str">
            <v>Red cells = score needed (new questions with no old data to migrate from). If a transcript note at the top overrides coding guidance, it takes priority.</v>
          </cell>
        </row>
      </sheetData>
      <sheetData sheetId="5">
        <row r="1">
          <cell r="B1" t="str">
            <v>Company 2 — Interview 1</v>
          </cell>
        </row>
        <row r="2">
          <cell r="B2" t="str">
            <v>Interviewee Details</v>
          </cell>
          <cell r="C2" t="str">
            <v>Response</v>
          </cell>
          <cell r="D2" t="str">
            <v>Coding</v>
          </cell>
        </row>
        <row r="3">
          <cell r="B3" t="str">
            <v>Interviewee Name</v>
          </cell>
          <cell r="C3" t="str">
            <v>Jannes Colaert</v>
          </cell>
        </row>
        <row r="4">
          <cell r="B4" t="str">
            <v>Interviewee Position</v>
          </cell>
          <cell r="C4" t="str">
            <v>President and Managing Director Belgian Shell</v>
          </cell>
        </row>
        <row r="5">
          <cell r="B5" t="str">
            <v>Company (Real)</v>
          </cell>
          <cell r="C5" t="str">
            <v>Shell Belgium</v>
          </cell>
        </row>
        <row r="6">
          <cell r="B6" t="str">
            <v>Company (Disguised)</v>
          </cell>
          <cell r="C6" t="str">
            <v>Company 2</v>
          </cell>
        </row>
        <row r="7">
          <cell r="B7" t="str">
            <v>Interview Date</v>
          </cell>
          <cell r="C7" t="str">
            <v>13/05/2026</v>
          </cell>
        </row>
        <row r="8">
          <cell r="B8" t="str">
            <v>Interviewer</v>
          </cell>
          <cell r="C8" t="str">
            <v>Nicolas &amp;  Lore</v>
          </cell>
        </row>
        <row r="9">
          <cell r="B9" t="str">
            <v>Interviewer Support</v>
          </cell>
          <cell r="C9" t="str">
            <v>Nicolas &amp;  Lore</v>
          </cell>
        </row>
        <row r="10">
          <cell r="B10" t="str">
            <v>Company Industry</v>
          </cell>
          <cell r="C10" t="str">
            <v>Oil &amp; Gas</v>
          </cell>
        </row>
        <row r="11">
          <cell r="B11" t="str">
            <v>Company Sub-Industry</v>
          </cell>
          <cell r="C11" t="str">
            <v>Specialty Retail</v>
          </cell>
        </row>
        <row r="12">
          <cell r="B12" t="str">
            <v>Company Size (Turnover)</v>
          </cell>
          <cell r="C12">
            <v>2000000000</v>
          </cell>
        </row>
        <row r="13">
          <cell r="B13" t="str">
            <v>Country</v>
          </cell>
          <cell r="C13" t="str">
            <v>UK</v>
          </cell>
        </row>
        <row r="15">
          <cell r="B15" t="str">
            <v>Question ID</v>
          </cell>
          <cell r="C15" t="str">
            <v>Question</v>
          </cell>
        </row>
        <row r="16">
          <cell r="B16" t="str">
            <v>── BASELINE BLOCK ──</v>
          </cell>
        </row>
        <row r="17">
          <cell r="B17" t="str">
            <v>B1_INTEREST</v>
          </cell>
          <cell r="C17" t="str">
            <v>Are you interested in data collaboration?</v>
          </cell>
          <cell r="D17" t="str">
            <v>1-10</v>
          </cell>
          <cell r="E17">
            <v>2</v>
          </cell>
        </row>
        <row r="18">
          <cell r="B18" t="str">
            <v>↳ QUOTE</v>
          </cell>
          <cell r="C18" t="str">
            <v>"call it a two... being a three. Yeah. Yeah. I think a three it's a it's a fair it's a it's a fair number"</v>
          </cell>
        </row>
        <row r="19">
          <cell r="B19" t="str">
            <v>B2_SHARING</v>
          </cell>
          <cell r="C19" t="str">
            <v>Do you share data currently?</v>
          </cell>
          <cell r="D19" t="str">
            <v>0/1</v>
          </cell>
          <cell r="E19">
            <v>1</v>
          </cell>
        </row>
        <row r="20">
          <cell r="B20" t="str">
            <v>B3_MONETIZE</v>
          </cell>
          <cell r="C20" t="str">
            <v>Do you monetize your data currently?</v>
          </cell>
          <cell r="D20" t="str">
            <v>0/1</v>
          </cell>
          <cell r="E20">
            <v>0</v>
          </cell>
        </row>
        <row r="21">
          <cell r="B21" t="str">
            <v>B4_STRATEGIC</v>
          </cell>
          <cell r="C21" t="str">
            <v>Do you not share/monetize due to strategic reasons?</v>
          </cell>
          <cell r="D21" t="str">
            <v>0/1</v>
          </cell>
          <cell r="E21">
            <v>1</v>
          </cell>
        </row>
        <row r="22">
          <cell r="B22" t="str">
            <v>── DATA SHARING MATURITY (1–5) ──</v>
          </cell>
        </row>
        <row r="23">
          <cell r="B23" t="str">
            <v>Question ID</v>
          </cell>
          <cell r="C23" t="str">
            <v>Question</v>
          </cell>
          <cell r="D23" t="str">
            <v>Scale</v>
          </cell>
          <cell r="E23" t="str">
            <v>SCORE</v>
          </cell>
        </row>
        <row r="24">
          <cell r="B24" t="str">
            <v>M1_AUTOMATED</v>
          </cell>
          <cell r="C24" t="str">
            <v>Is data sharing automated or manual?</v>
          </cell>
          <cell r="D24" t="str">
            <v>1–5</v>
          </cell>
        </row>
        <row r="25">
          <cell r="B25" t="str">
            <v>M2_REALTIME</v>
          </cell>
          <cell r="C25" t="str">
            <v>Is data sharing in real-time, or lagging?</v>
          </cell>
          <cell r="D25" t="str">
            <v>1–5</v>
          </cell>
        </row>
        <row r="26">
          <cell r="B26" t="str">
            <v>M3_STRATEGIC</v>
          </cell>
          <cell r="C26" t="str">
            <v>Is data sharing focused on operations or strategic planning?</v>
          </cell>
          <cell r="D26" t="str">
            <v>1–5</v>
          </cell>
          <cell r="E26">
            <v>1</v>
          </cell>
        </row>
        <row r="27">
          <cell r="B27" t="str">
            <v>M4_BREADTH</v>
          </cell>
          <cell r="C27" t="str">
            <v>Is data sharing available to all clients, or based on strategic importance?</v>
          </cell>
          <cell r="D27" t="str">
            <v>1–5</v>
          </cell>
          <cell r="E27">
            <v>1</v>
          </cell>
        </row>
        <row r="28">
          <cell r="B28" t="str">
            <v>M5_DATATYPES</v>
          </cell>
          <cell r="C28" t="str">
            <v>Breadth of data exchanged</v>
          </cell>
          <cell r="D28" t="str">
            <v>1–5</v>
          </cell>
          <cell r="E28">
            <v>1</v>
          </cell>
        </row>
        <row r="29">
          <cell r="B29" t="str">
            <v>M6_TRUST</v>
          </cell>
          <cell r="C29" t="str">
            <v>Trust in received data</v>
          </cell>
          <cell r="D29" t="str">
            <v>1–5</v>
          </cell>
        </row>
        <row r="30">
          <cell r="B30" t="str">
            <v>M7_BARRIERS</v>
          </cell>
          <cell r="C30" t="str">
            <v>Readiness / barriers to collaborate</v>
          </cell>
          <cell r="D30" t="str">
            <v>1–5</v>
          </cell>
          <cell r="E30">
            <v>5</v>
          </cell>
        </row>
        <row r="31">
          <cell r="B31" t="str">
            <v>M8_IMPACT</v>
          </cell>
          <cell r="C31" t="str">
            <v>Operational impact of data gaps</v>
          </cell>
          <cell r="D31" t="str">
            <v>1–5</v>
          </cell>
        </row>
        <row r="32">
          <cell r="B32" t="str">
            <v>M9_WILLINGNESS</v>
          </cell>
          <cell r="C32" t="str">
            <v>Willingness to collaborate overall</v>
          </cell>
          <cell r="D32" t="str">
            <v>1-10</v>
          </cell>
          <cell r="E32">
            <v>2</v>
          </cell>
        </row>
        <row r="33">
          <cell r="B33" t="str">
            <v>── VALUE UNLOCK AREAS (0 = not mentioned / 1 = mentioned) ──</v>
          </cell>
        </row>
        <row r="34">
          <cell r="B34" t="str">
            <v>Guidance</v>
          </cell>
          <cell r="C34" t="str">
            <v>1 = interviewee explicitly mentioned this as valuable or relevant. 0 = not mentioned or actively dismissed.</v>
          </cell>
        </row>
        <row r="35">
          <cell r="B35" t="str">
            <v>SV1_PRICING</v>
          </cell>
          <cell r="C35" t="str">
            <v>Pricing</v>
          </cell>
          <cell r="D35" t="str">
            <v>0/1</v>
          </cell>
          <cell r="E35">
            <v>0</v>
          </cell>
        </row>
        <row r="36">
          <cell r="B36" t="str">
            <v>↳ QUOTE</v>
          </cell>
          <cell r="C36" t="str">
            <v>[Paste verbatim quote from transcript that supports this score or adds context]</v>
          </cell>
        </row>
        <row r="37">
          <cell r="B37" t="str">
            <v>SV2_PROMOTIONS</v>
          </cell>
          <cell r="C37" t="str">
            <v>Promotions</v>
          </cell>
          <cell r="D37" t="str">
            <v>0/1</v>
          </cell>
          <cell r="E37">
            <v>0</v>
          </cell>
        </row>
        <row r="38">
          <cell r="B38" t="str">
            <v>SV3_SUPPLYCHAIN</v>
          </cell>
          <cell r="C38" t="str">
            <v>Supply Chain Management</v>
          </cell>
          <cell r="D38" t="str">
            <v>0/1</v>
          </cell>
          <cell r="E38">
            <v>1</v>
          </cell>
        </row>
        <row r="39">
          <cell r="B39" t="str">
            <v>SV4_CATEGORY</v>
          </cell>
          <cell r="C39" t="str">
            <v>Category Planning</v>
          </cell>
          <cell r="D39" t="str">
            <v>0/1</v>
          </cell>
          <cell r="E39">
            <v>0</v>
          </cell>
        </row>
        <row r="40">
          <cell r="B40" t="str">
            <v>SV5_DEMAND</v>
          </cell>
          <cell r="C40" t="str">
            <v>Demand Forecasting</v>
          </cell>
          <cell r="D40" t="str">
            <v>0/1</v>
          </cell>
          <cell r="E40">
            <v>0</v>
          </cell>
        </row>
        <row r="41">
          <cell r="B41" t="str">
            <v>SV6_ACCOUNT</v>
          </cell>
          <cell r="C41" t="str">
            <v>Accountability</v>
          </cell>
          <cell r="D41" t="str">
            <v>0/1</v>
          </cell>
          <cell r="E41">
            <v>0</v>
          </cell>
        </row>
        <row r="42">
          <cell r="B42" t="str">
            <v>SV7_OPS</v>
          </cell>
          <cell r="C42" t="str">
            <v>Operationalization &amp; Workflows</v>
          </cell>
          <cell r="D42" t="str">
            <v>0/1</v>
          </cell>
          <cell r="E42">
            <v>0</v>
          </cell>
        </row>
        <row r="43">
          <cell r="B43" t="str">
            <v>── CONCERNS TO RESOLVE (0 = not mentioned / 1 = mentioned) ──</v>
          </cell>
        </row>
        <row r="44">
          <cell r="B44" t="str">
            <v>Guidance</v>
          </cell>
          <cell r="C44" t="str">
            <v>1 = interviewee explicitly mentioned this as valuable or relevant. 0 = not mentioned or actively dismissed.</v>
          </cell>
        </row>
        <row r="45">
          <cell r="B45" t="str">
            <v>SC1_DATASENS</v>
          </cell>
          <cell r="C45" t="str">
            <v>Data Sensitivity</v>
          </cell>
          <cell r="D45" t="str">
            <v>0/1</v>
          </cell>
          <cell r="E45">
            <v>1</v>
          </cell>
        </row>
        <row r="46">
          <cell r="B46" t="str">
            <v>SC2_COMPLIANCE</v>
          </cell>
          <cell r="C46" t="str">
            <v>Compliance</v>
          </cell>
          <cell r="D46" t="str">
            <v>0/1</v>
          </cell>
          <cell r="E46">
            <v>1</v>
          </cell>
        </row>
        <row r="47">
          <cell r="B47" t="str">
            <v>SC3_TRUST</v>
          </cell>
          <cell r="C47" t="str">
            <v>Trust Issues</v>
          </cell>
          <cell r="D47" t="str">
            <v>0/1</v>
          </cell>
          <cell r="E47">
            <v>0</v>
          </cell>
        </row>
        <row r="48">
          <cell r="B48" t="str">
            <v>SC4_DATAPROC</v>
          </cell>
          <cell r="C48" t="str">
            <v>Data Processing</v>
          </cell>
          <cell r="D48" t="str">
            <v>0/1</v>
          </cell>
          <cell r="E48">
            <v>1</v>
          </cell>
        </row>
        <row r="49">
          <cell r="B49" t="str">
            <v>── CRITICAL TOOL FEATURES (0 = not mentioned / 1 = mentioned) ──</v>
          </cell>
        </row>
        <row r="50">
          <cell r="B50" t="str">
            <v>Guidance</v>
          </cell>
          <cell r="C50" t="str">
            <v>1 = interviewee explicitly mentioned this as valuable or relevant. 0 = not mentioned or actively dismissed.</v>
          </cell>
        </row>
        <row r="51">
          <cell r="B51" t="str">
            <v>SF1_REALTIME</v>
          </cell>
          <cell r="C51" t="str">
            <v>Dynamic, real-time data exchange</v>
          </cell>
          <cell r="D51" t="str">
            <v>0/1</v>
          </cell>
          <cell r="E51">
            <v>0</v>
          </cell>
        </row>
        <row r="52">
          <cell r="B52" t="str">
            <v>↳ QUOTE</v>
          </cell>
          <cell r="C52" t="str">
            <v>[Paste verbatim quote from transcript that supports this score or adds context]</v>
          </cell>
        </row>
        <row r="53">
          <cell r="B53" t="str">
            <v>SF2_ACCESS</v>
          </cell>
          <cell r="C53" t="str">
            <v>Equal access to shared datasets</v>
          </cell>
          <cell r="D53" t="str">
            <v>0/1</v>
          </cell>
          <cell r="E53">
            <v>0</v>
          </cell>
        </row>
        <row r="54">
          <cell r="B54" t="str">
            <v>SF3_UX</v>
          </cell>
          <cell r="C54" t="str">
            <v>Simple UX/UI</v>
          </cell>
          <cell r="D54" t="str">
            <v>0/1</v>
          </cell>
          <cell r="E54">
            <v>0</v>
          </cell>
        </row>
        <row r="55">
          <cell r="B55" t="str">
            <v>SF4_DECISION</v>
          </cell>
          <cell r="C55" t="str">
            <v>Allows joint decision making</v>
          </cell>
          <cell r="D55" t="str">
            <v>0/1</v>
          </cell>
          <cell r="E55">
            <v>0</v>
          </cell>
        </row>
        <row r="56">
          <cell r="B56" t="str">
            <v>SF5_MASKING</v>
          </cell>
          <cell r="C56" t="str">
            <v>Clear masking rules by supplier/user</v>
          </cell>
          <cell r="D56" t="str">
            <v>0/1</v>
          </cell>
          <cell r="E56">
            <v>1</v>
          </cell>
        </row>
        <row r="57">
          <cell r="B57" t="str">
            <v>── PREFERRED DATASETS (0 = not mentioned / 1 = mentioned) ──</v>
          </cell>
        </row>
        <row r="58">
          <cell r="B58" t="str">
            <v>Guidance</v>
          </cell>
          <cell r="C58" t="str">
            <v>1 = interviewee explicitly mentioned this as valuable or relevant. 0 = not mentioned or actively dismissed.</v>
          </cell>
        </row>
        <row r="59">
          <cell r="B59" t="str">
            <v>SD1_TRENDS</v>
          </cell>
          <cell r="C59" t="str">
            <v>Global trends and insights</v>
          </cell>
          <cell r="D59" t="str">
            <v>0/1</v>
          </cell>
          <cell r="E59">
            <v>0</v>
          </cell>
        </row>
        <row r="60">
          <cell r="B60" t="str">
            <v>SD2_MARKET</v>
          </cell>
          <cell r="C60" t="str">
            <v>Market research</v>
          </cell>
          <cell r="D60" t="str">
            <v>0/1</v>
          </cell>
          <cell r="E60">
            <v>1</v>
          </cell>
        </row>
        <row r="61">
          <cell r="B61" t="str">
            <v>SD3_CATEGORY</v>
          </cell>
          <cell r="C61" t="str">
            <v>Category performance</v>
          </cell>
          <cell r="D61" t="str">
            <v>0/1</v>
          </cell>
          <cell r="E61">
            <v>0</v>
          </cell>
        </row>
        <row r="62">
          <cell r="B62" t="str">
            <v>SD4_SHIPMENT</v>
          </cell>
          <cell r="C62" t="str">
            <v>Shipment schedules</v>
          </cell>
          <cell r="D62" t="str">
            <v>0/1</v>
          </cell>
          <cell r="E62">
            <v>0</v>
          </cell>
        </row>
        <row r="63">
          <cell r="B63" t="str">
            <v>SD5_LEAD</v>
          </cell>
          <cell r="C63" t="str">
            <v>Lead times</v>
          </cell>
          <cell r="D63" t="str">
            <v>0/1</v>
          </cell>
          <cell r="E63">
            <v>0</v>
          </cell>
        </row>
        <row r="64">
          <cell r="B64" t="str">
            <v>SD6_CONJOINT</v>
          </cell>
          <cell r="C64" t="str">
            <v>Conjoint names</v>
          </cell>
          <cell r="D64" t="str">
            <v>0/1</v>
          </cell>
          <cell r="E64">
            <v>0</v>
          </cell>
        </row>
        <row r="65">
          <cell r="B65" t="str">
            <v>Guidance</v>
          </cell>
          <cell r="C65" t="str">
            <v>1 = interviewee explicitly mentioned this as valuable or relevant. 0 = not mentioned or actively dismissed.</v>
          </cell>
        </row>
        <row r="67">
          <cell r="B67" t="str">
            <v>📌 NOTE</v>
          </cell>
          <cell r="C67" t="str">
            <v>Red cells = score needed (new questions with no old data to migrate from). If a transcript note at the top overrides coding guidance, it takes priority.</v>
          </cell>
        </row>
      </sheetData>
      <sheetData sheetId="6">
        <row r="1">
          <cell r="B1" t="str">
            <v>Company 3 — Interview 1</v>
          </cell>
        </row>
        <row r="2">
          <cell r="B2" t="str">
            <v>Interviewee Details</v>
          </cell>
          <cell r="C2" t="str">
            <v>Response</v>
          </cell>
          <cell r="D2" t="str">
            <v>Coding</v>
          </cell>
        </row>
        <row r="3">
          <cell r="B3" t="str">
            <v>Interviewee Name</v>
          </cell>
          <cell r="C3" t="str">
            <v>Stefan Fieremans</v>
          </cell>
        </row>
        <row r="4">
          <cell r="B4" t="str">
            <v>Interviewee Position</v>
          </cell>
          <cell r="C4" t="str">
            <v>Business Development / Media Services Manager</v>
          </cell>
        </row>
        <row r="5">
          <cell r="B5" t="str">
            <v>Company (Real)</v>
          </cell>
          <cell r="C5" t="str">
            <v>Solucious</v>
          </cell>
        </row>
        <row r="6">
          <cell r="B6" t="str">
            <v>Company (Disguised)</v>
          </cell>
          <cell r="C6" t="str">
            <v>Company 3</v>
          </cell>
        </row>
        <row r="7">
          <cell r="B7" t="str">
            <v>Interview Date</v>
          </cell>
          <cell r="C7">
            <v>46239</v>
          </cell>
        </row>
        <row r="8">
          <cell r="B8" t="str">
            <v>Interviewer</v>
          </cell>
          <cell r="C8" t="str">
            <v>Lore and Nicolas</v>
          </cell>
        </row>
        <row r="9">
          <cell r="B9" t="str">
            <v>Interviewer Support</v>
          </cell>
        </row>
        <row r="10">
          <cell r="B10" t="str">
            <v>Company Industry</v>
          </cell>
          <cell r="C10" t="str">
            <v>B2B Food Service Distribution</v>
          </cell>
        </row>
        <row r="11">
          <cell r="B11" t="str">
            <v>Company Sub-Industry</v>
          </cell>
          <cell r="C11" t="str">
            <v>Wholesaler</v>
          </cell>
        </row>
        <row r="12">
          <cell r="B12" t="str">
            <v>Company Size (Turnover)</v>
          </cell>
          <cell r="C12">
            <v>332000000</v>
          </cell>
        </row>
        <row r="13">
          <cell r="B13" t="str">
            <v>Country</v>
          </cell>
          <cell r="C13" t="str">
            <v>Belgium</v>
          </cell>
        </row>
        <row r="15">
          <cell r="B15" t="str">
            <v>Question ID</v>
          </cell>
          <cell r="C15" t="str">
            <v>Question</v>
          </cell>
        </row>
        <row r="16">
          <cell r="B16" t="str">
            <v>── BASELINE BLOCK ──</v>
          </cell>
        </row>
        <row r="17">
          <cell r="B17" t="str">
            <v>B1_INTEREST</v>
          </cell>
          <cell r="C17" t="str">
            <v>Are you interested in data collaboration?</v>
          </cell>
          <cell r="D17" t="str">
            <v>1-10</v>
          </cell>
          <cell r="E17">
            <v>7</v>
          </cell>
        </row>
        <row r="18">
          <cell r="B18" t="str">
            <v>↳ QUOTE</v>
          </cell>
          <cell r="C18" t="str">
            <v>"Willingness. I I think it's good. It's seven. But it depends on the... on the return... With The benefit in return could be 9 or 10."</v>
          </cell>
        </row>
        <row r="19">
          <cell r="B19" t="str">
            <v>B2_SHARING</v>
          </cell>
          <cell r="C19" t="str">
            <v>Do you share data currently?</v>
          </cell>
          <cell r="D19" t="str">
            <v>0/1</v>
          </cell>
          <cell r="E19">
            <v>1</v>
          </cell>
        </row>
        <row r="20">
          <cell r="B20" t="str">
            <v>B3_MONETIZE</v>
          </cell>
          <cell r="C20" t="str">
            <v>Do you monetize your data currently?</v>
          </cell>
          <cell r="D20" t="str">
            <v>0/1</v>
          </cell>
          <cell r="E20">
            <v>1</v>
          </cell>
        </row>
        <row r="21">
          <cell r="B21" t="str">
            <v>B4_STRATEGIC</v>
          </cell>
          <cell r="C21" t="str">
            <v>Do you not share/monetize due to strategic reasons?</v>
          </cell>
          <cell r="D21" t="str">
            <v>0/1</v>
          </cell>
          <cell r="E21">
            <v>1</v>
          </cell>
        </row>
        <row r="22">
          <cell r="B22" t="str">
            <v>── DATA SHARING MATURITY (1–5) ──</v>
          </cell>
        </row>
        <row r="23">
          <cell r="B23" t="str">
            <v>Question ID</v>
          </cell>
          <cell r="C23" t="str">
            <v>Question</v>
          </cell>
          <cell r="D23" t="str">
            <v>Scale</v>
          </cell>
          <cell r="E23" t="str">
            <v>SCORE</v>
          </cell>
        </row>
        <row r="24">
          <cell r="B24" t="str">
            <v>M1_AUTOMATED</v>
          </cell>
          <cell r="C24" t="str">
            <v>Is data sharing automated or manual?</v>
          </cell>
          <cell r="D24" t="str">
            <v>1–5</v>
          </cell>
          <cell r="E24">
            <v>4</v>
          </cell>
        </row>
        <row r="25">
          <cell r="B25" t="str">
            <v>M2_REALTIME</v>
          </cell>
          <cell r="C25" t="str">
            <v>Is data sharing in real-time, or lagging?</v>
          </cell>
          <cell r="D25" t="str">
            <v>1–5</v>
          </cell>
          <cell r="E25">
            <v>4</v>
          </cell>
        </row>
        <row r="26">
          <cell r="B26" t="str">
            <v>M3_STRATEGIC</v>
          </cell>
          <cell r="C26" t="str">
            <v>Is data sharing focused on operations or strategic planning?</v>
          </cell>
          <cell r="D26" t="str">
            <v>1–5</v>
          </cell>
          <cell r="E26">
            <v>4</v>
          </cell>
        </row>
        <row r="27">
          <cell r="B27" t="str">
            <v>M4_BREADTH</v>
          </cell>
          <cell r="C27" t="str">
            <v>Is data sharing available to all clients, or based on strategic importance?</v>
          </cell>
          <cell r="D27" t="str">
            <v>1–5</v>
          </cell>
          <cell r="E27">
            <v>5</v>
          </cell>
        </row>
        <row r="28">
          <cell r="B28" t="str">
            <v>M5_DATATYPES</v>
          </cell>
          <cell r="C28" t="str">
            <v>Breadth of data exchanged</v>
          </cell>
          <cell r="D28" t="str">
            <v>1–5</v>
          </cell>
          <cell r="E28">
            <v>4</v>
          </cell>
        </row>
        <row r="29">
          <cell r="B29" t="str">
            <v>M6_TRUST</v>
          </cell>
          <cell r="C29" t="str">
            <v>Trust in received data</v>
          </cell>
          <cell r="D29" t="str">
            <v>1–5</v>
          </cell>
          <cell r="E29">
            <v>3</v>
          </cell>
        </row>
        <row r="30">
          <cell r="B30" t="str">
            <v>M7_BARRIERS</v>
          </cell>
          <cell r="C30" t="str">
            <v>Readiness / barriers to collaborate</v>
          </cell>
          <cell r="D30" t="str">
            <v>1–5</v>
          </cell>
          <cell r="E30">
            <v>4</v>
          </cell>
        </row>
        <row r="31">
          <cell r="B31" t="str">
            <v>M8_IMPACT</v>
          </cell>
          <cell r="C31" t="str">
            <v>Operational impact of data gaps</v>
          </cell>
          <cell r="D31" t="str">
            <v>1–5</v>
          </cell>
          <cell r="E31">
            <v>3</v>
          </cell>
        </row>
        <row r="32">
          <cell r="B32" t="str">
            <v>M9_WILLINGNESS</v>
          </cell>
          <cell r="C32" t="str">
            <v>Willingness to collaborate overall</v>
          </cell>
          <cell r="D32" t="str">
            <v>1-10</v>
          </cell>
          <cell r="E32">
            <v>8</v>
          </cell>
        </row>
        <row r="33">
          <cell r="B33" t="str">
            <v>── VALUE UNLOCK AREAS (0 = not mentioned / 1 = mentioned) ──</v>
          </cell>
        </row>
        <row r="34">
          <cell r="B34" t="str">
            <v>Guidance</v>
          </cell>
          <cell r="C34" t="str">
            <v>1 = interviewee explicitly mentioned this as valuable or relevant. 0 = not mentioned or actively dismissed.</v>
          </cell>
        </row>
        <row r="35">
          <cell r="B35" t="str">
            <v>SV1_PRICING</v>
          </cell>
          <cell r="C35" t="str">
            <v>Pricing</v>
          </cell>
          <cell r="D35" t="str">
            <v>0/1</v>
          </cell>
          <cell r="E35">
            <v>1</v>
          </cell>
        </row>
        <row r="36">
          <cell r="B36" t="str">
            <v>↳ QUOTE</v>
          </cell>
          <cell r="C36" t="str">
            <v>"prices and margins"</v>
          </cell>
        </row>
        <row r="37">
          <cell r="B37" t="str">
            <v>SV2_PROMOTIONS</v>
          </cell>
          <cell r="C37" t="str">
            <v>Promotions</v>
          </cell>
          <cell r="D37" t="str">
            <v>0/1</v>
          </cell>
          <cell r="E37">
            <v>1</v>
          </cell>
        </row>
        <row r="38">
          <cell r="B38" t="str">
            <v>SV3_SUPPLYCHAIN</v>
          </cell>
          <cell r="C38" t="str">
            <v>Supply Chain Management</v>
          </cell>
          <cell r="D38" t="str">
            <v>0/1</v>
          </cell>
          <cell r="E38">
            <v>0</v>
          </cell>
        </row>
        <row r="39">
          <cell r="B39" t="str">
            <v>SV4_CATEGORY</v>
          </cell>
          <cell r="C39" t="str">
            <v>Category Planning</v>
          </cell>
          <cell r="D39" t="str">
            <v>0/1</v>
          </cell>
          <cell r="E39">
            <v>1</v>
          </cell>
        </row>
        <row r="40">
          <cell r="B40" t="str">
            <v>SV5_DEMAND</v>
          </cell>
          <cell r="C40" t="str">
            <v>Demand Forecasting</v>
          </cell>
          <cell r="D40" t="str">
            <v>0/1</v>
          </cell>
          <cell r="E40">
            <v>0</v>
          </cell>
        </row>
        <row r="41">
          <cell r="B41" t="str">
            <v>SV6_ACCOUNT</v>
          </cell>
          <cell r="C41" t="str">
            <v>Accountability</v>
          </cell>
          <cell r="D41" t="str">
            <v>0/1</v>
          </cell>
          <cell r="E41">
            <v>0</v>
          </cell>
        </row>
        <row r="42">
          <cell r="B42" t="str">
            <v>SV7_OPS</v>
          </cell>
          <cell r="C42" t="str">
            <v>Operationalization &amp; Workflows</v>
          </cell>
          <cell r="D42" t="str">
            <v>0/1</v>
          </cell>
          <cell r="E42">
            <v>0</v>
          </cell>
        </row>
        <row r="43">
          <cell r="B43" t="str">
            <v>── CONCERNS TO RESOLVE (0 = not mentioned / 1 = mentioned) ──</v>
          </cell>
        </row>
        <row r="44">
          <cell r="B44" t="str">
            <v>Guidance</v>
          </cell>
          <cell r="C44" t="str">
            <v>1 = interviewee explicitly mentioned this as valuable or relevant. 0 = not mentioned or actively dismissed.</v>
          </cell>
        </row>
        <row r="45">
          <cell r="B45" t="str">
            <v>SC1_DATASENS</v>
          </cell>
          <cell r="C45" t="str">
            <v>Data Sensitivity</v>
          </cell>
          <cell r="D45" t="str">
            <v>0/1</v>
          </cell>
          <cell r="E45">
            <v>1</v>
          </cell>
        </row>
        <row r="46">
          <cell r="B46" t="str">
            <v>SC2_COMPLIANCE</v>
          </cell>
          <cell r="C46" t="str">
            <v>Compliance</v>
          </cell>
          <cell r="D46" t="str">
            <v>0/1</v>
          </cell>
          <cell r="E46">
            <v>1</v>
          </cell>
        </row>
        <row r="47">
          <cell r="B47" t="str">
            <v>SC3_TRUST</v>
          </cell>
          <cell r="C47" t="str">
            <v>Trust Issues</v>
          </cell>
          <cell r="D47" t="str">
            <v>0/1</v>
          </cell>
          <cell r="E47">
            <v>1</v>
          </cell>
        </row>
        <row r="48">
          <cell r="B48" t="str">
            <v>SC4_DATAPROC</v>
          </cell>
          <cell r="C48" t="str">
            <v>Data Processing</v>
          </cell>
          <cell r="D48" t="str">
            <v>0/1</v>
          </cell>
          <cell r="E48">
            <v>1</v>
          </cell>
        </row>
        <row r="49">
          <cell r="B49" t="str">
            <v>── CRITICAL TOOL FEATURES (0 = not mentioned / 1 = mentioned) ──</v>
          </cell>
        </row>
        <row r="50">
          <cell r="B50" t="str">
            <v>Guidance</v>
          </cell>
          <cell r="C50" t="str">
            <v>1 = interviewee explicitly mentioned this as valuable or relevant. 0 = not mentioned or actively dismissed.</v>
          </cell>
        </row>
        <row r="51">
          <cell r="B51" t="str">
            <v>SF1_REALTIME</v>
          </cell>
          <cell r="C51" t="str">
            <v>Dynamic, real-time data exchange</v>
          </cell>
          <cell r="D51" t="str">
            <v>0/1</v>
          </cell>
          <cell r="E51">
            <v>1</v>
          </cell>
        </row>
        <row r="52">
          <cell r="B52" t="str">
            <v>↳ QUOTE</v>
          </cell>
          <cell r="C52" t="str">
            <v>"It's it's a daily upload of the data... you can also the date you can set the data on day on on week on month"</v>
          </cell>
        </row>
        <row r="53">
          <cell r="B53" t="str">
            <v>SF2_ACCESS</v>
          </cell>
          <cell r="C53" t="str">
            <v>Equal access to shared datasets</v>
          </cell>
          <cell r="D53" t="str">
            <v>0/1</v>
          </cell>
          <cell r="E53">
            <v>1</v>
          </cell>
        </row>
        <row r="54">
          <cell r="B54" t="str">
            <v>SF3_UX</v>
          </cell>
          <cell r="C54" t="str">
            <v>Simple UX/UI</v>
          </cell>
          <cell r="D54" t="str">
            <v>0/1</v>
          </cell>
          <cell r="E54">
            <v>0</v>
          </cell>
        </row>
        <row r="55">
          <cell r="B55" t="str">
            <v>SF4_DECISION</v>
          </cell>
          <cell r="C55" t="str">
            <v>Allows joint decision making</v>
          </cell>
          <cell r="D55" t="str">
            <v>0/1</v>
          </cell>
          <cell r="E55">
            <v>1</v>
          </cell>
        </row>
        <row r="56">
          <cell r="B56" t="str">
            <v>SF5_MASKING</v>
          </cell>
          <cell r="C56" t="str">
            <v>Clear masking rules by supplier/user</v>
          </cell>
          <cell r="D56" t="str">
            <v>0/1</v>
          </cell>
          <cell r="E56">
            <v>0</v>
          </cell>
        </row>
        <row r="57">
          <cell r="B57" t="str">
            <v>── PREFERRED DATASETS (0 = not mentioned / 1 = mentioned) ──</v>
          </cell>
        </row>
        <row r="58">
          <cell r="B58" t="str">
            <v>Guidance</v>
          </cell>
          <cell r="C58" t="str">
            <v>1 = interviewee explicitly mentioned this as valuable or relevant. 0 = not mentioned or actively dismissed.</v>
          </cell>
        </row>
        <row r="59">
          <cell r="B59" t="str">
            <v>SD1_TRENDS</v>
          </cell>
          <cell r="C59" t="str">
            <v>Global trends and insights</v>
          </cell>
          <cell r="D59" t="str">
            <v>0/1</v>
          </cell>
          <cell r="E59">
            <v>0</v>
          </cell>
        </row>
        <row r="60">
          <cell r="B60" t="str">
            <v>SD2_MARKET</v>
          </cell>
          <cell r="C60" t="str">
            <v>Market research</v>
          </cell>
          <cell r="D60" t="str">
            <v>0/1</v>
          </cell>
          <cell r="E60">
            <v>0</v>
          </cell>
        </row>
        <row r="61">
          <cell r="B61" t="str">
            <v>SD3_CATEGORY</v>
          </cell>
          <cell r="C61" t="str">
            <v>Category performance</v>
          </cell>
          <cell r="D61" t="str">
            <v>0/1</v>
          </cell>
          <cell r="E61">
            <v>1</v>
          </cell>
        </row>
        <row r="62">
          <cell r="B62" t="str">
            <v>SD4_SHIPMENT</v>
          </cell>
          <cell r="C62" t="str">
            <v>Shipment schedules</v>
          </cell>
          <cell r="D62" t="str">
            <v>0/1</v>
          </cell>
          <cell r="E62">
            <v>0</v>
          </cell>
        </row>
        <row r="63">
          <cell r="B63" t="str">
            <v>SD5_LEAD</v>
          </cell>
          <cell r="C63" t="str">
            <v>Lead times</v>
          </cell>
          <cell r="D63" t="str">
            <v>0/1</v>
          </cell>
          <cell r="E63">
            <v>0</v>
          </cell>
        </row>
        <row r="64">
          <cell r="B64" t="str">
            <v>SD6_CONJOINT</v>
          </cell>
          <cell r="C64" t="str">
            <v>Conjoint names</v>
          </cell>
          <cell r="D64" t="str">
            <v>0/1</v>
          </cell>
          <cell r="E64">
            <v>0</v>
          </cell>
        </row>
        <row r="65">
          <cell r="B65" t="str">
            <v>Guidance</v>
          </cell>
          <cell r="C65" t="str">
            <v>1 = interviewee explicitly mentioned this as valuable or relevant. 0 = not mentioned or actively dismissed.</v>
          </cell>
        </row>
        <row r="67">
          <cell r="B67" t="str">
            <v>📌 NOTE</v>
          </cell>
          <cell r="C67" t="str">
            <v>Red cells = score needed (new questions with no old data to migrate from). If a transcript note at the top overrides coding guidance, it takes priority.</v>
          </cell>
        </row>
      </sheetData>
      <sheetData sheetId="7">
        <row r="1">
          <cell r="B1" t="str">
            <v>Company 4 — Interview 1</v>
          </cell>
        </row>
        <row r="2">
          <cell r="B2" t="str">
            <v>Interviewee Details</v>
          </cell>
          <cell r="C2" t="str">
            <v>Response</v>
          </cell>
          <cell r="D2" t="str">
            <v>Coding</v>
          </cell>
        </row>
        <row r="3">
          <cell r="B3" t="str">
            <v>Interviewee Name</v>
          </cell>
          <cell r="C3" t="str">
            <v>Joy Van Cauteren</v>
          </cell>
        </row>
        <row r="4">
          <cell r="B4" t="str">
            <v>Interviewee Position</v>
          </cell>
          <cell r="C4" t="str">
            <v>Data/Analytics role (formerly Department Head of Logistics)</v>
          </cell>
        </row>
        <row r="5">
          <cell r="B5" t="str">
            <v>Company (Real)</v>
          </cell>
          <cell r="C5" t="str">
            <v>Solucious (part of Colruyt Group)</v>
          </cell>
        </row>
        <row r="6">
          <cell r="B6" t="str">
            <v>Company (Disguised)</v>
          </cell>
          <cell r="C6" t="str">
            <v>Company 3</v>
          </cell>
        </row>
        <row r="7">
          <cell r="B7" t="str">
            <v>Interview Date</v>
          </cell>
          <cell r="C7" t="str">
            <v>22/05/2026</v>
          </cell>
        </row>
        <row r="8">
          <cell r="B8" t="str">
            <v>Interviewer</v>
          </cell>
          <cell r="C8" t="str">
            <v>Lore Verhoeven</v>
          </cell>
        </row>
        <row r="9">
          <cell r="B9" t="str">
            <v>Interviewer Support</v>
          </cell>
          <cell r="C9" t="str">
            <v>Nicolas Amaya Cardona</v>
          </cell>
        </row>
        <row r="10">
          <cell r="B10" t="str">
            <v>Company Industry</v>
          </cell>
          <cell r="C10" t="str">
            <v>Food Service</v>
          </cell>
        </row>
        <row r="11">
          <cell r="B11" t="str">
            <v>Company Sub-Industry</v>
          </cell>
          <cell r="C11" t="str">
            <v>Wholesaler</v>
          </cell>
        </row>
        <row r="12">
          <cell r="B12" t="str">
            <v>Company Size (Turnover)</v>
          </cell>
          <cell r="C12">
            <v>332000000</v>
          </cell>
        </row>
        <row r="13">
          <cell r="B13" t="str">
            <v>Country</v>
          </cell>
          <cell r="C13" t="str">
            <v>Belgium</v>
          </cell>
        </row>
        <row r="15">
          <cell r="B15" t="str">
            <v>Question ID</v>
          </cell>
          <cell r="C15" t="str">
            <v>Question</v>
          </cell>
        </row>
        <row r="16">
          <cell r="B16" t="str">
            <v>── BASELINE BLOCK ──</v>
          </cell>
        </row>
        <row r="17">
          <cell r="B17" t="str">
            <v>B1_INTEREST</v>
          </cell>
          <cell r="C17" t="str">
            <v>Are you interested in data collaboration?</v>
          </cell>
          <cell r="D17" t="str">
            <v>1-10</v>
          </cell>
          <cell r="E17">
            <v>7.5</v>
          </cell>
        </row>
        <row r="18">
          <cell r="B18" t="str">
            <v>↳ QUOTE</v>
          </cell>
          <cell r="C18" t="str">
            <v>"at this point, I think like 7 or 8, There is a question at this moment to search from some data"</v>
          </cell>
        </row>
        <row r="19">
          <cell r="B19" t="str">
            <v>B2_SHARING</v>
          </cell>
          <cell r="C19" t="str">
            <v>Do you share data currently?</v>
          </cell>
          <cell r="D19" t="str">
            <v>0/1</v>
          </cell>
          <cell r="E19">
            <v>1</v>
          </cell>
        </row>
        <row r="20">
          <cell r="B20" t="str">
            <v>B3_MONETIZE</v>
          </cell>
          <cell r="C20" t="str">
            <v>Do you monetize your data currently?</v>
          </cell>
          <cell r="D20" t="str">
            <v>0/1</v>
          </cell>
          <cell r="E20">
            <v>0</v>
          </cell>
        </row>
        <row r="21">
          <cell r="B21" t="str">
            <v>B4_STRATEGIC</v>
          </cell>
          <cell r="C21" t="str">
            <v>Do you not share/monetize due to strategic reasons?</v>
          </cell>
          <cell r="D21" t="str">
            <v>0/1</v>
          </cell>
          <cell r="E21">
            <v>1</v>
          </cell>
        </row>
        <row r="22">
          <cell r="B22" t="str">
            <v>── DATA SHARING MATURITY (1–5) ──</v>
          </cell>
        </row>
        <row r="23">
          <cell r="B23" t="str">
            <v>Question ID</v>
          </cell>
          <cell r="C23" t="str">
            <v>Question</v>
          </cell>
          <cell r="D23" t="str">
            <v>Scale</v>
          </cell>
          <cell r="E23" t="str">
            <v>SCORE</v>
          </cell>
        </row>
        <row r="24">
          <cell r="B24" t="str">
            <v>M1_AUTOMATED</v>
          </cell>
          <cell r="C24" t="str">
            <v>Is data sharing automated or manual?</v>
          </cell>
          <cell r="D24" t="str">
            <v>1–5</v>
          </cell>
          <cell r="E24">
            <v>3</v>
          </cell>
        </row>
        <row r="25">
          <cell r="B25" t="str">
            <v>M2_REALTIME</v>
          </cell>
          <cell r="C25" t="str">
            <v>Is data sharing in real-time, or lagging?</v>
          </cell>
          <cell r="D25" t="str">
            <v>1–5</v>
          </cell>
          <cell r="E25">
            <v>2</v>
          </cell>
        </row>
        <row r="26">
          <cell r="B26" t="str">
            <v>M3_STRATEGIC</v>
          </cell>
          <cell r="C26" t="str">
            <v>Is data sharing focused on operations or strategic planning?</v>
          </cell>
          <cell r="D26" t="str">
            <v>1–5</v>
          </cell>
          <cell r="E26">
            <v>4</v>
          </cell>
        </row>
        <row r="27">
          <cell r="B27" t="str">
            <v>M4_BREADTH</v>
          </cell>
          <cell r="C27" t="str">
            <v>Is data sharing available to all clients, or based on strategic importance?</v>
          </cell>
          <cell r="D27" t="str">
            <v>1–5</v>
          </cell>
          <cell r="E27">
            <v>2</v>
          </cell>
        </row>
        <row r="28">
          <cell r="B28" t="str">
            <v>M5_DATATYPES</v>
          </cell>
          <cell r="C28" t="str">
            <v>Breadth of data exchanged</v>
          </cell>
          <cell r="D28" t="str">
            <v>1–5</v>
          </cell>
          <cell r="E28">
            <v>3</v>
          </cell>
        </row>
        <row r="29">
          <cell r="B29" t="str">
            <v>M6_TRUST</v>
          </cell>
          <cell r="C29" t="str">
            <v>Trust in received data</v>
          </cell>
          <cell r="D29" t="str">
            <v>1–5</v>
          </cell>
          <cell r="E29">
            <v>2</v>
          </cell>
        </row>
        <row r="30">
          <cell r="B30" t="str">
            <v>M7_BARRIERS</v>
          </cell>
          <cell r="C30" t="str">
            <v>Readiness / barriers to collaborate</v>
          </cell>
          <cell r="D30" t="str">
            <v>1–5</v>
          </cell>
          <cell r="E30">
            <v>3</v>
          </cell>
        </row>
        <row r="31">
          <cell r="B31" t="str">
            <v>M8_IMPACT</v>
          </cell>
          <cell r="C31" t="str">
            <v>Operational impact of data gaps</v>
          </cell>
          <cell r="D31" t="str">
            <v>1–5</v>
          </cell>
        </row>
        <row r="32">
          <cell r="B32" t="str">
            <v>M9_WILLINGNESS</v>
          </cell>
          <cell r="C32" t="str">
            <v>Willingness to collaborate overall</v>
          </cell>
          <cell r="D32" t="str">
            <v>1-10</v>
          </cell>
          <cell r="E32">
            <v>8</v>
          </cell>
        </row>
        <row r="33">
          <cell r="B33" t="str">
            <v>── VALUE UNLOCK AREAS (0 = not mentioned / 1 = mentioned) ──</v>
          </cell>
        </row>
        <row r="34">
          <cell r="B34" t="str">
            <v>Guidance</v>
          </cell>
          <cell r="C34" t="str">
            <v>1 = interviewee explicitly mentioned this as valuable or relevant. 0 = not mentioned or actively dismissed.</v>
          </cell>
        </row>
        <row r="35">
          <cell r="B35" t="str">
            <v>SV1_PRICING</v>
          </cell>
          <cell r="C35" t="str">
            <v>Pricing</v>
          </cell>
          <cell r="D35" t="str">
            <v>0/1</v>
          </cell>
          <cell r="E35">
            <v>1</v>
          </cell>
        </row>
        <row r="36">
          <cell r="B36" t="str">
            <v>↳ QUOTE</v>
          </cell>
          <cell r="C36" t="str">
            <v>"even on prices, yeah, articles you can see on the websites... It depends on the revenue you bring to the company... It's from the moment you have a login, then you receive a special price for yourself"</v>
          </cell>
        </row>
        <row r="37">
          <cell r="B37" t="str">
            <v>SV2_PROMOTIONS</v>
          </cell>
          <cell r="C37" t="str">
            <v>Promotions</v>
          </cell>
          <cell r="D37" t="str">
            <v>0/1</v>
          </cell>
          <cell r="E37">
            <v>1</v>
          </cell>
        </row>
        <row r="38">
          <cell r="B38" t="str">
            <v>SV3_SUPPLYCHAIN</v>
          </cell>
          <cell r="C38" t="str">
            <v>Supply Chain Management</v>
          </cell>
          <cell r="D38" t="str">
            <v>0/1</v>
          </cell>
          <cell r="E38">
            <v>1</v>
          </cell>
        </row>
        <row r="39">
          <cell r="B39" t="str">
            <v>SV4_CATEGORY</v>
          </cell>
          <cell r="C39" t="str">
            <v>Category Planning</v>
          </cell>
          <cell r="D39" t="str">
            <v>0/1</v>
          </cell>
          <cell r="E39">
            <v>1</v>
          </cell>
        </row>
        <row r="40">
          <cell r="B40" t="str">
            <v>SV5_DEMAND</v>
          </cell>
          <cell r="C40" t="str">
            <v>Demand Forecasting</v>
          </cell>
          <cell r="D40" t="str">
            <v>0/1</v>
          </cell>
          <cell r="E40">
            <v>0</v>
          </cell>
        </row>
        <row r="41">
          <cell r="B41" t="str">
            <v>SV6_ACCOUNT</v>
          </cell>
          <cell r="C41" t="str">
            <v>Accountability</v>
          </cell>
          <cell r="D41" t="str">
            <v>0/1</v>
          </cell>
          <cell r="E41">
            <v>1</v>
          </cell>
        </row>
        <row r="42">
          <cell r="B42" t="str">
            <v>SV7_OPS</v>
          </cell>
          <cell r="C42" t="str">
            <v>Operationalization &amp; Workflows</v>
          </cell>
          <cell r="D42" t="str">
            <v>0/1</v>
          </cell>
          <cell r="E42">
            <v>1</v>
          </cell>
        </row>
        <row r="43">
          <cell r="B43" t="str">
            <v>── CONCERNS TO RESOLVE (0 = not mentioned / 1 = mentioned) ──</v>
          </cell>
        </row>
        <row r="44">
          <cell r="B44" t="str">
            <v>Guidance</v>
          </cell>
          <cell r="C44" t="str">
            <v>1 = interviewee explicitly mentioned this as valuable or relevant. 0 = not mentioned or actively dismissed.</v>
          </cell>
        </row>
        <row r="45">
          <cell r="B45" t="str">
            <v>SC1_DATASENS</v>
          </cell>
          <cell r="C45" t="str">
            <v>Data Sensitivity</v>
          </cell>
          <cell r="D45" t="str">
            <v>0/1</v>
          </cell>
          <cell r="E45">
            <v>1</v>
          </cell>
        </row>
        <row r="46">
          <cell r="B46" t="str">
            <v>SC2_COMPLIANCE</v>
          </cell>
          <cell r="C46" t="str">
            <v>Compliance</v>
          </cell>
          <cell r="D46" t="str">
            <v>0/1</v>
          </cell>
          <cell r="E46">
            <v>1</v>
          </cell>
        </row>
        <row r="47">
          <cell r="B47" t="str">
            <v>SC3_TRUST</v>
          </cell>
          <cell r="C47" t="str">
            <v>Trust Issues</v>
          </cell>
          <cell r="D47" t="str">
            <v>0/1</v>
          </cell>
          <cell r="E47">
            <v>1</v>
          </cell>
        </row>
        <row r="48">
          <cell r="B48" t="str">
            <v>SC4_DATAPROC</v>
          </cell>
          <cell r="C48" t="str">
            <v>Data Processing</v>
          </cell>
          <cell r="D48" t="str">
            <v>0/1</v>
          </cell>
          <cell r="E48">
            <v>1</v>
          </cell>
        </row>
        <row r="49">
          <cell r="B49" t="str">
            <v>── CRITICAL TOOL FEATURES (0 = not mentioned / 1 = mentioned) ──</v>
          </cell>
        </row>
        <row r="50">
          <cell r="B50" t="str">
            <v>Guidance</v>
          </cell>
          <cell r="C50" t="str">
            <v>1 = interviewee explicitly mentioned this as valuable or relevant. 0 = not mentioned or actively dismissed.</v>
          </cell>
        </row>
        <row r="51">
          <cell r="B51" t="str">
            <v>SF1_REALTIME</v>
          </cell>
          <cell r="C51" t="str">
            <v>Dynamic, real-time data exchange</v>
          </cell>
          <cell r="D51" t="str">
            <v>0/1</v>
          </cell>
          <cell r="E51">
            <v>0</v>
          </cell>
        </row>
        <row r="52">
          <cell r="B52" t="str">
            <v>↳ QUOTE</v>
          </cell>
          <cell r="C52" t="str">
            <v>[Paste verbatim quote from transcript that supports this score or adds context]</v>
          </cell>
        </row>
        <row r="53">
          <cell r="B53" t="str">
            <v>SF2_ACCESS</v>
          </cell>
          <cell r="C53" t="str">
            <v>Equal access to shared datasets</v>
          </cell>
          <cell r="D53" t="str">
            <v>0/1</v>
          </cell>
          <cell r="E53">
            <v>0</v>
          </cell>
        </row>
        <row r="54">
          <cell r="B54" t="str">
            <v>SF3_UX</v>
          </cell>
          <cell r="C54" t="str">
            <v>Simple UX/UI</v>
          </cell>
          <cell r="D54" t="str">
            <v>0/1</v>
          </cell>
          <cell r="E54">
            <v>1</v>
          </cell>
        </row>
        <row r="55">
          <cell r="B55" t="str">
            <v>SF4_DECISION</v>
          </cell>
          <cell r="C55" t="str">
            <v>Allows joint decision making</v>
          </cell>
          <cell r="D55" t="str">
            <v>0/1</v>
          </cell>
          <cell r="E55">
            <v>0</v>
          </cell>
        </row>
        <row r="56">
          <cell r="B56" t="str">
            <v>SF5_MASKING</v>
          </cell>
          <cell r="C56" t="str">
            <v>Clear masking rules by supplier/user</v>
          </cell>
          <cell r="D56" t="str">
            <v>0/1</v>
          </cell>
          <cell r="E56">
            <v>0</v>
          </cell>
        </row>
        <row r="57">
          <cell r="B57" t="str">
            <v>── PREFERRED DATASETS (0 = not mentioned / 1 = mentioned) ──</v>
          </cell>
        </row>
        <row r="58">
          <cell r="B58" t="str">
            <v>Guidance</v>
          </cell>
          <cell r="C58" t="str">
            <v>1 = interviewee explicitly mentioned this as valuable or relevant. 0 = not mentioned or actively dismissed.</v>
          </cell>
        </row>
        <row r="59">
          <cell r="B59" t="str">
            <v>SD1_TRENDS</v>
          </cell>
          <cell r="C59" t="str">
            <v>Global trends and insights</v>
          </cell>
          <cell r="D59" t="str">
            <v>0/1</v>
          </cell>
          <cell r="E59">
            <v>0</v>
          </cell>
        </row>
        <row r="60">
          <cell r="B60" t="str">
            <v>SD2_MARKET</v>
          </cell>
          <cell r="C60" t="str">
            <v>Market research</v>
          </cell>
          <cell r="D60" t="str">
            <v>0/1</v>
          </cell>
          <cell r="E60">
            <v>1</v>
          </cell>
        </row>
        <row r="61">
          <cell r="B61" t="str">
            <v>SD3_CATEGORY</v>
          </cell>
          <cell r="C61" t="str">
            <v>Category performance</v>
          </cell>
          <cell r="D61" t="str">
            <v>0/1</v>
          </cell>
          <cell r="E61">
            <v>1</v>
          </cell>
        </row>
        <row r="62">
          <cell r="B62" t="str">
            <v>SD4_SHIPMENT</v>
          </cell>
          <cell r="C62" t="str">
            <v>Shipment schedules</v>
          </cell>
          <cell r="D62" t="str">
            <v>0/1</v>
          </cell>
          <cell r="E62">
            <v>1</v>
          </cell>
        </row>
        <row r="63">
          <cell r="B63" t="str">
            <v>SD5_LEAD</v>
          </cell>
          <cell r="C63" t="str">
            <v>Lead times</v>
          </cell>
          <cell r="D63" t="str">
            <v>0/1</v>
          </cell>
          <cell r="E63">
            <v>1</v>
          </cell>
        </row>
        <row r="64">
          <cell r="B64" t="str">
            <v>SD6_CONJOINT</v>
          </cell>
          <cell r="C64" t="str">
            <v>Conjoint names</v>
          </cell>
          <cell r="D64" t="str">
            <v>0/1</v>
          </cell>
          <cell r="E64">
            <v>0</v>
          </cell>
        </row>
        <row r="65">
          <cell r="B65" t="str">
            <v>Guidance</v>
          </cell>
          <cell r="C65" t="str">
            <v>1 = interviewee explicitly mentioned this as valuable or relevant. 0 = not mentioned or actively dismissed.</v>
          </cell>
        </row>
        <row r="67">
          <cell r="B67" t="str">
            <v>📌 NOTE</v>
          </cell>
          <cell r="C67" t="str">
            <v>Red cells = score needed (new questions with no old data to migrate from). If a transcript note at the top overrides coding guidance, it takes priority.</v>
          </cell>
        </row>
      </sheetData>
      <sheetData sheetId="8">
        <row r="1">
          <cell r="B1" t="str">
            <v>Company 5 — Interview 1</v>
          </cell>
        </row>
        <row r="2">
          <cell r="B2" t="str">
            <v>Interviewee Details</v>
          </cell>
          <cell r="C2" t="str">
            <v>Response</v>
          </cell>
          <cell r="D2" t="str">
            <v>Coding</v>
          </cell>
        </row>
        <row r="3">
          <cell r="B3" t="str">
            <v>Interviewee Name</v>
          </cell>
          <cell r="C3" t="str">
            <v>Freija Deprest</v>
          </cell>
        </row>
        <row r="4">
          <cell r="B4" t="str">
            <v>Interviewee Position</v>
          </cell>
          <cell r="C4" t="str">
            <v>Supply Chain Director</v>
          </cell>
        </row>
        <row r="5">
          <cell r="B5" t="str">
            <v>Company (Real)</v>
          </cell>
          <cell r="C5" t="str">
            <v>Dicofoods</v>
          </cell>
        </row>
        <row r="6">
          <cell r="B6" t="str">
            <v>Company (Disguised)</v>
          </cell>
          <cell r="C6" t="str">
            <v>Company 5</v>
          </cell>
        </row>
        <row r="7">
          <cell r="B7" t="str">
            <v>Interview Date</v>
          </cell>
          <cell r="C7" t="str">
            <v>19/05/2026</v>
          </cell>
        </row>
        <row r="8">
          <cell r="B8" t="str">
            <v>Interviewer</v>
          </cell>
          <cell r="C8" t="str">
            <v>Lore Verhoeven, Nicolas Amaya Cardona</v>
          </cell>
        </row>
        <row r="9">
          <cell r="B9" t="str">
            <v>Interviewer Support</v>
          </cell>
          <cell r="C9" t="str">
            <v>Freija Deprest (Vlerick Executive MBA participant)</v>
          </cell>
        </row>
        <row r="10">
          <cell r="B10" t="str">
            <v>Company Industry</v>
          </cell>
          <cell r="C10" t="str">
            <v>Food Manufacturing</v>
          </cell>
        </row>
        <row r="11">
          <cell r="B11" t="str">
            <v>Company Sub-Industry</v>
          </cell>
          <cell r="C11" t="str">
            <v>Manufacturer</v>
          </cell>
        </row>
        <row r="12">
          <cell r="B12" t="str">
            <v>Company Size (Turnover)</v>
          </cell>
          <cell r="C12">
            <v>134000000</v>
          </cell>
        </row>
        <row r="13">
          <cell r="B13" t="str">
            <v>Country</v>
          </cell>
          <cell r="C13" t="str">
            <v>Belgium</v>
          </cell>
        </row>
        <row r="15">
          <cell r="B15" t="str">
            <v>Question ID</v>
          </cell>
          <cell r="C15" t="str">
            <v>Question</v>
          </cell>
        </row>
        <row r="16">
          <cell r="B16" t="str">
            <v>── BASELINE BLOCK ──</v>
          </cell>
        </row>
        <row r="17">
          <cell r="B17" t="str">
            <v>B1_INTEREST</v>
          </cell>
          <cell r="C17" t="str">
            <v>Are you interested in data collaboration?</v>
          </cell>
          <cell r="D17" t="str">
            <v>1-10</v>
          </cell>
          <cell r="E17">
            <v>10</v>
          </cell>
        </row>
        <row r="18">
          <cell r="B18" t="str">
            <v>↳ QUOTE</v>
          </cell>
          <cell r="C18" t="e">
            <v>#VALUE!</v>
          </cell>
        </row>
        <row r="19">
          <cell r="B19" t="str">
            <v>B2_SHARING</v>
          </cell>
          <cell r="C19" t="str">
            <v>Do you share data currently?</v>
          </cell>
          <cell r="D19" t="str">
            <v>0/1</v>
          </cell>
          <cell r="E19">
            <v>1</v>
          </cell>
        </row>
        <row r="20">
          <cell r="B20" t="str">
            <v>B3_MONETIZE</v>
          </cell>
          <cell r="C20" t="str">
            <v>Do you monetize your data currently?</v>
          </cell>
          <cell r="D20" t="str">
            <v>0/1</v>
          </cell>
          <cell r="E20">
            <v>0</v>
          </cell>
        </row>
        <row r="21">
          <cell r="B21" t="str">
            <v>B4_STRATEGIC</v>
          </cell>
          <cell r="C21" t="str">
            <v>Do you not share/monetize due to strategic reasons?</v>
          </cell>
          <cell r="D21" t="str">
            <v>0/1</v>
          </cell>
          <cell r="E21">
            <v>1</v>
          </cell>
        </row>
        <row r="22">
          <cell r="B22" t="str">
            <v>── DATA SHARING MATURITY (1–5) ──</v>
          </cell>
        </row>
        <row r="23">
          <cell r="B23" t="str">
            <v>Question ID</v>
          </cell>
          <cell r="C23" t="str">
            <v>Question</v>
          </cell>
          <cell r="D23" t="str">
            <v>Scale</v>
          </cell>
          <cell r="E23" t="str">
            <v>SCORE</v>
          </cell>
        </row>
        <row r="24">
          <cell r="B24" t="str">
            <v>M1_AUTOMATED</v>
          </cell>
          <cell r="C24" t="str">
            <v>Is data sharing automated or manual?</v>
          </cell>
          <cell r="D24" t="str">
            <v>1–5</v>
          </cell>
          <cell r="E24">
            <v>2</v>
          </cell>
        </row>
        <row r="25">
          <cell r="B25" t="str">
            <v>M2_REALTIME</v>
          </cell>
          <cell r="C25" t="str">
            <v>Is data sharing in real-time, or lagging?</v>
          </cell>
          <cell r="D25" t="str">
            <v>1–5</v>
          </cell>
          <cell r="E25">
            <v>2</v>
          </cell>
        </row>
        <row r="26">
          <cell r="B26" t="str">
            <v>M3_STRATEGIC</v>
          </cell>
          <cell r="C26" t="str">
            <v>Is data sharing focused on operations or strategic planning?</v>
          </cell>
          <cell r="D26" t="str">
            <v>1–5</v>
          </cell>
          <cell r="E26">
            <v>2</v>
          </cell>
        </row>
        <row r="27">
          <cell r="B27" t="str">
            <v>M4_BREADTH</v>
          </cell>
          <cell r="C27" t="str">
            <v>Is data sharing available to all clients, or based on strategic importance?</v>
          </cell>
          <cell r="D27" t="str">
            <v>1–5</v>
          </cell>
          <cell r="E27">
            <v>4</v>
          </cell>
        </row>
        <row r="28">
          <cell r="B28" t="str">
            <v>M5_DATATYPES</v>
          </cell>
          <cell r="C28" t="str">
            <v>Breadth of data exchanged</v>
          </cell>
          <cell r="D28" t="str">
            <v>1–5</v>
          </cell>
          <cell r="E28">
            <v>2</v>
          </cell>
        </row>
        <row r="29">
          <cell r="B29" t="str">
            <v>M6_TRUST</v>
          </cell>
          <cell r="C29" t="str">
            <v>Trust in received data</v>
          </cell>
          <cell r="D29" t="str">
            <v>1–5</v>
          </cell>
          <cell r="E29">
            <v>2</v>
          </cell>
        </row>
        <row r="30">
          <cell r="B30" t="str">
            <v>M7_BARRIERS</v>
          </cell>
          <cell r="C30" t="str">
            <v>Readiness / barriers to collaborate</v>
          </cell>
          <cell r="D30" t="str">
            <v>1–5</v>
          </cell>
          <cell r="E30">
            <v>4</v>
          </cell>
        </row>
        <row r="31">
          <cell r="B31" t="str">
            <v>M8_IMPACT</v>
          </cell>
          <cell r="C31" t="str">
            <v>Operational impact of data gaps</v>
          </cell>
          <cell r="D31" t="str">
            <v>1–5</v>
          </cell>
          <cell r="E31">
            <v>2</v>
          </cell>
        </row>
        <row r="32">
          <cell r="B32" t="str">
            <v>M9_WILLINGNESS</v>
          </cell>
          <cell r="C32" t="str">
            <v>Willingness to collaborate overall</v>
          </cell>
          <cell r="D32" t="str">
            <v>1-10</v>
          </cell>
          <cell r="E32">
            <v>10</v>
          </cell>
        </row>
        <row r="33">
          <cell r="B33" t="str">
            <v>── VALUE UNLOCK AREAS (0 = not mentioned / 1 = mentioned) ──</v>
          </cell>
        </row>
        <row r="34">
          <cell r="B34" t="str">
            <v>Guidance</v>
          </cell>
          <cell r="C34" t="str">
            <v>1 = interviewee explicitly mentioned this as valuable or relevant. 0 = not mentioned or actively dismissed.</v>
          </cell>
        </row>
        <row r="35">
          <cell r="B35" t="str">
            <v>SV1_PRICING</v>
          </cell>
          <cell r="C35" t="str">
            <v>Pricing</v>
          </cell>
          <cell r="D35" t="str">
            <v>0/1</v>
          </cell>
          <cell r="E35">
            <v>1</v>
          </cell>
        </row>
        <row r="36">
          <cell r="B36" t="str">
            <v>↳ QUOTE</v>
          </cell>
          <cell r="C36" t="e">
            <v>#VALUE!</v>
          </cell>
        </row>
        <row r="37">
          <cell r="B37" t="str">
            <v>SV2_PROMOTIONS</v>
          </cell>
          <cell r="C37" t="str">
            <v>Promotions</v>
          </cell>
          <cell r="D37" t="str">
            <v>0/1</v>
          </cell>
          <cell r="E37">
            <v>1</v>
          </cell>
        </row>
        <row r="38">
          <cell r="B38" t="str">
            <v>SV3_SUPPLYCHAIN</v>
          </cell>
          <cell r="C38" t="str">
            <v>Supply Chain Management</v>
          </cell>
          <cell r="D38" t="str">
            <v>0/1</v>
          </cell>
          <cell r="E38">
            <v>1</v>
          </cell>
        </row>
        <row r="39">
          <cell r="B39" t="str">
            <v>SV4_CATEGORY</v>
          </cell>
          <cell r="C39" t="str">
            <v>Category Planning</v>
          </cell>
          <cell r="D39" t="str">
            <v>0/1</v>
          </cell>
          <cell r="E39">
            <v>0</v>
          </cell>
        </row>
        <row r="40">
          <cell r="B40" t="str">
            <v>SV5_DEMAND</v>
          </cell>
          <cell r="C40" t="str">
            <v>Demand Forecasting</v>
          </cell>
          <cell r="D40" t="str">
            <v>0/1</v>
          </cell>
          <cell r="E40">
            <v>1</v>
          </cell>
        </row>
        <row r="41">
          <cell r="B41" t="str">
            <v>SV6_ACCOUNT</v>
          </cell>
          <cell r="C41" t="str">
            <v>Accountability</v>
          </cell>
          <cell r="D41" t="str">
            <v>0/1</v>
          </cell>
          <cell r="E41">
            <v>1</v>
          </cell>
        </row>
        <row r="42">
          <cell r="B42" t="str">
            <v>SV7_OPS</v>
          </cell>
          <cell r="C42" t="str">
            <v>Operationalization &amp; Workflows</v>
          </cell>
          <cell r="D42" t="str">
            <v>0/1</v>
          </cell>
          <cell r="E42">
            <v>1</v>
          </cell>
        </row>
        <row r="43">
          <cell r="B43" t="str">
            <v>── CONCERNS TO RESOLVE (0 = not mentioned / 1 = mentioned) ──</v>
          </cell>
        </row>
        <row r="44">
          <cell r="B44" t="str">
            <v>Guidance</v>
          </cell>
          <cell r="C44" t="str">
            <v>1 = interviewee explicitly mentioned this as valuable or relevant. 0 = not mentioned or actively dismissed.</v>
          </cell>
        </row>
        <row r="45">
          <cell r="B45" t="str">
            <v>SC1_DATASENS</v>
          </cell>
          <cell r="C45" t="str">
            <v>Data Sensitivity</v>
          </cell>
          <cell r="D45" t="str">
            <v>0/1</v>
          </cell>
          <cell r="E45">
            <v>1</v>
          </cell>
        </row>
        <row r="46">
          <cell r="B46" t="str">
            <v>SC2_COMPLIANCE</v>
          </cell>
          <cell r="C46" t="str">
            <v>Compliance</v>
          </cell>
          <cell r="D46" t="str">
            <v>0/1</v>
          </cell>
          <cell r="E46">
            <v>0</v>
          </cell>
        </row>
        <row r="47">
          <cell r="B47" t="str">
            <v>SC3_TRUST</v>
          </cell>
          <cell r="C47" t="str">
            <v>Trust Issues</v>
          </cell>
          <cell r="D47" t="str">
            <v>0/1</v>
          </cell>
          <cell r="E47">
            <v>1</v>
          </cell>
        </row>
        <row r="48">
          <cell r="B48" t="str">
            <v>SC4_DATAPROC</v>
          </cell>
          <cell r="C48" t="str">
            <v>Data Processing</v>
          </cell>
          <cell r="D48" t="str">
            <v>0/1</v>
          </cell>
          <cell r="E48">
            <v>1</v>
          </cell>
        </row>
        <row r="49">
          <cell r="B49" t="str">
            <v>── CRITICAL TOOL FEATURES (0 = not mentioned / 1 = mentioned) ──</v>
          </cell>
        </row>
        <row r="50">
          <cell r="B50" t="str">
            <v>Guidance</v>
          </cell>
          <cell r="C50" t="str">
            <v>1 = interviewee explicitly mentioned this as valuable or relevant. 0 = not mentioned or actively dismissed.</v>
          </cell>
        </row>
        <row r="51">
          <cell r="B51" t="str">
            <v>SF1_REALTIME</v>
          </cell>
          <cell r="C51" t="str">
            <v>Dynamic, real-time data exchange</v>
          </cell>
          <cell r="D51" t="str">
            <v>0/1</v>
          </cell>
          <cell r="E51">
            <v>1</v>
          </cell>
        </row>
        <row r="52">
          <cell r="B52" t="str">
            <v>↳ QUOTE</v>
          </cell>
          <cell r="C52" t="str">
            <v>"If I would get what they sell in the shop, directly feed it to me... And I know the stock that is in the distribution center, then I can avoid, then I can plan better."</v>
          </cell>
        </row>
        <row r="53">
          <cell r="B53" t="str">
            <v>SF2_ACCESS</v>
          </cell>
          <cell r="C53" t="str">
            <v>Equal access to shared datasets</v>
          </cell>
          <cell r="D53" t="str">
            <v>0/1</v>
          </cell>
          <cell r="E53">
            <v>0</v>
          </cell>
        </row>
        <row r="54">
          <cell r="B54" t="str">
            <v>SF3_UX</v>
          </cell>
          <cell r="C54" t="str">
            <v>Simple UX/UI</v>
          </cell>
          <cell r="D54" t="str">
            <v>0/1</v>
          </cell>
          <cell r="E54">
            <v>1</v>
          </cell>
        </row>
        <row r="55">
          <cell r="B55" t="str">
            <v>SF4_DECISION</v>
          </cell>
          <cell r="C55" t="str">
            <v>Allows joint decision making</v>
          </cell>
          <cell r="D55" t="str">
            <v>0/1</v>
          </cell>
          <cell r="E55">
            <v>1</v>
          </cell>
        </row>
        <row r="56">
          <cell r="B56" t="str">
            <v>SF5_MASKING</v>
          </cell>
          <cell r="C56" t="str">
            <v>Clear masking rules by supplier/user</v>
          </cell>
          <cell r="D56" t="str">
            <v>0/1</v>
          </cell>
          <cell r="E56">
            <v>0</v>
          </cell>
        </row>
        <row r="57">
          <cell r="B57" t="str">
            <v>── PREFERRED DATASETS (0 = not mentioned / 1 = mentioned) ──</v>
          </cell>
        </row>
        <row r="58">
          <cell r="B58" t="str">
            <v>Guidance</v>
          </cell>
          <cell r="C58" t="str">
            <v>1 = interviewee explicitly mentioned this as valuable or relevant. 0 = not mentioned or actively dismissed.</v>
          </cell>
        </row>
        <row r="59">
          <cell r="B59" t="str">
            <v>SD1_TRENDS</v>
          </cell>
          <cell r="C59" t="str">
            <v>Global trends and insights</v>
          </cell>
          <cell r="D59" t="str">
            <v>0/1</v>
          </cell>
          <cell r="E59">
            <v>0</v>
          </cell>
        </row>
        <row r="60">
          <cell r="B60" t="str">
            <v>SD2_MARKET</v>
          </cell>
          <cell r="C60" t="str">
            <v>Market research</v>
          </cell>
          <cell r="D60" t="str">
            <v>0/1</v>
          </cell>
          <cell r="E60">
            <v>0</v>
          </cell>
        </row>
        <row r="61">
          <cell r="B61" t="str">
            <v>SD3_CATEGORY</v>
          </cell>
          <cell r="C61" t="str">
            <v>Category performance</v>
          </cell>
          <cell r="D61" t="str">
            <v>0/1</v>
          </cell>
          <cell r="E61">
            <v>0</v>
          </cell>
        </row>
        <row r="62">
          <cell r="B62" t="str">
            <v>SD4_SHIPMENT</v>
          </cell>
          <cell r="C62" t="str">
            <v>Shipment schedules</v>
          </cell>
          <cell r="D62" t="str">
            <v>0/1</v>
          </cell>
          <cell r="E62">
            <v>1</v>
          </cell>
        </row>
        <row r="63">
          <cell r="B63" t="str">
            <v>SD5_LEAD</v>
          </cell>
          <cell r="C63" t="str">
            <v>Lead times</v>
          </cell>
          <cell r="D63" t="str">
            <v>0/1</v>
          </cell>
          <cell r="E63">
            <v>1</v>
          </cell>
        </row>
        <row r="64">
          <cell r="B64" t="str">
            <v>SD6_CONJOINT</v>
          </cell>
          <cell r="C64" t="str">
            <v>Conjoint names</v>
          </cell>
          <cell r="D64" t="str">
            <v>0/1</v>
          </cell>
          <cell r="E64">
            <v>0</v>
          </cell>
        </row>
        <row r="65">
          <cell r="B65" t="str">
            <v>Guidance</v>
          </cell>
          <cell r="C65" t="str">
            <v>1 = interviewee explicitly mentioned this as valuable or relevant. 0 = not mentioned or actively dismissed.</v>
          </cell>
        </row>
        <row r="67">
          <cell r="B67" t="str">
            <v>📌 NOTE</v>
          </cell>
          <cell r="C67" t="str">
            <v>Red cells = score needed (new questions with no old data to migrate from). If a transcript note at the top overrides coding guidance, it takes priority.</v>
          </cell>
        </row>
      </sheetData>
      <sheetData sheetId="9">
        <row r="1">
          <cell r="B1" t="str">
            <v>Company 6 — Interview 1</v>
          </cell>
        </row>
        <row r="2">
          <cell r="B2" t="str">
            <v>Interviewee Details</v>
          </cell>
          <cell r="C2" t="str">
            <v>Response</v>
          </cell>
          <cell r="D2" t="str">
            <v>Coding</v>
          </cell>
        </row>
        <row r="3">
          <cell r="B3" t="str">
            <v>Interviewee Name</v>
          </cell>
          <cell r="C3" t="str">
            <v>Filip Van Hoyweghen</v>
          </cell>
        </row>
        <row r="4">
          <cell r="B4" t="str">
            <v>Interviewee Position</v>
          </cell>
          <cell r="C4" t="str">
            <v>Sales Director</v>
          </cell>
        </row>
        <row r="5">
          <cell r="B5" t="str">
            <v>Company (Real)</v>
          </cell>
          <cell r="C5" t="str">
            <v>Spadel</v>
          </cell>
        </row>
        <row r="6">
          <cell r="B6" t="str">
            <v>Company (Disguised)</v>
          </cell>
          <cell r="C6" t="str">
            <v>Company 6</v>
          </cell>
        </row>
        <row r="7">
          <cell r="B7" t="str">
            <v>Interview Date</v>
          </cell>
          <cell r="C7" t="str">
            <v>20/05/2026</v>
          </cell>
        </row>
        <row r="8">
          <cell r="B8" t="str">
            <v>Interviewer</v>
          </cell>
          <cell r="C8" t="str">
            <v>Lore Verhoeven, Aysegul Yamak Eveno</v>
          </cell>
        </row>
        <row r="9">
          <cell r="B9" t="str">
            <v>Interviewer Support</v>
          </cell>
        </row>
        <row r="10">
          <cell r="B10" t="str">
            <v>Company Industry</v>
          </cell>
          <cell r="C10" t="str">
            <v>FMCG</v>
          </cell>
        </row>
        <row r="11">
          <cell r="B11" t="str">
            <v>Company Sub-Industry</v>
          </cell>
          <cell r="C11" t="str">
            <v>Manufacturer</v>
          </cell>
        </row>
        <row r="12">
          <cell r="B12" t="str">
            <v>Company Size (Turnover)</v>
          </cell>
          <cell r="C12">
            <v>380000000</v>
          </cell>
        </row>
        <row r="13">
          <cell r="B13" t="str">
            <v>Country</v>
          </cell>
          <cell r="C13" t="str">
            <v>Belgium</v>
          </cell>
        </row>
        <row r="15">
          <cell r="B15" t="str">
            <v>Question ID</v>
          </cell>
          <cell r="C15" t="str">
            <v>Question</v>
          </cell>
        </row>
        <row r="16">
          <cell r="B16" t="str">
            <v>── BASELINE BLOCK ──</v>
          </cell>
        </row>
        <row r="17">
          <cell r="B17" t="str">
            <v>B1_INTEREST</v>
          </cell>
          <cell r="C17" t="str">
            <v>Are you interested in data collaboration?</v>
          </cell>
          <cell r="D17" t="str">
            <v>1-10</v>
          </cell>
          <cell r="E17">
            <v>8</v>
          </cell>
        </row>
        <row r="18">
          <cell r="B18" t="str">
            <v>↳ QUOTE</v>
          </cell>
          <cell r="C18" t="str">
            <v>"data is important and you need to control data and you need to be the owner of the data in a sense that if you do not share your data with the retailers. somebody else will, and it's better that it's your story than the story of somebody else"</v>
          </cell>
        </row>
        <row r="19">
          <cell r="B19" t="str">
            <v>B2_SHARING</v>
          </cell>
          <cell r="C19" t="str">
            <v>Do you share data currently?</v>
          </cell>
          <cell r="D19" t="str">
            <v>0/1</v>
          </cell>
          <cell r="E19">
            <v>1</v>
          </cell>
        </row>
        <row r="20">
          <cell r="B20" t="str">
            <v>B3_MONETIZE</v>
          </cell>
          <cell r="C20" t="str">
            <v>Do you monetize your data currently?</v>
          </cell>
          <cell r="D20" t="str">
            <v>0/1</v>
          </cell>
          <cell r="E20">
            <v>0</v>
          </cell>
        </row>
        <row r="21">
          <cell r="B21" t="str">
            <v>B4_STRATEGIC</v>
          </cell>
          <cell r="C21" t="str">
            <v>Do you not share/monetize due to strategic reasons?</v>
          </cell>
          <cell r="D21" t="str">
            <v>0/1</v>
          </cell>
          <cell r="E21">
            <v>1</v>
          </cell>
        </row>
        <row r="22">
          <cell r="B22" t="str">
            <v>── DATA SHARING MATURITY (1–5) ──</v>
          </cell>
        </row>
        <row r="23">
          <cell r="B23" t="str">
            <v>Question ID</v>
          </cell>
          <cell r="C23" t="str">
            <v>Question</v>
          </cell>
          <cell r="D23" t="str">
            <v>Scale</v>
          </cell>
          <cell r="E23" t="str">
            <v>SCORE</v>
          </cell>
        </row>
        <row r="24">
          <cell r="B24" t="str">
            <v>M1_AUTOMATED</v>
          </cell>
          <cell r="C24" t="str">
            <v>Is data sharing automated or manual?</v>
          </cell>
          <cell r="D24" t="str">
            <v>1–5</v>
          </cell>
          <cell r="E24">
            <v>5</v>
          </cell>
        </row>
        <row r="25">
          <cell r="B25" t="str">
            <v>M2_REALTIME</v>
          </cell>
          <cell r="C25" t="str">
            <v>Is data sharing in real-time, or lagging?</v>
          </cell>
          <cell r="D25" t="str">
            <v>1–5</v>
          </cell>
          <cell r="E25">
            <v>4</v>
          </cell>
        </row>
        <row r="26">
          <cell r="B26" t="str">
            <v>M3_STRATEGIC</v>
          </cell>
          <cell r="C26" t="str">
            <v>Is data sharing focused on operations or strategic planning?</v>
          </cell>
          <cell r="D26" t="str">
            <v>1–5</v>
          </cell>
          <cell r="E26">
            <v>4</v>
          </cell>
        </row>
        <row r="27">
          <cell r="B27" t="str">
            <v>M4_BREADTH</v>
          </cell>
          <cell r="C27" t="str">
            <v>Is data sharing available to all clients, or based on strategic importance?</v>
          </cell>
          <cell r="D27" t="str">
            <v>1–5</v>
          </cell>
          <cell r="E27">
            <v>3</v>
          </cell>
        </row>
        <row r="28">
          <cell r="B28" t="str">
            <v>M5_DATATYPES</v>
          </cell>
          <cell r="C28" t="str">
            <v>Breadth of data exchanged</v>
          </cell>
          <cell r="D28" t="str">
            <v>1–5</v>
          </cell>
          <cell r="E28">
            <v>5</v>
          </cell>
        </row>
        <row r="29">
          <cell r="B29" t="str">
            <v>M6_TRUST</v>
          </cell>
          <cell r="C29" t="str">
            <v>Trust in received data</v>
          </cell>
          <cell r="D29" t="str">
            <v>1–5</v>
          </cell>
          <cell r="E29">
            <v>2</v>
          </cell>
        </row>
        <row r="30">
          <cell r="B30" t="str">
            <v>M7_BARRIERS</v>
          </cell>
          <cell r="C30" t="str">
            <v>Readiness / barriers to collaborate</v>
          </cell>
          <cell r="D30" t="str">
            <v>1–5</v>
          </cell>
          <cell r="E30">
            <v>5</v>
          </cell>
        </row>
        <row r="31">
          <cell r="B31" t="str">
            <v>M8_IMPACT</v>
          </cell>
          <cell r="C31" t="str">
            <v>Operational impact of data gaps</v>
          </cell>
          <cell r="D31" t="str">
            <v>1–5</v>
          </cell>
          <cell r="E31">
            <v>5</v>
          </cell>
        </row>
        <row r="32">
          <cell r="B32" t="str">
            <v>M9_WILLINGNESS</v>
          </cell>
          <cell r="C32" t="str">
            <v>Willingness to collaborate overall</v>
          </cell>
          <cell r="D32" t="str">
            <v>1-10</v>
          </cell>
          <cell r="E32">
            <v>6</v>
          </cell>
        </row>
        <row r="33">
          <cell r="B33" t="str">
            <v>── VALUE UNLOCK AREAS (0 = not mentioned / 1 = mentioned) ──</v>
          </cell>
        </row>
        <row r="34">
          <cell r="B34" t="str">
            <v>Guidance</v>
          </cell>
          <cell r="C34" t="str">
            <v>1 = interviewee explicitly mentioned this as valuable or relevant. 0 = not mentioned or actively dismissed.</v>
          </cell>
        </row>
        <row r="35">
          <cell r="B35" t="str">
            <v>SV1_PRICING</v>
          </cell>
          <cell r="C35" t="str">
            <v>Pricing</v>
          </cell>
          <cell r="D35" t="str">
            <v>0/1</v>
          </cell>
          <cell r="E35">
            <v>1</v>
          </cell>
        </row>
        <row r="36">
          <cell r="B36" t="str">
            <v>↳ QUOTE</v>
          </cell>
          <cell r="C36" t="str">
            <v>"Or pricing, which we track with folder. Visibility is also in Power BI... we did a fully RGM model in it"</v>
          </cell>
        </row>
        <row r="37">
          <cell r="B37" t="str">
            <v>SV2_PROMOTIONS</v>
          </cell>
          <cell r="C37" t="str">
            <v>Promotions</v>
          </cell>
          <cell r="D37" t="str">
            <v>0/1</v>
          </cell>
          <cell r="E37">
            <v>1</v>
          </cell>
        </row>
        <row r="38">
          <cell r="B38" t="str">
            <v>SV3_SUPPLYCHAIN</v>
          </cell>
          <cell r="C38" t="str">
            <v>Supply Chain Management</v>
          </cell>
          <cell r="D38" t="str">
            <v>0/1</v>
          </cell>
          <cell r="E38">
            <v>1</v>
          </cell>
        </row>
        <row r="39">
          <cell r="B39" t="str">
            <v>SV4_CATEGORY</v>
          </cell>
          <cell r="C39" t="str">
            <v>Category Planning</v>
          </cell>
          <cell r="D39" t="str">
            <v>0/1</v>
          </cell>
          <cell r="E39">
            <v>1</v>
          </cell>
        </row>
        <row r="40">
          <cell r="B40" t="str">
            <v>SV5_DEMAND</v>
          </cell>
          <cell r="C40" t="str">
            <v>Demand Forecasting</v>
          </cell>
          <cell r="D40" t="str">
            <v>0/1</v>
          </cell>
          <cell r="E40">
            <v>1</v>
          </cell>
        </row>
        <row r="41">
          <cell r="B41" t="str">
            <v>SV6_ACCOUNT</v>
          </cell>
          <cell r="C41" t="str">
            <v>Accountability</v>
          </cell>
          <cell r="D41" t="str">
            <v>0/1</v>
          </cell>
          <cell r="E41">
            <v>1</v>
          </cell>
        </row>
        <row r="42">
          <cell r="B42" t="str">
            <v>SV7_OPS</v>
          </cell>
          <cell r="C42" t="str">
            <v>Operationalization &amp; Workflows</v>
          </cell>
          <cell r="D42" t="str">
            <v>0/1</v>
          </cell>
          <cell r="E42">
            <v>1</v>
          </cell>
        </row>
        <row r="43">
          <cell r="B43" t="str">
            <v>── CONCERNS TO RESOLVE (0 = not mentioned / 1 = mentioned) ──</v>
          </cell>
        </row>
        <row r="44">
          <cell r="B44" t="str">
            <v>Guidance</v>
          </cell>
          <cell r="C44" t="str">
            <v>1 = interviewee explicitly mentioned this as valuable or relevant. 0 = not mentioned or actively dismissed.</v>
          </cell>
        </row>
        <row r="45">
          <cell r="B45" t="str">
            <v>SC1_DATASENS</v>
          </cell>
          <cell r="C45" t="str">
            <v>Data Sensitivity</v>
          </cell>
          <cell r="D45" t="str">
            <v>0/1</v>
          </cell>
          <cell r="E45">
            <v>1</v>
          </cell>
        </row>
        <row r="46">
          <cell r="B46" t="str">
            <v>SC2_COMPLIANCE</v>
          </cell>
          <cell r="C46" t="str">
            <v>Compliance</v>
          </cell>
          <cell r="D46" t="str">
            <v>0/1</v>
          </cell>
          <cell r="E46">
            <v>1</v>
          </cell>
        </row>
        <row r="47">
          <cell r="B47" t="str">
            <v>SC3_TRUST</v>
          </cell>
          <cell r="C47" t="str">
            <v>Trust Issues</v>
          </cell>
          <cell r="D47" t="str">
            <v>0/1</v>
          </cell>
          <cell r="E47">
            <v>1</v>
          </cell>
        </row>
        <row r="48">
          <cell r="B48" t="str">
            <v>SC4_DATAPROC</v>
          </cell>
          <cell r="C48" t="str">
            <v>Data Processing</v>
          </cell>
          <cell r="D48" t="str">
            <v>0/1</v>
          </cell>
          <cell r="E48">
            <v>1</v>
          </cell>
        </row>
        <row r="49">
          <cell r="B49" t="str">
            <v>── CRITICAL TOOL FEATURES (0 = not mentioned / 1 = mentioned) ──</v>
          </cell>
        </row>
        <row r="50">
          <cell r="B50" t="str">
            <v>Guidance</v>
          </cell>
          <cell r="C50" t="str">
            <v>1 = interviewee explicitly mentioned this as valuable or relevant. 0 = not mentioned or actively dismissed.</v>
          </cell>
        </row>
        <row r="51">
          <cell r="B51" t="str">
            <v>SF1_REALTIME</v>
          </cell>
          <cell r="C51" t="str">
            <v>Dynamic, real-time data exchange</v>
          </cell>
          <cell r="D51" t="str">
            <v>0/1</v>
          </cell>
          <cell r="E51">
            <v>1</v>
          </cell>
        </row>
        <row r="52">
          <cell r="B52" t="str">
            <v>↳ QUOTE</v>
          </cell>
          <cell r="C52" t="e">
            <v>#VALUE!</v>
          </cell>
        </row>
        <row r="53">
          <cell r="B53" t="str">
            <v>SF2_ACCESS</v>
          </cell>
          <cell r="C53" t="str">
            <v>Equal access to shared datasets</v>
          </cell>
          <cell r="D53" t="str">
            <v>0/1</v>
          </cell>
          <cell r="E53">
            <v>1</v>
          </cell>
        </row>
        <row r="54">
          <cell r="B54" t="str">
            <v>SF3_UX</v>
          </cell>
          <cell r="C54" t="str">
            <v>Simple UX/UI</v>
          </cell>
          <cell r="D54" t="str">
            <v>0/1</v>
          </cell>
          <cell r="E54">
            <v>0</v>
          </cell>
        </row>
        <row r="55">
          <cell r="B55" t="str">
            <v>SF4_DECISION</v>
          </cell>
          <cell r="C55" t="str">
            <v>Allows joint decision making</v>
          </cell>
          <cell r="D55" t="str">
            <v>0/1</v>
          </cell>
          <cell r="E55">
            <v>1</v>
          </cell>
        </row>
        <row r="56">
          <cell r="B56" t="str">
            <v>SF5_MASKING</v>
          </cell>
          <cell r="C56" t="str">
            <v>Clear masking rules by supplier/user</v>
          </cell>
          <cell r="D56" t="str">
            <v>0/1</v>
          </cell>
          <cell r="E56">
            <v>0</v>
          </cell>
        </row>
        <row r="57">
          <cell r="B57" t="str">
            <v>── PREFERRED DATASETS (0 = not mentioned / 1 = mentioned) ──</v>
          </cell>
        </row>
        <row r="58">
          <cell r="B58" t="str">
            <v>Guidance</v>
          </cell>
          <cell r="C58" t="str">
            <v>1 = interviewee explicitly mentioned this as valuable or relevant. 0 = not mentioned or actively dismissed.</v>
          </cell>
        </row>
        <row r="59">
          <cell r="B59" t="str">
            <v>SD1_TRENDS</v>
          </cell>
          <cell r="C59" t="str">
            <v>Global trends and insights</v>
          </cell>
          <cell r="D59" t="str">
            <v>0/1</v>
          </cell>
          <cell r="E59">
            <v>1</v>
          </cell>
        </row>
        <row r="60">
          <cell r="B60" t="str">
            <v>SD2_MARKET</v>
          </cell>
          <cell r="C60" t="str">
            <v>Market research</v>
          </cell>
          <cell r="D60" t="str">
            <v>0/1</v>
          </cell>
          <cell r="E60">
            <v>1</v>
          </cell>
        </row>
        <row r="61">
          <cell r="B61" t="str">
            <v>SD3_CATEGORY</v>
          </cell>
          <cell r="C61" t="str">
            <v>Category performance</v>
          </cell>
          <cell r="D61" t="str">
            <v>0/1</v>
          </cell>
          <cell r="E61">
            <v>1</v>
          </cell>
        </row>
        <row r="62">
          <cell r="B62" t="str">
            <v>SD4_SHIPMENT</v>
          </cell>
          <cell r="C62" t="str">
            <v>Shipment schedules</v>
          </cell>
          <cell r="D62" t="str">
            <v>0/1</v>
          </cell>
          <cell r="E62">
            <v>1</v>
          </cell>
        </row>
        <row r="63">
          <cell r="B63" t="str">
            <v>SD5_LEAD</v>
          </cell>
          <cell r="C63" t="str">
            <v>Lead times</v>
          </cell>
          <cell r="D63" t="str">
            <v>0/1</v>
          </cell>
          <cell r="E63">
            <v>0</v>
          </cell>
        </row>
        <row r="64">
          <cell r="B64" t="str">
            <v>SD6_CONJOINT</v>
          </cell>
          <cell r="C64" t="str">
            <v>Conjoint names</v>
          </cell>
          <cell r="D64" t="str">
            <v>0/1</v>
          </cell>
          <cell r="E64">
            <v>0</v>
          </cell>
        </row>
        <row r="65">
          <cell r="B65" t="str">
            <v>Guidance</v>
          </cell>
          <cell r="C65" t="str">
            <v>1 = interviewee explicitly mentioned this as valuable or relevant. 0 = not mentioned or actively dismissed.</v>
          </cell>
        </row>
        <row r="67">
          <cell r="B67" t="str">
            <v>📌 NOTE</v>
          </cell>
          <cell r="C67" t="str">
            <v>Red cells = score needed (new questions with no old data to migrate from). If a transcript note at the top overrides coding guidance, it takes priority.</v>
          </cell>
        </row>
      </sheetData>
      <sheetData sheetId="10">
        <row r="1">
          <cell r="B1" t="str">
            <v>Company 7 — Interview 1</v>
          </cell>
        </row>
        <row r="2">
          <cell r="B2" t="str">
            <v>Interviewee Details</v>
          </cell>
          <cell r="C2" t="str">
            <v>Response</v>
          </cell>
          <cell r="D2" t="str">
            <v>Coding</v>
          </cell>
        </row>
        <row r="3">
          <cell r="B3" t="str">
            <v>Interviewee Name</v>
          </cell>
          <cell r="C3" t="str">
            <v>Davy De Vlieger</v>
          </cell>
        </row>
        <row r="4">
          <cell r="B4" t="str">
            <v>Interviewee Position</v>
          </cell>
          <cell r="C4" t="str">
            <v>CEO</v>
          </cell>
        </row>
        <row r="5">
          <cell r="B5" t="str">
            <v>Company (Real)</v>
          </cell>
          <cell r="C5" t="str">
            <v>Spuntini Group</v>
          </cell>
        </row>
        <row r="6">
          <cell r="B6" t="str">
            <v>Company (Disguised)</v>
          </cell>
          <cell r="C6" t="str">
            <v>Company 7</v>
          </cell>
        </row>
        <row r="7">
          <cell r="B7" t="str">
            <v>Interview Date</v>
          </cell>
          <cell r="C7" t="str">
            <v>20/05/2026</v>
          </cell>
        </row>
        <row r="8">
          <cell r="B8" t="str">
            <v>Interviewer</v>
          </cell>
          <cell r="C8" t="str">
            <v>Lore Verhoeven, Nicolas Amaya Cardona</v>
          </cell>
        </row>
        <row r="9">
          <cell r="B9" t="str">
            <v>Interviewer Support</v>
          </cell>
          <cell r="C9" t="str">
            <v>Vlerick Business School MBA students</v>
          </cell>
        </row>
        <row r="10">
          <cell r="B10" t="str">
            <v>Company Industry</v>
          </cell>
          <cell r="C10" t="str">
            <v>Food Service / Wholesale Distribution</v>
          </cell>
        </row>
        <row r="11">
          <cell r="B11" t="str">
            <v>Company Sub-Industry</v>
          </cell>
          <cell r="C11" t="str">
            <v>Wholesaler</v>
          </cell>
        </row>
        <row r="12">
          <cell r="B12" t="str">
            <v>Company Size (Turnover)</v>
          </cell>
          <cell r="C12">
            <v>7800000</v>
          </cell>
        </row>
        <row r="13">
          <cell r="B13" t="str">
            <v>Country</v>
          </cell>
          <cell r="C13" t="str">
            <v>Belgium</v>
          </cell>
        </row>
        <row r="15">
          <cell r="B15" t="str">
            <v>Question ID</v>
          </cell>
          <cell r="C15" t="str">
            <v>Question</v>
          </cell>
        </row>
        <row r="16">
          <cell r="B16" t="str">
            <v>── BASELINE BLOCK ──</v>
          </cell>
        </row>
        <row r="17">
          <cell r="B17" t="str">
            <v>B1_INTEREST</v>
          </cell>
          <cell r="C17" t="str">
            <v>Are you interested in data collaboration?</v>
          </cell>
          <cell r="D17" t="str">
            <v>1-10</v>
          </cell>
          <cell r="E17">
            <v>8</v>
          </cell>
        </row>
        <row r="18">
          <cell r="B18" t="str">
            <v>↳ QUOTE</v>
          </cell>
          <cell r="C18" t="str">
            <v>"If you need to scale, how much you're willing to do data collaboration currently from 1 to 10, what would you give it? Eight."</v>
          </cell>
        </row>
        <row r="19">
          <cell r="B19" t="str">
            <v>B2_SHARING</v>
          </cell>
          <cell r="C19" t="str">
            <v>Do you share data currently?</v>
          </cell>
          <cell r="D19" t="str">
            <v>0/1</v>
          </cell>
          <cell r="E19">
            <v>1</v>
          </cell>
        </row>
        <row r="20">
          <cell r="B20" t="str">
            <v>B3_MONETIZE</v>
          </cell>
          <cell r="C20" t="str">
            <v>Do you monetize your data currently?</v>
          </cell>
          <cell r="D20" t="str">
            <v>0/1</v>
          </cell>
          <cell r="E20">
            <v>1</v>
          </cell>
        </row>
        <row r="21">
          <cell r="B21" t="str">
            <v>B4_STRATEGIC</v>
          </cell>
          <cell r="C21" t="str">
            <v>Do you not share/monetize due to strategic reasons?</v>
          </cell>
          <cell r="D21" t="str">
            <v>0/1</v>
          </cell>
          <cell r="E21">
            <v>0</v>
          </cell>
        </row>
        <row r="22">
          <cell r="B22" t="str">
            <v>── DATA SHARING MATURITY (1–5) ──</v>
          </cell>
        </row>
        <row r="23">
          <cell r="B23" t="str">
            <v>Question ID</v>
          </cell>
          <cell r="C23" t="str">
            <v>Question</v>
          </cell>
          <cell r="D23" t="str">
            <v>Scale</v>
          </cell>
          <cell r="E23" t="str">
            <v>SCORE</v>
          </cell>
        </row>
        <row r="24">
          <cell r="B24" t="str">
            <v>M1_AUTOMATED</v>
          </cell>
          <cell r="C24" t="str">
            <v>Is data sharing automated or manual?</v>
          </cell>
          <cell r="D24" t="str">
            <v>1–5</v>
          </cell>
          <cell r="E24">
            <v>1</v>
          </cell>
        </row>
        <row r="25">
          <cell r="B25" t="str">
            <v>M2_REALTIME</v>
          </cell>
          <cell r="C25" t="str">
            <v>Is data sharing in real-time, or lagging?</v>
          </cell>
          <cell r="D25" t="str">
            <v>1–5</v>
          </cell>
          <cell r="E25">
            <v>2</v>
          </cell>
        </row>
        <row r="26">
          <cell r="B26" t="str">
            <v>M3_STRATEGIC</v>
          </cell>
          <cell r="C26" t="str">
            <v>Is data sharing focused on operations or strategic planning?</v>
          </cell>
          <cell r="D26" t="str">
            <v>1–5</v>
          </cell>
          <cell r="E26">
            <v>4</v>
          </cell>
        </row>
        <row r="27">
          <cell r="B27" t="str">
            <v>M4_BREADTH</v>
          </cell>
          <cell r="C27" t="str">
            <v>Is data sharing available to all clients, or based on strategic importance?</v>
          </cell>
          <cell r="D27" t="str">
            <v>1–5</v>
          </cell>
          <cell r="E27">
            <v>3</v>
          </cell>
        </row>
        <row r="28">
          <cell r="B28" t="str">
            <v>M5_DATATYPES</v>
          </cell>
          <cell r="C28" t="str">
            <v>Breadth of data exchanged</v>
          </cell>
          <cell r="D28" t="str">
            <v>1–5</v>
          </cell>
          <cell r="E28">
            <v>3</v>
          </cell>
        </row>
        <row r="29">
          <cell r="B29" t="str">
            <v>M6_TRUST</v>
          </cell>
          <cell r="C29" t="str">
            <v>Trust in received data</v>
          </cell>
          <cell r="D29" t="str">
            <v>1–5</v>
          </cell>
        </row>
        <row r="30">
          <cell r="B30" t="str">
            <v>M7_BARRIERS</v>
          </cell>
          <cell r="C30" t="str">
            <v>Readiness / barriers to collaborate</v>
          </cell>
          <cell r="D30" t="str">
            <v>1–5</v>
          </cell>
          <cell r="E30">
            <v>2</v>
          </cell>
        </row>
        <row r="31">
          <cell r="B31" t="str">
            <v>M8_IMPACT</v>
          </cell>
          <cell r="C31" t="str">
            <v>Operational impact of data gaps</v>
          </cell>
          <cell r="D31" t="str">
            <v>1–5</v>
          </cell>
          <cell r="E31">
            <v>3</v>
          </cell>
        </row>
        <row r="32">
          <cell r="B32" t="str">
            <v>M9_WILLINGNESS</v>
          </cell>
          <cell r="C32" t="str">
            <v>Willingness to collaborate overall</v>
          </cell>
          <cell r="D32" t="str">
            <v>1-10</v>
          </cell>
          <cell r="E32">
            <v>8</v>
          </cell>
        </row>
        <row r="33">
          <cell r="B33" t="str">
            <v>── VALUE UNLOCK AREAS (0 = not mentioned / 1 = mentioned) ──</v>
          </cell>
        </row>
        <row r="34">
          <cell r="B34" t="str">
            <v>Guidance</v>
          </cell>
          <cell r="C34" t="str">
            <v>1 = interviewee explicitly mentioned this as valuable or relevant. 0 = not mentioned or actively dismissed.</v>
          </cell>
        </row>
        <row r="35">
          <cell r="B35" t="str">
            <v>SV1_PRICING</v>
          </cell>
          <cell r="C35" t="str">
            <v>Pricing</v>
          </cell>
          <cell r="D35" t="str">
            <v>0/1</v>
          </cell>
          <cell r="E35">
            <v>0</v>
          </cell>
        </row>
        <row r="36">
          <cell r="B36" t="str">
            <v>↳ QUOTE</v>
          </cell>
          <cell r="C36" t="str">
            <v>[Paste verbatim quote from transcript supporting Value Unlock Areas scoring]</v>
          </cell>
        </row>
        <row r="37">
          <cell r="B37" t="str">
            <v>SV2_PROMOTIONS</v>
          </cell>
          <cell r="C37" t="str">
            <v>Promotions</v>
          </cell>
          <cell r="D37" t="str">
            <v>0/1</v>
          </cell>
          <cell r="E37">
            <v>0</v>
          </cell>
        </row>
        <row r="38">
          <cell r="B38" t="str">
            <v>SV3_SUPPLYCHAIN</v>
          </cell>
          <cell r="C38" t="str">
            <v>Supply Chain Management</v>
          </cell>
          <cell r="D38" t="str">
            <v>0/1</v>
          </cell>
          <cell r="E38">
            <v>0</v>
          </cell>
        </row>
        <row r="39">
          <cell r="B39" t="str">
            <v>SV4_CATEGORY</v>
          </cell>
          <cell r="C39" t="str">
            <v>Category Planning</v>
          </cell>
          <cell r="D39" t="str">
            <v>0/1</v>
          </cell>
          <cell r="E39">
            <v>1</v>
          </cell>
        </row>
        <row r="40">
          <cell r="B40" t="str">
            <v>SV5_DEMAND</v>
          </cell>
          <cell r="C40" t="str">
            <v>Demand Forecasting</v>
          </cell>
          <cell r="D40" t="str">
            <v>0/1</v>
          </cell>
          <cell r="E40">
            <v>0</v>
          </cell>
        </row>
        <row r="41">
          <cell r="B41" t="str">
            <v>SV6_ACCOUNT</v>
          </cell>
          <cell r="C41" t="str">
            <v>Accountability</v>
          </cell>
          <cell r="D41" t="str">
            <v>0/1</v>
          </cell>
          <cell r="E41">
            <v>0</v>
          </cell>
        </row>
        <row r="42">
          <cell r="B42" t="str">
            <v>SV7_OPS</v>
          </cell>
          <cell r="C42" t="str">
            <v>Operationalization &amp; Workflows</v>
          </cell>
          <cell r="D42" t="str">
            <v>0/1</v>
          </cell>
          <cell r="E42">
            <v>1</v>
          </cell>
        </row>
        <row r="43">
          <cell r="B43" t="str">
            <v>── CONCERNS TO RESOLVE (0 = not mentioned / 1 = mentioned) ──</v>
          </cell>
        </row>
        <row r="44">
          <cell r="B44" t="str">
            <v>Guidance</v>
          </cell>
          <cell r="C44" t="str">
            <v>1 = interviewee explicitly mentioned this as valuable or relevant. 0 = not mentioned or actively dismissed.</v>
          </cell>
        </row>
        <row r="45">
          <cell r="B45" t="str">
            <v>SC1_DATASENS</v>
          </cell>
          <cell r="C45" t="str">
            <v>Data Sensitivity</v>
          </cell>
          <cell r="D45" t="str">
            <v>0/1</v>
          </cell>
          <cell r="E45">
            <v>0</v>
          </cell>
        </row>
        <row r="46">
          <cell r="B46" t="str">
            <v>SC2_COMPLIANCE</v>
          </cell>
          <cell r="C46" t="str">
            <v>Compliance</v>
          </cell>
          <cell r="D46" t="str">
            <v>0/1</v>
          </cell>
          <cell r="E46">
            <v>0</v>
          </cell>
        </row>
        <row r="47">
          <cell r="B47" t="str">
            <v>SC3_TRUST</v>
          </cell>
          <cell r="C47" t="str">
            <v>Trust Issues</v>
          </cell>
          <cell r="D47" t="str">
            <v>0/1</v>
          </cell>
          <cell r="E47">
            <v>0</v>
          </cell>
        </row>
        <row r="48">
          <cell r="B48" t="str">
            <v>SC4_DATAPROC</v>
          </cell>
          <cell r="C48" t="str">
            <v>Data Processing</v>
          </cell>
          <cell r="D48" t="str">
            <v>0/1</v>
          </cell>
          <cell r="E48">
            <v>1</v>
          </cell>
        </row>
        <row r="49">
          <cell r="B49" t="str">
            <v>── CRITICAL TOOL FEATURES (0 = not mentioned / 1 = mentioned) ──</v>
          </cell>
        </row>
        <row r="50">
          <cell r="B50" t="str">
            <v>Guidance</v>
          </cell>
          <cell r="C50" t="str">
            <v>1 = interviewee explicitly mentioned this as valuable or relevant. 0 = not mentioned or actively dismissed.</v>
          </cell>
        </row>
        <row r="51">
          <cell r="B51" t="str">
            <v>SF1_REALTIME</v>
          </cell>
          <cell r="C51" t="str">
            <v>Dynamic, real-time data exchange</v>
          </cell>
          <cell r="D51" t="str">
            <v>0/1</v>
          </cell>
          <cell r="E51">
            <v>1</v>
          </cell>
        </row>
        <row r="52">
          <cell r="B52" t="str">
            <v>↳ QUOTE</v>
          </cell>
          <cell r="C52" t="str">
            <v>"I think in a month from now, I will be able to have access to all the data live for every single warehouse we have."</v>
          </cell>
        </row>
        <row r="53">
          <cell r="B53" t="str">
            <v>SF2_ACCESS</v>
          </cell>
          <cell r="C53" t="str">
            <v>Equal access to shared datasets</v>
          </cell>
          <cell r="D53" t="str">
            <v>0/1</v>
          </cell>
          <cell r="E53">
            <v>0</v>
          </cell>
        </row>
        <row r="54">
          <cell r="B54" t="str">
            <v>SF3_UX</v>
          </cell>
          <cell r="C54" t="str">
            <v>Simple UX/UI</v>
          </cell>
          <cell r="D54" t="str">
            <v>0/1</v>
          </cell>
          <cell r="E54">
            <v>1</v>
          </cell>
        </row>
        <row r="55">
          <cell r="B55" t="str">
            <v>SF4_DECISION</v>
          </cell>
          <cell r="C55" t="str">
            <v>Allows joint decision making</v>
          </cell>
          <cell r="D55" t="str">
            <v>0/1</v>
          </cell>
          <cell r="E55">
            <v>0</v>
          </cell>
        </row>
        <row r="56">
          <cell r="B56" t="str">
            <v>SF5_MASKING</v>
          </cell>
          <cell r="C56" t="str">
            <v>Clear masking rules by supplier/user</v>
          </cell>
          <cell r="D56" t="str">
            <v>0/1</v>
          </cell>
          <cell r="E56">
            <v>0</v>
          </cell>
        </row>
        <row r="57">
          <cell r="B57" t="str">
            <v>── PREFERRED DATASETS (0 = not mentioned / 1 = mentioned) ──</v>
          </cell>
        </row>
        <row r="58">
          <cell r="B58" t="str">
            <v>Guidance</v>
          </cell>
          <cell r="C58" t="str">
            <v>1 = interviewee explicitly mentioned this as valuable or relevant. 0 = not mentioned or actively dismissed.</v>
          </cell>
        </row>
        <row r="59">
          <cell r="B59" t="str">
            <v>SD1_TRENDS</v>
          </cell>
          <cell r="C59" t="str">
            <v>Global trends and insights</v>
          </cell>
          <cell r="D59" t="str">
            <v>0/1</v>
          </cell>
          <cell r="E59">
            <v>0</v>
          </cell>
        </row>
        <row r="60">
          <cell r="B60" t="str">
            <v>SD2_MARKET</v>
          </cell>
          <cell r="C60" t="str">
            <v>Market research</v>
          </cell>
          <cell r="D60" t="str">
            <v>0/1</v>
          </cell>
          <cell r="E60">
            <v>1</v>
          </cell>
        </row>
        <row r="61">
          <cell r="B61" t="str">
            <v>SD3_CATEGORY</v>
          </cell>
          <cell r="C61" t="str">
            <v>Category performance</v>
          </cell>
          <cell r="D61" t="str">
            <v>0/1</v>
          </cell>
          <cell r="E61">
            <v>1</v>
          </cell>
        </row>
        <row r="62">
          <cell r="B62" t="str">
            <v>SD4_SHIPMENT</v>
          </cell>
          <cell r="C62" t="str">
            <v>Shipment schedules</v>
          </cell>
          <cell r="D62" t="str">
            <v>0/1</v>
          </cell>
          <cell r="E62">
            <v>0</v>
          </cell>
        </row>
        <row r="63">
          <cell r="B63" t="str">
            <v>SD5_LEAD</v>
          </cell>
          <cell r="C63" t="str">
            <v>Lead times</v>
          </cell>
          <cell r="D63" t="str">
            <v>0/1</v>
          </cell>
          <cell r="E63">
            <v>0</v>
          </cell>
        </row>
        <row r="64">
          <cell r="B64" t="str">
            <v>SD6_CONJOINT</v>
          </cell>
          <cell r="C64" t="str">
            <v>Conjoint names</v>
          </cell>
          <cell r="D64" t="str">
            <v>0/1</v>
          </cell>
          <cell r="E64">
            <v>0</v>
          </cell>
        </row>
        <row r="65">
          <cell r="B65" t="str">
            <v>Guidance</v>
          </cell>
          <cell r="C65" t="str">
            <v>1 = interviewee explicitly mentioned this as valuable or relevant. 0 = not mentioned or actively dismissed.</v>
          </cell>
        </row>
        <row r="67">
          <cell r="B67" t="str">
            <v>📌 NOTE</v>
          </cell>
          <cell r="C67" t="str">
            <v>Red cells = score needed (new questions with no old data to migrate from). If a transcript note at the top overrides coding guidance, it takes priority.</v>
          </cell>
        </row>
      </sheetData>
      <sheetData sheetId="11">
        <row r="1">
          <cell r="B1" t="str">
            <v>Company 8 — Interview 1</v>
          </cell>
        </row>
        <row r="2">
          <cell r="B2" t="str">
            <v>Interviewee Details</v>
          </cell>
          <cell r="C2" t="str">
            <v>Response</v>
          </cell>
          <cell r="D2" t="str">
            <v>Coding</v>
          </cell>
        </row>
        <row r="3">
          <cell r="B3" t="str">
            <v>Interviewee Name</v>
          </cell>
          <cell r="C3" t="str">
            <v>Jochen Luypaert</v>
          </cell>
        </row>
        <row r="4">
          <cell r="B4" t="str">
            <v>Interviewee Position</v>
          </cell>
          <cell r="C4" t="str">
            <v>CFO / Finance Lead EMEA &amp; LATAM</v>
          </cell>
        </row>
        <row r="5">
          <cell r="B5" t="str">
            <v>Company (Real)</v>
          </cell>
          <cell r="C5" t="str">
            <v>Wellness Pet (formerly Mars, 12 years experience in FMCG)</v>
          </cell>
        </row>
        <row r="6">
          <cell r="B6" t="str">
            <v>Company (Disguised)</v>
          </cell>
          <cell r="C6" t="str">
            <v>Company 8</v>
          </cell>
        </row>
        <row r="7">
          <cell r="B7" t="str">
            <v>Interview Date</v>
          </cell>
          <cell r="C7" t="str">
            <v>27/05/2026</v>
          </cell>
        </row>
        <row r="8">
          <cell r="B8" t="str">
            <v>Interviewer</v>
          </cell>
          <cell r="C8" t="str">
            <v>Nicolas Amaya Cardona</v>
          </cell>
        </row>
        <row r="9">
          <cell r="B9" t="str">
            <v>Interviewer Support</v>
          </cell>
        </row>
        <row r="10">
          <cell r="B10" t="str">
            <v>Company Industry</v>
          </cell>
          <cell r="C10" t="str">
            <v>Pet Food &amp; Products</v>
          </cell>
        </row>
        <row r="11">
          <cell r="B11" t="str">
            <v>Company Sub-Industry</v>
          </cell>
          <cell r="C11" t="str">
            <v>Manufacturer</v>
          </cell>
        </row>
        <row r="12">
          <cell r="B12" t="str">
            <v>Company Size (Turnover)</v>
          </cell>
          <cell r="C12">
            <v>90000000</v>
          </cell>
        </row>
        <row r="13">
          <cell r="B13" t="str">
            <v>Country</v>
          </cell>
          <cell r="C13" t="str">
            <v>US</v>
          </cell>
        </row>
        <row r="15">
          <cell r="B15" t="str">
            <v>Question ID</v>
          </cell>
          <cell r="C15" t="str">
            <v>Question</v>
          </cell>
        </row>
        <row r="16">
          <cell r="B16" t="str">
            <v>── BASELINE BLOCK ──</v>
          </cell>
        </row>
        <row r="17">
          <cell r="B17" t="str">
            <v>B1_INTEREST</v>
          </cell>
          <cell r="C17" t="str">
            <v>Are you interested in data collaboration?</v>
          </cell>
          <cell r="D17" t="str">
            <v>1-10</v>
          </cell>
          <cell r="E17">
            <v>8</v>
          </cell>
        </row>
        <row r="18">
          <cell r="B18" t="str">
            <v>↳ QUOTE</v>
          </cell>
          <cell r="C18" t="e">
            <v>#VALUE!</v>
          </cell>
        </row>
        <row r="19">
          <cell r="B19" t="str">
            <v>B2_SHARING</v>
          </cell>
          <cell r="C19" t="str">
            <v>Do you share data currently?</v>
          </cell>
          <cell r="D19" t="str">
            <v>0/1</v>
          </cell>
          <cell r="E19">
            <v>1</v>
          </cell>
        </row>
        <row r="20">
          <cell r="B20" t="str">
            <v>B3_MONETIZE</v>
          </cell>
          <cell r="C20" t="str">
            <v>Do you monetize your data currently?</v>
          </cell>
          <cell r="D20" t="str">
            <v>0/1</v>
          </cell>
          <cell r="E20">
            <v>0</v>
          </cell>
        </row>
        <row r="21">
          <cell r="B21" t="str">
            <v>B4_STRATEGIC</v>
          </cell>
          <cell r="C21" t="str">
            <v>Do you not share/monetize due to strategic reasons?</v>
          </cell>
          <cell r="D21" t="str">
            <v>0/1</v>
          </cell>
          <cell r="E21">
            <v>0</v>
          </cell>
        </row>
        <row r="22">
          <cell r="B22" t="str">
            <v>── DATA SHARING MATURITY (1–5) ──</v>
          </cell>
        </row>
        <row r="23">
          <cell r="B23" t="str">
            <v>Question ID</v>
          </cell>
          <cell r="C23" t="str">
            <v>Question</v>
          </cell>
          <cell r="D23" t="str">
            <v>Scale</v>
          </cell>
          <cell r="E23" t="str">
            <v>SCORE</v>
          </cell>
        </row>
        <row r="24">
          <cell r="B24" t="str">
            <v>M1_AUTOMATED</v>
          </cell>
          <cell r="C24" t="str">
            <v>Is data sharing automated or manual?</v>
          </cell>
          <cell r="D24" t="str">
            <v>1–5</v>
          </cell>
          <cell r="E24">
            <v>3</v>
          </cell>
        </row>
        <row r="25">
          <cell r="B25" t="str">
            <v>M2_REALTIME</v>
          </cell>
          <cell r="C25" t="str">
            <v>Is data sharing in real-time, or lagging?</v>
          </cell>
          <cell r="D25" t="str">
            <v>1–5</v>
          </cell>
          <cell r="E25">
            <v>2</v>
          </cell>
        </row>
        <row r="26">
          <cell r="B26" t="str">
            <v>M3_STRATEGIC</v>
          </cell>
          <cell r="C26" t="str">
            <v>Is data sharing focused on operations or strategic planning?</v>
          </cell>
          <cell r="D26" t="str">
            <v>1–5</v>
          </cell>
          <cell r="E26">
            <v>4</v>
          </cell>
        </row>
        <row r="27">
          <cell r="B27" t="str">
            <v>M4_BREADTH</v>
          </cell>
          <cell r="C27" t="str">
            <v>Is data sharing available to all clients, or based on strategic importance?</v>
          </cell>
          <cell r="D27" t="str">
            <v>1–5</v>
          </cell>
          <cell r="E27">
            <v>3</v>
          </cell>
        </row>
        <row r="28">
          <cell r="B28" t="str">
            <v>M5_DATATYPES</v>
          </cell>
          <cell r="C28" t="str">
            <v>Breadth of data exchanged</v>
          </cell>
          <cell r="D28" t="str">
            <v>1–5</v>
          </cell>
          <cell r="E28">
            <v>4</v>
          </cell>
        </row>
        <row r="29">
          <cell r="B29" t="str">
            <v>M6_TRUST</v>
          </cell>
          <cell r="C29" t="str">
            <v>Trust in received data</v>
          </cell>
          <cell r="D29" t="str">
            <v>1–5</v>
          </cell>
          <cell r="E29">
            <v>4</v>
          </cell>
        </row>
        <row r="30">
          <cell r="B30" t="str">
            <v>M7_BARRIERS</v>
          </cell>
          <cell r="C30" t="str">
            <v>Readiness / barriers to collaborate</v>
          </cell>
          <cell r="D30" t="str">
            <v>1–5</v>
          </cell>
          <cell r="E30">
            <v>4</v>
          </cell>
        </row>
        <row r="31">
          <cell r="B31" t="str">
            <v>M8_IMPACT</v>
          </cell>
          <cell r="C31" t="str">
            <v>Operational impact of data gaps</v>
          </cell>
          <cell r="D31" t="str">
            <v>1–5</v>
          </cell>
          <cell r="E31">
            <v>2</v>
          </cell>
        </row>
        <row r="32">
          <cell r="B32" t="str">
            <v>M9_WILLINGNESS</v>
          </cell>
          <cell r="C32" t="str">
            <v>Willingness to collaborate overall</v>
          </cell>
          <cell r="D32" t="str">
            <v>1-10</v>
          </cell>
          <cell r="E32">
            <v>8</v>
          </cell>
        </row>
        <row r="33">
          <cell r="B33" t="str">
            <v>── VALUE UNLOCK AREAS (0 = not mentioned / 1 = mentioned) ──</v>
          </cell>
        </row>
        <row r="34">
          <cell r="B34" t="str">
            <v>Guidance</v>
          </cell>
          <cell r="C34" t="str">
            <v>1 = interviewee explicitly mentioned this as valuable or relevant. 0 = not mentioned or actively dismissed.</v>
          </cell>
        </row>
        <row r="35">
          <cell r="B35" t="str">
            <v>SV1_PRICING</v>
          </cell>
          <cell r="C35" t="str">
            <v>Pricing</v>
          </cell>
          <cell r="D35" t="str">
            <v>0/1</v>
          </cell>
          <cell r="E35">
            <v>1</v>
          </cell>
        </row>
        <row r="36">
          <cell r="B36" t="str">
            <v>↳ QUOTE</v>
          </cell>
          <cell r="C36" t="str">
            <v>"So typically what Nielsen does and so forth is also for EI encoding... we get volume and price data, from that we can get value data."</v>
          </cell>
        </row>
        <row r="37">
          <cell r="B37" t="str">
            <v>SV2_PROMOTIONS</v>
          </cell>
          <cell r="C37" t="str">
            <v>Promotions</v>
          </cell>
          <cell r="D37" t="str">
            <v>0/1</v>
          </cell>
          <cell r="E37">
            <v>1</v>
          </cell>
        </row>
        <row r="38">
          <cell r="B38" t="str">
            <v>SV3_SUPPLYCHAIN</v>
          </cell>
          <cell r="C38" t="str">
            <v>Supply Chain Management</v>
          </cell>
          <cell r="D38" t="str">
            <v>0/1</v>
          </cell>
          <cell r="E38">
            <v>0</v>
          </cell>
        </row>
        <row r="39">
          <cell r="B39" t="str">
            <v>SV4_CATEGORY</v>
          </cell>
          <cell r="C39" t="str">
            <v>Category Planning</v>
          </cell>
          <cell r="D39" t="str">
            <v>0/1</v>
          </cell>
          <cell r="E39">
            <v>1</v>
          </cell>
        </row>
        <row r="40">
          <cell r="B40" t="str">
            <v>SV5_DEMAND</v>
          </cell>
          <cell r="C40" t="str">
            <v>Demand Forecasting</v>
          </cell>
          <cell r="D40" t="str">
            <v>0/1</v>
          </cell>
          <cell r="E40">
            <v>0</v>
          </cell>
        </row>
        <row r="41">
          <cell r="B41" t="str">
            <v>SV6_ACCOUNT</v>
          </cell>
          <cell r="C41" t="str">
            <v>Accountability</v>
          </cell>
          <cell r="D41" t="str">
            <v>0/1</v>
          </cell>
        </row>
        <row r="42">
          <cell r="B42" t="str">
            <v>SV7_OPS</v>
          </cell>
          <cell r="C42" t="str">
            <v>Operationalization &amp; Workflows</v>
          </cell>
          <cell r="D42" t="str">
            <v>0/1</v>
          </cell>
        </row>
        <row r="43">
          <cell r="B43" t="str">
            <v>── CONCERNS TO RESOLVE (0 = not mentioned / 1 = mentioned) ──</v>
          </cell>
        </row>
        <row r="44">
          <cell r="B44" t="str">
            <v>Guidance</v>
          </cell>
          <cell r="C44" t="str">
            <v>1 = interviewee explicitly mentioned this as valuable or relevant. 0 = not mentioned or actively dismissed.</v>
          </cell>
        </row>
        <row r="45">
          <cell r="B45" t="str">
            <v>SC1_DATASENS</v>
          </cell>
          <cell r="C45" t="str">
            <v>Data Sensitivity</v>
          </cell>
          <cell r="D45" t="str">
            <v>0/1</v>
          </cell>
          <cell r="E45">
            <v>1</v>
          </cell>
        </row>
        <row r="46">
          <cell r="B46" t="str">
            <v>SC2_COMPLIANCE</v>
          </cell>
          <cell r="C46" t="str">
            <v>Compliance</v>
          </cell>
          <cell r="D46" t="str">
            <v>0/1</v>
          </cell>
          <cell r="E46">
            <v>1</v>
          </cell>
        </row>
        <row r="47">
          <cell r="B47" t="str">
            <v>SC3_TRUST</v>
          </cell>
          <cell r="C47" t="str">
            <v>Trust Issues</v>
          </cell>
          <cell r="D47" t="str">
            <v>0/1</v>
          </cell>
        </row>
        <row r="48">
          <cell r="B48" t="str">
            <v>SC4_DATAPROC</v>
          </cell>
          <cell r="C48" t="str">
            <v>Data Processing</v>
          </cell>
          <cell r="D48" t="str">
            <v>0/1</v>
          </cell>
        </row>
        <row r="49">
          <cell r="B49" t="str">
            <v>── CRITICAL TOOL FEATURES (0 = not mentioned / 1 = mentioned) ──</v>
          </cell>
        </row>
        <row r="50">
          <cell r="B50" t="str">
            <v>Guidance</v>
          </cell>
          <cell r="C50" t="str">
            <v>1 = interviewee explicitly mentioned this as valuable or relevant. 0 = not mentioned or actively dismissed.</v>
          </cell>
        </row>
        <row r="51">
          <cell r="B51" t="str">
            <v>SF1_REALTIME</v>
          </cell>
          <cell r="C51" t="str">
            <v>Dynamic, real-time data exchange</v>
          </cell>
          <cell r="D51" t="str">
            <v>0/1</v>
          </cell>
          <cell r="E51">
            <v>0</v>
          </cell>
        </row>
        <row r="52">
          <cell r="B52" t="str">
            <v>↳ QUOTE</v>
          </cell>
          <cell r="C52" t="str">
            <v>[Paste verbatim quote from transcript supporting Critical Tool Features scoring]</v>
          </cell>
        </row>
        <row r="53">
          <cell r="B53" t="str">
            <v>SF2_ACCESS</v>
          </cell>
          <cell r="C53" t="str">
            <v>Equal access to shared datasets</v>
          </cell>
          <cell r="D53" t="str">
            <v>0/1</v>
          </cell>
          <cell r="E53">
            <v>0</v>
          </cell>
        </row>
        <row r="54">
          <cell r="B54" t="str">
            <v>SF3_UX</v>
          </cell>
          <cell r="C54" t="str">
            <v>Simple UX/UI</v>
          </cell>
          <cell r="D54" t="str">
            <v>0/1</v>
          </cell>
          <cell r="E54">
            <v>0</v>
          </cell>
        </row>
        <row r="55">
          <cell r="B55" t="str">
            <v>SF4_DECISION</v>
          </cell>
          <cell r="C55" t="str">
            <v>Allows joint decision making</v>
          </cell>
        </row>
        <row r="56">
          <cell r="B56" t="str">
            <v>SF5_MASKING</v>
          </cell>
          <cell r="C56" t="str">
            <v>Clear masking rules by supplier/user</v>
          </cell>
        </row>
        <row r="57">
          <cell r="B57" t="str">
            <v>── PREFERRED DATASETS (0 = not mentioned / 1 = mentioned) ──</v>
          </cell>
        </row>
        <row r="58">
          <cell r="B58" t="str">
            <v>Guidance</v>
          </cell>
          <cell r="C58" t="str">
            <v>1 = interviewee explicitly mentioned this as valuable or relevant. 0 = not mentioned or actively dismissed.</v>
          </cell>
        </row>
        <row r="59">
          <cell r="B59" t="str">
            <v>SD1_TRENDS</v>
          </cell>
          <cell r="C59" t="str">
            <v>Global trends and insights</v>
          </cell>
          <cell r="D59" t="str">
            <v>0/1</v>
          </cell>
          <cell r="E59">
            <v>1</v>
          </cell>
        </row>
        <row r="60">
          <cell r="B60" t="str">
            <v>SD2_MARKET</v>
          </cell>
          <cell r="C60" t="str">
            <v>Market research</v>
          </cell>
          <cell r="D60" t="str">
            <v>0/1</v>
          </cell>
          <cell r="E60">
            <v>1</v>
          </cell>
        </row>
        <row r="61">
          <cell r="B61" t="str">
            <v>SD3_CATEGORY</v>
          </cell>
          <cell r="C61" t="str">
            <v>Category performance</v>
          </cell>
          <cell r="D61" t="str">
            <v>0/1</v>
          </cell>
          <cell r="E61">
            <v>1</v>
          </cell>
        </row>
        <row r="62">
          <cell r="B62" t="str">
            <v>SD4_SHIPMENT</v>
          </cell>
          <cell r="C62" t="str">
            <v>Shipment schedules</v>
          </cell>
          <cell r="D62" t="str">
            <v>0/1</v>
          </cell>
          <cell r="E62">
            <v>0</v>
          </cell>
        </row>
        <row r="63">
          <cell r="B63" t="str">
            <v>SD5_LEAD</v>
          </cell>
          <cell r="C63" t="str">
            <v>Lead times</v>
          </cell>
        </row>
        <row r="64">
          <cell r="B64" t="str">
            <v>SD6_CONJOINT</v>
          </cell>
          <cell r="C64" t="str">
            <v>Conjoint names</v>
          </cell>
        </row>
        <row r="65">
          <cell r="B65" t="str">
            <v>Guidance</v>
          </cell>
          <cell r="C65" t="str">
            <v>1 = interviewee explicitly mentioned this as valuable or relevant. 0 = not mentioned or actively dismissed.</v>
          </cell>
        </row>
        <row r="67">
          <cell r="B67" t="str">
            <v>📌 NOTE</v>
          </cell>
          <cell r="C67" t="str">
            <v>Red cells = score needed (new questions with no old data to migrate from). If a transcript note at the top overrides coding guidance, it takes priority.</v>
          </cell>
        </row>
      </sheetData>
      <sheetData sheetId="12">
        <row r="1">
          <cell r="B1" t="str">
            <v>Company 9 — Interview 1</v>
          </cell>
        </row>
        <row r="2">
          <cell r="B2" t="str">
            <v>Interviewee Details</v>
          </cell>
          <cell r="C2" t="str">
            <v>Response</v>
          </cell>
          <cell r="D2" t="str">
            <v>Coding</v>
          </cell>
        </row>
        <row r="3">
          <cell r="B3" t="str">
            <v>Interviewee Name</v>
          </cell>
          <cell r="C3" t="str">
            <v>Jeroen Haesebeyt</v>
          </cell>
        </row>
        <row r="4">
          <cell r="B4" t="str">
            <v>Interviewee Position</v>
          </cell>
          <cell r="C4" t="str">
            <v>Commercial Director</v>
          </cell>
        </row>
        <row r="5">
          <cell r="B5" t="str">
            <v>Company (Real)</v>
          </cell>
          <cell r="C5" t="str">
            <v>Conway</v>
          </cell>
        </row>
        <row r="6">
          <cell r="B6" t="str">
            <v>Company (Disguised)</v>
          </cell>
          <cell r="C6" t="str">
            <v>Company 9</v>
          </cell>
        </row>
        <row r="7">
          <cell r="B7" t="str">
            <v>Interview Date</v>
          </cell>
          <cell r="C7" t="str">
            <v>29/05/2026</v>
          </cell>
        </row>
        <row r="8">
          <cell r="B8" t="str">
            <v>Interviewer</v>
          </cell>
          <cell r="C8" t="str">
            <v>Aysegul Yamak Eveno, Nicolas Amaya Cardona</v>
          </cell>
        </row>
        <row r="9">
          <cell r="B9" t="str">
            <v>Interviewer Support</v>
          </cell>
        </row>
        <row r="10">
          <cell r="B10" t="str">
            <v>Company Industry</v>
          </cell>
          <cell r="C10" t="str">
            <v>Wholesale</v>
          </cell>
        </row>
        <row r="11">
          <cell r="B11" t="str">
            <v>Company Sub-Industry</v>
          </cell>
          <cell r="C11" t="str">
            <v>Wholesaler</v>
          </cell>
        </row>
        <row r="12">
          <cell r="B12" t="str">
            <v>Company Size (Turnover)</v>
          </cell>
          <cell r="C12">
            <v>2000000000</v>
          </cell>
        </row>
        <row r="13">
          <cell r="B13" t="str">
            <v>Country</v>
          </cell>
          <cell r="C13" t="str">
            <v>Belgium</v>
          </cell>
        </row>
        <row r="15">
          <cell r="B15" t="str">
            <v>Question ID</v>
          </cell>
          <cell r="C15" t="str">
            <v>Question</v>
          </cell>
        </row>
        <row r="16">
          <cell r="B16" t="str">
            <v>── BASELINE BLOCK ──</v>
          </cell>
        </row>
        <row r="17">
          <cell r="B17" t="str">
            <v>B1_INTEREST</v>
          </cell>
          <cell r="C17" t="str">
            <v>Are you interested in data collaboration?</v>
          </cell>
          <cell r="D17" t="str">
            <v>1-10</v>
          </cell>
          <cell r="E17">
            <v>8</v>
          </cell>
        </row>
        <row r="18">
          <cell r="B18" t="str">
            <v>↳ QUOTE</v>
          </cell>
          <cell r="C18" t="str">
            <v>"They are all excited about it [Gondola Data Cube]. Higher level view on the market. New OOH market information leader."</v>
          </cell>
        </row>
        <row r="19">
          <cell r="B19" t="str">
            <v>B2_SHARING</v>
          </cell>
          <cell r="C19" t="str">
            <v>Do you share data currently?</v>
          </cell>
          <cell r="D19" t="str">
            <v>0/1</v>
          </cell>
          <cell r="E19">
            <v>1</v>
          </cell>
        </row>
        <row r="20">
          <cell r="B20" t="str">
            <v>B3_MONETIZE</v>
          </cell>
          <cell r="C20" t="str">
            <v>Do you monetize your data currently?</v>
          </cell>
          <cell r="D20" t="str">
            <v>0/1</v>
          </cell>
          <cell r="E20">
            <v>1</v>
          </cell>
        </row>
        <row r="21">
          <cell r="B21" t="str">
            <v>B4_STRATEGIC</v>
          </cell>
          <cell r="C21" t="str">
            <v>Do you not share/monetize due to strategic reasons?</v>
          </cell>
          <cell r="D21" t="str">
            <v>0/1</v>
          </cell>
          <cell r="E21">
            <v>0</v>
          </cell>
        </row>
        <row r="22">
          <cell r="B22" t="str">
            <v>── DATA SHARING MATURITY (1–5) ──</v>
          </cell>
        </row>
        <row r="23">
          <cell r="B23" t="str">
            <v>Question ID</v>
          </cell>
          <cell r="C23" t="str">
            <v>Question</v>
          </cell>
          <cell r="D23" t="str">
            <v>Scale</v>
          </cell>
          <cell r="E23" t="str">
            <v>SCORE</v>
          </cell>
        </row>
        <row r="24">
          <cell r="B24" t="str">
            <v>M1_AUTOMATED</v>
          </cell>
          <cell r="C24" t="str">
            <v>Is data sharing automated or manual?</v>
          </cell>
          <cell r="D24" t="str">
            <v>1–5</v>
          </cell>
          <cell r="E24">
            <v>3</v>
          </cell>
        </row>
        <row r="25">
          <cell r="B25" t="str">
            <v>M2_REALTIME</v>
          </cell>
          <cell r="C25" t="str">
            <v>Is data sharing in real-time, or lagging?</v>
          </cell>
          <cell r="D25" t="str">
            <v>1–5</v>
          </cell>
          <cell r="E25">
            <v>2</v>
          </cell>
        </row>
        <row r="26">
          <cell r="B26" t="str">
            <v>M3_STRATEGIC</v>
          </cell>
          <cell r="C26" t="str">
            <v>Is data sharing focused on operations or strategic planning?</v>
          </cell>
          <cell r="D26" t="str">
            <v>1–5</v>
          </cell>
          <cell r="E26">
            <v>4</v>
          </cell>
        </row>
        <row r="27">
          <cell r="B27" t="str">
            <v>M4_BREADTH</v>
          </cell>
          <cell r="C27" t="str">
            <v>Is data sharing available to all clients, or based on strategic importance?</v>
          </cell>
          <cell r="D27" t="str">
            <v>1–5</v>
          </cell>
          <cell r="E27">
            <v>2</v>
          </cell>
        </row>
        <row r="28">
          <cell r="B28" t="str">
            <v>M5_DATATYPES</v>
          </cell>
          <cell r="C28" t="str">
            <v>Breadth of data exchanged</v>
          </cell>
          <cell r="D28" t="str">
            <v>1–5</v>
          </cell>
          <cell r="E28">
            <v>5</v>
          </cell>
        </row>
        <row r="29">
          <cell r="B29" t="str">
            <v>M6_TRUST</v>
          </cell>
          <cell r="C29" t="str">
            <v>Trust in received data</v>
          </cell>
          <cell r="D29" t="str">
            <v>1–5</v>
          </cell>
          <cell r="E29">
            <v>2</v>
          </cell>
        </row>
        <row r="30">
          <cell r="B30" t="str">
            <v>M7_BARRIERS</v>
          </cell>
          <cell r="C30" t="str">
            <v>Readiness / barriers to collaborate</v>
          </cell>
          <cell r="D30" t="str">
            <v>1–5</v>
          </cell>
          <cell r="E30">
            <v>4</v>
          </cell>
        </row>
        <row r="31">
          <cell r="B31" t="str">
            <v>M8_IMPACT</v>
          </cell>
          <cell r="C31" t="str">
            <v>Operational impact of data gaps</v>
          </cell>
          <cell r="D31" t="str">
            <v>1–5</v>
          </cell>
          <cell r="E31">
            <v>4</v>
          </cell>
        </row>
        <row r="32">
          <cell r="B32" t="str">
            <v>M9_WILLINGNESS</v>
          </cell>
          <cell r="C32" t="str">
            <v>Willingness to collaborate overall</v>
          </cell>
          <cell r="D32" t="str">
            <v>1-10</v>
          </cell>
          <cell r="E32">
            <v>6</v>
          </cell>
        </row>
        <row r="33">
          <cell r="B33" t="str">
            <v>── VALUE UNLOCK AREAS (0 = not mentioned / 1 = mentioned) ──</v>
          </cell>
        </row>
        <row r="34">
          <cell r="B34" t="str">
            <v>Guidance</v>
          </cell>
          <cell r="C34" t="str">
            <v>1 = interviewee explicitly mentioned this as valuable or relevant. 0 = not mentioned or actively dismissed.</v>
          </cell>
        </row>
        <row r="35">
          <cell r="B35" t="str">
            <v>SV1_PRICING</v>
          </cell>
          <cell r="C35" t="str">
            <v>Pricing</v>
          </cell>
          <cell r="D35" t="str">
            <v>0/1</v>
          </cell>
          <cell r="E35">
            <v>0</v>
          </cell>
        </row>
        <row r="36">
          <cell r="B36" t="str">
            <v>↳ QUOTE</v>
          </cell>
          <cell r="C36" t="str">
            <v>[Paste verbatim quote from transcript supporting Value Unlock Areas scoring]</v>
          </cell>
        </row>
        <row r="37">
          <cell r="B37" t="str">
            <v>SV2_PROMOTIONS</v>
          </cell>
          <cell r="C37" t="str">
            <v>Promotions</v>
          </cell>
          <cell r="D37" t="str">
            <v>0/1</v>
          </cell>
          <cell r="E37">
            <v>0</v>
          </cell>
        </row>
        <row r="38">
          <cell r="B38" t="str">
            <v>SV3_SUPPLYCHAIN</v>
          </cell>
          <cell r="C38" t="str">
            <v>Supply Chain Management</v>
          </cell>
          <cell r="D38" t="str">
            <v>0/1</v>
          </cell>
          <cell r="E38">
            <v>0</v>
          </cell>
        </row>
        <row r="39">
          <cell r="B39" t="str">
            <v>SV4_CATEGORY</v>
          </cell>
          <cell r="C39" t="str">
            <v>Category Planning</v>
          </cell>
          <cell r="D39" t="str">
            <v>0/1</v>
          </cell>
          <cell r="E39">
            <v>1</v>
          </cell>
        </row>
        <row r="40">
          <cell r="B40" t="str">
            <v>SV5_DEMAND</v>
          </cell>
          <cell r="C40" t="str">
            <v>Demand Forecasting</v>
          </cell>
          <cell r="D40" t="str">
            <v>0/1</v>
          </cell>
          <cell r="E40">
            <v>1</v>
          </cell>
        </row>
        <row r="41">
          <cell r="B41" t="str">
            <v>SV6_ACCOUNT</v>
          </cell>
          <cell r="C41" t="str">
            <v>Accountability</v>
          </cell>
          <cell r="D41" t="str">
            <v>0/1</v>
          </cell>
        </row>
        <row r="42">
          <cell r="B42" t="str">
            <v>SV7_OPS</v>
          </cell>
          <cell r="C42" t="str">
            <v>Operationalization &amp; Workflows</v>
          </cell>
          <cell r="D42" t="str">
            <v>0/1</v>
          </cell>
        </row>
        <row r="43">
          <cell r="B43" t="str">
            <v>── CONCERNS TO RESOLVE (0 = not mentioned / 1 = mentioned) ──</v>
          </cell>
        </row>
        <row r="44">
          <cell r="B44" t="str">
            <v>Guidance</v>
          </cell>
          <cell r="C44" t="str">
            <v>1 = interviewee explicitly mentioned this as valuable or relevant. 0 = not mentioned or actively dismissed.</v>
          </cell>
        </row>
        <row r="45">
          <cell r="B45" t="str">
            <v>SC1_DATASENS</v>
          </cell>
          <cell r="C45" t="str">
            <v>Data Sensitivity</v>
          </cell>
          <cell r="D45" t="str">
            <v>0/1</v>
          </cell>
          <cell r="E45">
            <v>1</v>
          </cell>
        </row>
        <row r="46">
          <cell r="B46" t="str">
            <v>SC2_COMPLIANCE</v>
          </cell>
          <cell r="C46" t="str">
            <v>Compliance</v>
          </cell>
          <cell r="D46" t="str">
            <v>0/1</v>
          </cell>
          <cell r="E46">
            <v>0</v>
          </cell>
        </row>
        <row r="47">
          <cell r="B47" t="str">
            <v>SC3_TRUST</v>
          </cell>
          <cell r="C47" t="str">
            <v>Trust Issues</v>
          </cell>
          <cell r="D47" t="str">
            <v>0/1</v>
          </cell>
        </row>
        <row r="48">
          <cell r="B48" t="str">
            <v>SC4_DATAPROC</v>
          </cell>
          <cell r="C48" t="str">
            <v>Data Processing</v>
          </cell>
          <cell r="D48" t="str">
            <v>0/1</v>
          </cell>
        </row>
        <row r="49">
          <cell r="B49" t="str">
            <v>── CRITICAL TOOL FEATURES (0 = not mentioned / 1 = mentioned) ──</v>
          </cell>
        </row>
        <row r="50">
          <cell r="B50" t="str">
            <v>Guidance</v>
          </cell>
          <cell r="C50" t="str">
            <v>1 = interviewee explicitly mentioned this as valuable or relevant. 0 = not mentioned or actively dismissed.</v>
          </cell>
        </row>
        <row r="51">
          <cell r="B51" t="str">
            <v>SF1_REALTIME</v>
          </cell>
          <cell r="C51" t="str">
            <v>Dynamic, real-time data exchange</v>
          </cell>
          <cell r="D51" t="str">
            <v>0/1</v>
          </cell>
          <cell r="E51">
            <v>0</v>
          </cell>
        </row>
        <row r="52">
          <cell r="B52" t="str">
            <v>↳ QUOTE</v>
          </cell>
          <cell r="C52" t="str">
            <v>[Paste verbatim quote from transcript supporting Critical Tool Features scoring]</v>
          </cell>
        </row>
        <row r="53">
          <cell r="B53" t="str">
            <v>SF2_ACCESS</v>
          </cell>
          <cell r="C53" t="str">
            <v>Equal access to shared datasets</v>
          </cell>
          <cell r="D53" t="str">
            <v>0/1</v>
          </cell>
          <cell r="E53">
            <v>1</v>
          </cell>
        </row>
        <row r="54">
          <cell r="B54" t="str">
            <v>SF3_UX</v>
          </cell>
          <cell r="C54" t="str">
            <v>Simple UX/UI</v>
          </cell>
          <cell r="D54" t="str">
            <v>0/1</v>
          </cell>
          <cell r="E54">
            <v>1</v>
          </cell>
        </row>
        <row r="55">
          <cell r="B55" t="str">
            <v>SF4_DECISION</v>
          </cell>
          <cell r="C55" t="str">
            <v>Allows joint decision making</v>
          </cell>
        </row>
        <row r="56">
          <cell r="B56" t="str">
            <v>SF5_MASKING</v>
          </cell>
          <cell r="C56" t="str">
            <v>Clear masking rules by supplier/user</v>
          </cell>
        </row>
        <row r="57">
          <cell r="B57" t="str">
            <v>── PREFERRED DATASETS (0 = not mentioned / 1 = mentioned) ──</v>
          </cell>
        </row>
        <row r="58">
          <cell r="B58" t="str">
            <v>Guidance</v>
          </cell>
          <cell r="C58" t="str">
            <v>1 = interviewee explicitly mentioned this as valuable or relevant. 0 = not mentioned or actively dismissed.</v>
          </cell>
        </row>
        <row r="59">
          <cell r="B59" t="str">
            <v>SD1_TRENDS</v>
          </cell>
          <cell r="C59" t="str">
            <v>Global trends and insights</v>
          </cell>
          <cell r="D59" t="str">
            <v>0/1</v>
          </cell>
          <cell r="E59">
            <v>1</v>
          </cell>
        </row>
        <row r="60">
          <cell r="B60" t="str">
            <v>SD2_MARKET</v>
          </cell>
          <cell r="C60" t="str">
            <v>Market research</v>
          </cell>
          <cell r="D60" t="str">
            <v>0/1</v>
          </cell>
          <cell r="E60">
            <v>1</v>
          </cell>
        </row>
        <row r="61">
          <cell r="B61" t="str">
            <v>SD3_CATEGORY</v>
          </cell>
          <cell r="C61" t="str">
            <v>Category performance</v>
          </cell>
          <cell r="D61" t="str">
            <v>0/1</v>
          </cell>
          <cell r="E61">
            <v>1</v>
          </cell>
        </row>
        <row r="62">
          <cell r="B62" t="str">
            <v>SD4_SHIPMENT</v>
          </cell>
          <cell r="C62" t="str">
            <v>Shipment schedules</v>
          </cell>
          <cell r="D62" t="str">
            <v>0/1</v>
          </cell>
          <cell r="E62">
            <v>1</v>
          </cell>
        </row>
        <row r="63">
          <cell r="B63" t="str">
            <v>SD5_LEAD</v>
          </cell>
          <cell r="C63" t="str">
            <v>Lead times</v>
          </cell>
        </row>
        <row r="64">
          <cell r="B64" t="str">
            <v>SD6_CONJOINT</v>
          </cell>
          <cell r="C64" t="str">
            <v>Conjoint names</v>
          </cell>
        </row>
        <row r="65">
          <cell r="B65" t="str">
            <v>Guidance</v>
          </cell>
          <cell r="C65" t="str">
            <v>1 = interviewee explicitly mentioned this as valuable or relevant. 0 = not mentioned or actively dismissed.</v>
          </cell>
        </row>
        <row r="67">
          <cell r="B67" t="str">
            <v>📌 NOTE</v>
          </cell>
          <cell r="C67" t="str">
            <v>Red cells = score needed (new questions with no old data to migrate from). If a transcript note at the top overrides coding guidance, it takes priority.</v>
          </cell>
        </row>
      </sheetData>
      <sheetData sheetId="13">
        <row r="1">
          <cell r="B1" t="str">
            <v>Company 10 — Interview 1</v>
          </cell>
        </row>
        <row r="2">
          <cell r="B2" t="str">
            <v>Interviewee Details</v>
          </cell>
          <cell r="C2" t="str">
            <v>Response</v>
          </cell>
          <cell r="D2" t="str">
            <v>Coding</v>
          </cell>
        </row>
        <row r="3">
          <cell r="B3" t="str">
            <v>Interviewee Name</v>
          </cell>
          <cell r="C3" t="str">
            <v>Tim Roelands</v>
          </cell>
        </row>
        <row r="4">
          <cell r="B4" t="str">
            <v>Interviewee Position</v>
          </cell>
          <cell r="C4" t="str">
            <v>Data Insights Team</v>
          </cell>
        </row>
        <row r="5">
          <cell r="B5" t="str">
            <v>Company (Real)</v>
          </cell>
          <cell r="C5" t="str">
            <v>Arla</v>
          </cell>
        </row>
        <row r="6">
          <cell r="B6" t="str">
            <v>Company (Disguised)</v>
          </cell>
          <cell r="C6" t="str">
            <v>Company 10</v>
          </cell>
        </row>
        <row r="7">
          <cell r="B7" t="str">
            <v>Interview Date</v>
          </cell>
          <cell r="C7" t="str">
            <v>2026-05-29</v>
          </cell>
        </row>
        <row r="8">
          <cell r="B8" t="str">
            <v>Interviewer</v>
          </cell>
          <cell r="C8" t="str">
            <v>Nicolas Amaya Cardona, Lore Verhoeven</v>
          </cell>
        </row>
        <row r="9">
          <cell r="B9" t="str">
            <v>Interviewer Support</v>
          </cell>
        </row>
        <row r="10">
          <cell r="B10" t="str">
            <v>Company Industry</v>
          </cell>
          <cell r="C10" t="str">
            <v>FMCG</v>
          </cell>
        </row>
        <row r="11">
          <cell r="B11" t="str">
            <v>Company Sub-Industry</v>
          </cell>
          <cell r="C11" t="str">
            <v>Manufacturer</v>
          </cell>
        </row>
        <row r="12">
          <cell r="B12" t="str">
            <v>Company Size (Turnover)</v>
          </cell>
          <cell r="C12">
            <v>52000000</v>
          </cell>
        </row>
        <row r="13">
          <cell r="B13" t="str">
            <v>Country</v>
          </cell>
          <cell r="C13" t="str">
            <v>Denmark</v>
          </cell>
        </row>
        <row r="15">
          <cell r="B15" t="str">
            <v>Question ID</v>
          </cell>
          <cell r="C15" t="str">
            <v>Question</v>
          </cell>
        </row>
        <row r="16">
          <cell r="B16" t="str">
            <v>── BASELINE BLOCK ──</v>
          </cell>
        </row>
        <row r="17">
          <cell r="B17" t="str">
            <v>B1_INTEREST</v>
          </cell>
          <cell r="C17" t="str">
            <v>Are you interested in data collaboration?</v>
          </cell>
          <cell r="D17" t="str">
            <v>1-10</v>
          </cell>
          <cell r="E17">
            <v>7</v>
          </cell>
        </row>
        <row r="18">
          <cell r="B18" t="str">
            <v>↳ QUOTE</v>
          </cell>
          <cell r="C18" t="e">
            <v>#VALUE!</v>
          </cell>
        </row>
        <row r="19">
          <cell r="B19" t="str">
            <v>B2_SHARING</v>
          </cell>
          <cell r="C19" t="str">
            <v>Do you share data currently?</v>
          </cell>
          <cell r="D19" t="str">
            <v>0/1</v>
          </cell>
          <cell r="E19">
            <v>1</v>
          </cell>
        </row>
        <row r="20">
          <cell r="B20" t="str">
            <v>B3_MONETIZE</v>
          </cell>
          <cell r="C20" t="str">
            <v>Do you monetize your data currently?</v>
          </cell>
          <cell r="D20" t="str">
            <v>0/1</v>
          </cell>
          <cell r="E20">
            <v>0</v>
          </cell>
        </row>
        <row r="21">
          <cell r="B21" t="str">
            <v>B4_STRATEGIC</v>
          </cell>
          <cell r="C21" t="str">
            <v>Do you not share/monetize due to strategic reasons?</v>
          </cell>
          <cell r="D21" t="str">
            <v>0/1</v>
          </cell>
          <cell r="E21">
            <v>1</v>
          </cell>
        </row>
        <row r="22">
          <cell r="B22" t="str">
            <v>── DATA SHARING MATURITY (1–5) ──</v>
          </cell>
        </row>
        <row r="23">
          <cell r="B23" t="str">
            <v>Question ID</v>
          </cell>
          <cell r="C23" t="str">
            <v>Question</v>
          </cell>
          <cell r="D23" t="str">
            <v>Scale</v>
          </cell>
          <cell r="E23" t="str">
            <v>SCORE</v>
          </cell>
        </row>
        <row r="24">
          <cell r="B24" t="str">
            <v>M1_AUTOMATED</v>
          </cell>
          <cell r="C24" t="str">
            <v>Is data sharing automated or manual?</v>
          </cell>
          <cell r="D24" t="str">
            <v>1–5</v>
          </cell>
          <cell r="E24">
            <v>2</v>
          </cell>
        </row>
        <row r="25">
          <cell r="B25" t="str">
            <v>M2_REALTIME</v>
          </cell>
          <cell r="C25" t="str">
            <v>Is data sharing in real-time, or lagging?</v>
          </cell>
          <cell r="D25" t="str">
            <v>1–5</v>
          </cell>
          <cell r="E25">
            <v>2</v>
          </cell>
        </row>
        <row r="26">
          <cell r="B26" t="str">
            <v>M3_STRATEGIC</v>
          </cell>
          <cell r="C26" t="str">
            <v>Is data sharing focused on operations or strategic planning?</v>
          </cell>
          <cell r="D26" t="str">
            <v>1–5</v>
          </cell>
          <cell r="E26">
            <v>5</v>
          </cell>
        </row>
        <row r="27">
          <cell r="B27" t="str">
            <v>M4_BREADTH</v>
          </cell>
          <cell r="C27" t="str">
            <v>Is data sharing available to all clients, or based on strategic importance?</v>
          </cell>
          <cell r="D27" t="str">
            <v>1–5</v>
          </cell>
          <cell r="E27">
            <v>3</v>
          </cell>
        </row>
        <row r="28">
          <cell r="B28" t="str">
            <v>M5_DATATYPES</v>
          </cell>
          <cell r="C28" t="str">
            <v>Breadth of data exchanged</v>
          </cell>
          <cell r="D28" t="str">
            <v>1–5</v>
          </cell>
          <cell r="E28">
            <v>5</v>
          </cell>
        </row>
        <row r="29">
          <cell r="B29" t="str">
            <v>M6_TRUST</v>
          </cell>
          <cell r="C29" t="str">
            <v>Trust in received data</v>
          </cell>
          <cell r="D29" t="str">
            <v>1–5</v>
          </cell>
          <cell r="E29">
            <v>3</v>
          </cell>
        </row>
        <row r="30">
          <cell r="B30" t="str">
            <v>M7_BARRIERS</v>
          </cell>
          <cell r="C30" t="str">
            <v>Readiness / barriers to collaborate</v>
          </cell>
          <cell r="D30" t="str">
            <v>1–5</v>
          </cell>
          <cell r="E30">
            <v>4</v>
          </cell>
        </row>
        <row r="31">
          <cell r="B31" t="str">
            <v>M8_IMPACT</v>
          </cell>
          <cell r="C31" t="str">
            <v>Operational impact of data gaps</v>
          </cell>
          <cell r="D31" t="str">
            <v>1–5</v>
          </cell>
          <cell r="E31">
            <v>4</v>
          </cell>
        </row>
        <row r="32">
          <cell r="B32" t="str">
            <v>M9_WILLINGNESS</v>
          </cell>
          <cell r="C32" t="str">
            <v>Willingness to collaborate overall</v>
          </cell>
          <cell r="D32" t="str">
            <v>1-10</v>
          </cell>
          <cell r="E32">
            <v>7</v>
          </cell>
        </row>
        <row r="33">
          <cell r="B33" t="str">
            <v>── VALUE UNLOCK AREAS (0 = not mentioned / 1 = mentioned) ──</v>
          </cell>
        </row>
        <row r="34">
          <cell r="B34" t="str">
            <v>Guidance</v>
          </cell>
          <cell r="C34" t="str">
            <v>1 = interviewee explicitly mentioned this as valuable or relevant. 0 = not mentioned or actively dismissed.</v>
          </cell>
        </row>
        <row r="35">
          <cell r="B35" t="str">
            <v>SV1_PRICING</v>
          </cell>
          <cell r="C35" t="str">
            <v>Pricing</v>
          </cell>
          <cell r="D35" t="str">
            <v>0/1</v>
          </cell>
          <cell r="E35">
            <v>1</v>
          </cell>
        </row>
        <row r="36">
          <cell r="B36" t="str">
            <v>↳ QUOTE</v>
          </cell>
          <cell r="C36" t="str">
            <v>"you cannot know pricing and trade terms, because that's that's for them"</v>
          </cell>
        </row>
        <row r="37">
          <cell r="B37" t="str">
            <v>SV2_PROMOTIONS</v>
          </cell>
          <cell r="C37" t="str">
            <v>Promotions</v>
          </cell>
          <cell r="D37" t="str">
            <v>0/1</v>
          </cell>
          <cell r="E37">
            <v>0</v>
          </cell>
        </row>
        <row r="38">
          <cell r="B38" t="str">
            <v>SV3_SUPPLYCHAIN</v>
          </cell>
          <cell r="C38" t="str">
            <v>Supply Chain Management</v>
          </cell>
          <cell r="D38" t="str">
            <v>0/1</v>
          </cell>
          <cell r="E38">
            <v>1</v>
          </cell>
        </row>
        <row r="39">
          <cell r="B39" t="str">
            <v>SV4_CATEGORY</v>
          </cell>
          <cell r="C39" t="str">
            <v>Category Planning</v>
          </cell>
          <cell r="D39" t="str">
            <v>0/1</v>
          </cell>
          <cell r="E39">
            <v>1</v>
          </cell>
        </row>
        <row r="40">
          <cell r="B40" t="str">
            <v>SV5_DEMAND</v>
          </cell>
          <cell r="C40" t="str">
            <v>Demand Forecasting</v>
          </cell>
          <cell r="D40" t="str">
            <v>0/1</v>
          </cell>
          <cell r="E40">
            <v>0</v>
          </cell>
        </row>
        <row r="41">
          <cell r="B41" t="str">
            <v>SV6_ACCOUNT</v>
          </cell>
          <cell r="C41" t="str">
            <v>Accountability</v>
          </cell>
          <cell r="D41" t="str">
            <v>0/1</v>
          </cell>
          <cell r="E41">
            <v>0</v>
          </cell>
        </row>
        <row r="42">
          <cell r="B42" t="str">
            <v>SV7_OPS</v>
          </cell>
          <cell r="C42" t="str">
            <v>Operationalization &amp; Workflows</v>
          </cell>
          <cell r="D42" t="str">
            <v>0/1</v>
          </cell>
          <cell r="E42">
            <v>0</v>
          </cell>
        </row>
        <row r="43">
          <cell r="B43" t="str">
            <v>── CONCERNS TO RESOLVE (0 = not mentioned / 1 = mentioned) ──</v>
          </cell>
        </row>
        <row r="44">
          <cell r="B44" t="str">
            <v>Guidance</v>
          </cell>
          <cell r="C44" t="str">
            <v>1 = interviewee explicitly mentioned this as valuable or relevant. 0 = not mentioned or actively dismissed.</v>
          </cell>
        </row>
        <row r="45">
          <cell r="B45" t="str">
            <v>SC1_DATASENS</v>
          </cell>
          <cell r="C45" t="str">
            <v>Data Sensitivity</v>
          </cell>
          <cell r="D45" t="str">
            <v>0/1</v>
          </cell>
          <cell r="E45">
            <v>1</v>
          </cell>
        </row>
        <row r="46">
          <cell r="B46" t="str">
            <v>SC2_COMPLIANCE</v>
          </cell>
          <cell r="C46" t="str">
            <v>Compliance</v>
          </cell>
          <cell r="D46" t="str">
            <v>0/1</v>
          </cell>
          <cell r="E46">
            <v>1</v>
          </cell>
        </row>
        <row r="47">
          <cell r="B47" t="str">
            <v>SC3_TRUST</v>
          </cell>
          <cell r="C47" t="str">
            <v>Trust Issues</v>
          </cell>
          <cell r="D47" t="str">
            <v>0/1</v>
          </cell>
          <cell r="E47">
            <v>0</v>
          </cell>
        </row>
        <row r="48">
          <cell r="B48" t="str">
            <v>SC4_DATAPROC</v>
          </cell>
          <cell r="C48" t="str">
            <v>Data Processing</v>
          </cell>
          <cell r="D48" t="str">
            <v>0/1</v>
          </cell>
          <cell r="E48">
            <v>1</v>
          </cell>
        </row>
        <row r="49">
          <cell r="B49" t="str">
            <v>── CRITICAL TOOL FEATURES (0 = not mentioned / 1 = mentioned) ──</v>
          </cell>
        </row>
        <row r="50">
          <cell r="B50" t="str">
            <v>Guidance</v>
          </cell>
          <cell r="C50" t="str">
            <v>1 = interviewee explicitly mentioned this as valuable or relevant. 0 = not mentioned or actively dismissed.</v>
          </cell>
        </row>
        <row r="51">
          <cell r="B51" t="str">
            <v>SF1_REALTIME</v>
          </cell>
          <cell r="C51" t="str">
            <v>Dynamic, real-time data exchange</v>
          </cell>
          <cell r="D51" t="str">
            <v>0/1</v>
          </cell>
          <cell r="E51">
            <v>1</v>
          </cell>
        </row>
        <row r="52">
          <cell r="B52" t="str">
            <v>↳ QUOTE</v>
          </cell>
          <cell r="C52" t="str">
            <v>"our business in Denmark and Sweden and also the UK is very mature. And the data sharing is really on a daily, maybe weekly, daily level. So it's really advanced."</v>
          </cell>
        </row>
        <row r="53">
          <cell r="B53" t="str">
            <v>SF2_ACCESS</v>
          </cell>
          <cell r="C53" t="str">
            <v>Equal access to shared datasets</v>
          </cell>
          <cell r="D53" t="str">
            <v>0/1</v>
          </cell>
          <cell r="E53">
            <v>0</v>
          </cell>
        </row>
        <row r="54">
          <cell r="B54" t="str">
            <v>SF3_UX</v>
          </cell>
          <cell r="C54" t="str">
            <v>Simple UX/UI</v>
          </cell>
          <cell r="D54" t="str">
            <v>0/1</v>
          </cell>
          <cell r="E54">
            <v>1</v>
          </cell>
        </row>
        <row r="55">
          <cell r="B55" t="str">
            <v>SF4_DECISION</v>
          </cell>
          <cell r="C55" t="str">
            <v>Allows joint decision making</v>
          </cell>
        </row>
        <row r="56">
          <cell r="B56" t="str">
            <v>SF5_MASKING</v>
          </cell>
          <cell r="C56" t="str">
            <v>Clear masking rules by supplier/user</v>
          </cell>
        </row>
        <row r="57">
          <cell r="B57" t="str">
            <v>── PREFERRED DATASETS (0 = not mentioned / 1 = mentioned) ──</v>
          </cell>
        </row>
        <row r="58">
          <cell r="B58" t="str">
            <v>Guidance</v>
          </cell>
          <cell r="C58" t="str">
            <v>1 = interviewee explicitly mentioned this as valuable or relevant. 0 = not mentioned or actively dismissed.</v>
          </cell>
        </row>
        <row r="59">
          <cell r="B59" t="str">
            <v>SD1_TRENDS</v>
          </cell>
          <cell r="C59" t="str">
            <v>Global trends and insights</v>
          </cell>
          <cell r="D59" t="str">
            <v>0/1</v>
          </cell>
          <cell r="E59">
            <v>1</v>
          </cell>
        </row>
        <row r="60">
          <cell r="B60" t="str">
            <v>SD2_MARKET</v>
          </cell>
          <cell r="C60" t="str">
            <v>Market research</v>
          </cell>
          <cell r="D60" t="str">
            <v>0/1</v>
          </cell>
          <cell r="E60">
            <v>1</v>
          </cell>
        </row>
        <row r="61">
          <cell r="B61" t="str">
            <v>SD3_CATEGORY</v>
          </cell>
          <cell r="C61" t="str">
            <v>Category performance</v>
          </cell>
          <cell r="D61" t="str">
            <v>0/1</v>
          </cell>
          <cell r="E61">
            <v>1</v>
          </cell>
        </row>
        <row r="62">
          <cell r="B62" t="str">
            <v>SD4_SHIPMENT</v>
          </cell>
          <cell r="C62" t="str">
            <v>Shipment schedules</v>
          </cell>
          <cell r="D62" t="str">
            <v>0/1</v>
          </cell>
          <cell r="E62">
            <v>0</v>
          </cell>
        </row>
        <row r="63">
          <cell r="B63" t="str">
            <v>SD5_LEAD</v>
          </cell>
          <cell r="C63" t="str">
            <v>Lead times</v>
          </cell>
          <cell r="D63" t="str">
            <v>0/1</v>
          </cell>
          <cell r="E63">
            <v>0</v>
          </cell>
        </row>
        <row r="64">
          <cell r="B64" t="str">
            <v>SD6_CONJOINT</v>
          </cell>
          <cell r="C64" t="str">
            <v>Conjoint names</v>
          </cell>
          <cell r="D64" t="str">
            <v>0/1</v>
          </cell>
          <cell r="E64">
            <v>0</v>
          </cell>
        </row>
        <row r="65">
          <cell r="B65" t="str">
            <v>Guidance</v>
          </cell>
          <cell r="C65" t="str">
            <v>1 = interviewee explicitly mentioned this as valuable or relevant. 0 = not mentioned or actively dismissed.</v>
          </cell>
        </row>
        <row r="67">
          <cell r="B67" t="str">
            <v>📌 NOTE</v>
          </cell>
          <cell r="C67" t="str">
            <v>Red cells = score needed (new questions with no old data to migrate from). If a transcript note at the top overrides coding guidance, it takes priority.</v>
          </cell>
        </row>
      </sheetData>
      <sheetData sheetId="14">
        <row r="1">
          <cell r="B1" t="str">
            <v>Company 11 — Interview 1</v>
          </cell>
        </row>
        <row r="2">
          <cell r="B2" t="str">
            <v>Interviewee Details</v>
          </cell>
          <cell r="C2" t="str">
            <v>Response</v>
          </cell>
          <cell r="D2" t="str">
            <v>Coding</v>
          </cell>
        </row>
        <row r="3">
          <cell r="B3" t="str">
            <v>Interviewee Name</v>
          </cell>
          <cell r="C3" t="str">
            <v>Christel Poncin</v>
          </cell>
        </row>
        <row r="4">
          <cell r="B4" t="str">
            <v>Interviewee Position</v>
          </cell>
          <cell r="C4" t="str">
            <v>Marketing Strategic Role</v>
          </cell>
        </row>
        <row r="5">
          <cell r="B5" t="str">
            <v>Company (Real)</v>
          </cell>
          <cell r="C5" t="str">
            <v>Familia Pharmacies</v>
          </cell>
        </row>
        <row r="6">
          <cell r="B6" t="str">
            <v>Company (Disguised)</v>
          </cell>
          <cell r="C6" t="str">
            <v>Company 11</v>
          </cell>
        </row>
        <row r="7">
          <cell r="B7" t="str">
            <v>Interview Date</v>
          </cell>
        </row>
        <row r="8">
          <cell r="B8" t="str">
            <v>Interviewer</v>
          </cell>
          <cell r="C8" t="str">
            <v>Nicolas</v>
          </cell>
        </row>
        <row r="9">
          <cell r="B9" t="str">
            <v>Interviewer Support</v>
          </cell>
        </row>
        <row r="10">
          <cell r="B10" t="str">
            <v>Company Industry</v>
          </cell>
          <cell r="C10" t="str">
            <v>Pharmacy/Healthcare Retail</v>
          </cell>
        </row>
        <row r="11">
          <cell r="B11" t="str">
            <v>Company Sub-Industry</v>
          </cell>
          <cell r="C11" t="str">
            <v>Specialty Retail</v>
          </cell>
        </row>
        <row r="12">
          <cell r="B12" t="str">
            <v>Company Size (Turnover)</v>
          </cell>
          <cell r="C12">
            <v>140000000</v>
          </cell>
        </row>
        <row r="13">
          <cell r="B13" t="str">
            <v>Country</v>
          </cell>
          <cell r="C13" t="str">
            <v xml:space="preserve">Belgium </v>
          </cell>
        </row>
        <row r="15">
          <cell r="B15" t="str">
            <v>Question ID</v>
          </cell>
          <cell r="C15" t="str">
            <v>Question</v>
          </cell>
        </row>
        <row r="16">
          <cell r="B16" t="str">
            <v>── BASELINE BLOCK ──</v>
          </cell>
        </row>
        <row r="17">
          <cell r="B17" t="str">
            <v>B1_INTEREST</v>
          </cell>
          <cell r="C17" t="str">
            <v>Are you interested in data collaboration?</v>
          </cell>
          <cell r="D17" t="str">
            <v>1-10</v>
          </cell>
          <cell r="E17">
            <v>9</v>
          </cell>
        </row>
        <row r="18">
          <cell r="B18" t="str">
            <v>↳ QUOTE</v>
          </cell>
          <cell r="C18" t="str">
            <v>"Yeah. I really want to collaborate, but not with everyone. So, I think that the people need to play the game and it needs to be a partnership."</v>
          </cell>
        </row>
        <row r="19">
          <cell r="B19" t="str">
            <v>B2_SHARING</v>
          </cell>
          <cell r="C19" t="str">
            <v>Do you share data currently?</v>
          </cell>
          <cell r="D19" t="str">
            <v>0/1</v>
          </cell>
          <cell r="E19">
            <v>1</v>
          </cell>
        </row>
        <row r="20">
          <cell r="B20" t="str">
            <v>B3_MONETIZE</v>
          </cell>
          <cell r="C20" t="str">
            <v>Do you monetize your data currently?</v>
          </cell>
          <cell r="D20" t="str">
            <v>0/1</v>
          </cell>
          <cell r="E20">
            <v>0</v>
          </cell>
        </row>
        <row r="21">
          <cell r="B21" t="str">
            <v>B4_STRATEGIC</v>
          </cell>
          <cell r="C21" t="str">
            <v>Do you not share/monetize due to strategic reasons?</v>
          </cell>
          <cell r="D21" t="str">
            <v>0/1</v>
          </cell>
          <cell r="E21">
            <v>0</v>
          </cell>
        </row>
        <row r="22">
          <cell r="B22" t="str">
            <v>── DATA SHARING MATURITY (1–5) ──</v>
          </cell>
        </row>
        <row r="23">
          <cell r="B23" t="str">
            <v>Question ID</v>
          </cell>
          <cell r="C23" t="str">
            <v>Question</v>
          </cell>
          <cell r="D23" t="str">
            <v>Scale</v>
          </cell>
          <cell r="E23" t="str">
            <v>SCORE</v>
          </cell>
        </row>
        <row r="24">
          <cell r="B24" t="str">
            <v>M1_AUTOMATED</v>
          </cell>
          <cell r="C24" t="str">
            <v>Is data sharing automated or manual?</v>
          </cell>
          <cell r="D24" t="str">
            <v>1–5</v>
          </cell>
          <cell r="E24">
            <v>1</v>
          </cell>
        </row>
        <row r="25">
          <cell r="B25" t="str">
            <v>M2_REALTIME</v>
          </cell>
          <cell r="C25" t="str">
            <v>Is data sharing in real-time, or lagging?</v>
          </cell>
          <cell r="D25" t="str">
            <v>1–5</v>
          </cell>
          <cell r="E25">
            <v>1</v>
          </cell>
        </row>
        <row r="26">
          <cell r="B26" t="str">
            <v>M3_STRATEGIC</v>
          </cell>
          <cell r="C26" t="str">
            <v>Is data sharing focused on operations or strategic planning?</v>
          </cell>
          <cell r="D26" t="str">
            <v>1–5</v>
          </cell>
          <cell r="E26">
            <v>2</v>
          </cell>
        </row>
        <row r="27">
          <cell r="B27" t="str">
            <v>M4_BREADTH</v>
          </cell>
          <cell r="C27" t="str">
            <v>Is data sharing available to all clients, or based on strategic importance?</v>
          </cell>
          <cell r="D27" t="str">
            <v>1–5</v>
          </cell>
          <cell r="E27">
            <v>2</v>
          </cell>
        </row>
        <row r="28">
          <cell r="B28" t="str">
            <v>M5_DATATYPES</v>
          </cell>
          <cell r="C28" t="str">
            <v>Breadth of data exchanged</v>
          </cell>
          <cell r="D28" t="str">
            <v>1–5</v>
          </cell>
          <cell r="E28">
            <v>2</v>
          </cell>
        </row>
        <row r="29">
          <cell r="B29" t="str">
            <v>M6_TRUST</v>
          </cell>
          <cell r="C29" t="str">
            <v>Trust in received data</v>
          </cell>
          <cell r="D29" t="str">
            <v>1–5</v>
          </cell>
        </row>
        <row r="30">
          <cell r="B30" t="str">
            <v>M7_BARRIERS</v>
          </cell>
          <cell r="C30" t="str">
            <v>Readiness / barriers to collaborate</v>
          </cell>
          <cell r="D30" t="str">
            <v>1–5</v>
          </cell>
          <cell r="E30">
            <v>2</v>
          </cell>
        </row>
        <row r="31">
          <cell r="B31" t="str">
            <v>M8_IMPACT</v>
          </cell>
          <cell r="C31" t="str">
            <v>Operational impact of data gaps</v>
          </cell>
        </row>
        <row r="32">
          <cell r="B32" t="str">
            <v>M9_WILLINGNESS</v>
          </cell>
          <cell r="C32" t="str">
            <v>Willingness to collaborate overall</v>
          </cell>
          <cell r="D32" t="str">
            <v>1-10</v>
          </cell>
          <cell r="E32">
            <v>9</v>
          </cell>
        </row>
        <row r="33">
          <cell r="B33" t="str">
            <v>── VALUE UNLOCK AREAS (0 = not mentioned / 1 = mentioned) ──</v>
          </cell>
        </row>
        <row r="34">
          <cell r="B34" t="str">
            <v>Guidance</v>
          </cell>
          <cell r="C34" t="str">
            <v>1 = interviewee explicitly mentioned this as valuable or relevant. 0 = not mentioned or actively dismissed.</v>
          </cell>
        </row>
        <row r="35">
          <cell r="B35" t="str">
            <v>SV1_PRICING</v>
          </cell>
          <cell r="C35" t="str">
            <v>Pricing</v>
          </cell>
          <cell r="D35" t="str">
            <v>0/1</v>
          </cell>
          <cell r="E35">
            <v>1</v>
          </cell>
        </row>
        <row r="36">
          <cell r="B36" t="str">
            <v>↳ QUOTE</v>
          </cell>
          <cell r="C36" t="str">
            <v>"We only sell pricing data"</v>
          </cell>
        </row>
        <row r="37">
          <cell r="B37" t="str">
            <v>SV2_PROMOTIONS</v>
          </cell>
          <cell r="C37" t="str">
            <v>Promotions</v>
          </cell>
          <cell r="D37" t="str">
            <v>0/1</v>
          </cell>
          <cell r="E37">
            <v>1</v>
          </cell>
        </row>
        <row r="38">
          <cell r="B38" t="str">
            <v>SV3_SUPPLYCHAIN</v>
          </cell>
          <cell r="C38" t="str">
            <v>Supply Chain Management</v>
          </cell>
          <cell r="D38" t="str">
            <v>0/1</v>
          </cell>
          <cell r="E38">
            <v>1</v>
          </cell>
        </row>
        <row r="39">
          <cell r="B39" t="str">
            <v>SV4_CATEGORY</v>
          </cell>
          <cell r="C39" t="str">
            <v>Category Planning</v>
          </cell>
          <cell r="D39" t="str">
            <v>0/1</v>
          </cell>
          <cell r="E39">
            <v>1</v>
          </cell>
        </row>
        <row r="40">
          <cell r="B40" t="str">
            <v>SV5_DEMAND</v>
          </cell>
          <cell r="C40" t="str">
            <v>Demand Forecasting</v>
          </cell>
          <cell r="D40" t="str">
            <v>0/1</v>
          </cell>
          <cell r="E40">
            <v>0</v>
          </cell>
        </row>
        <row r="41">
          <cell r="B41" t="str">
            <v>SV6_ACCOUNT</v>
          </cell>
          <cell r="C41" t="str">
            <v>Accountability</v>
          </cell>
          <cell r="D41" t="str">
            <v>0/1</v>
          </cell>
          <cell r="E41">
            <v>0</v>
          </cell>
        </row>
        <row r="42">
          <cell r="B42" t="str">
            <v>SV7_OPS</v>
          </cell>
          <cell r="C42" t="str">
            <v>Operationalization &amp; Workflows</v>
          </cell>
          <cell r="D42" t="str">
            <v>0/1</v>
          </cell>
          <cell r="E42">
            <v>0</v>
          </cell>
        </row>
        <row r="43">
          <cell r="B43" t="str">
            <v>── CONCERNS TO RESOLVE (0 = not mentioned / 1 = mentioned) ──</v>
          </cell>
        </row>
        <row r="44">
          <cell r="B44" t="str">
            <v>Guidance</v>
          </cell>
          <cell r="C44" t="str">
            <v>1 = interviewee explicitly mentioned this as valuable or relevant. 0 = not mentioned or actively dismissed.</v>
          </cell>
        </row>
        <row r="45">
          <cell r="B45" t="str">
            <v>SC1_DATASENS</v>
          </cell>
          <cell r="C45" t="str">
            <v>Data Sensitivity</v>
          </cell>
          <cell r="D45" t="str">
            <v>0/1</v>
          </cell>
          <cell r="E45">
            <v>1</v>
          </cell>
        </row>
        <row r="46">
          <cell r="B46" t="str">
            <v>SC2_COMPLIANCE</v>
          </cell>
          <cell r="C46" t="str">
            <v>Compliance</v>
          </cell>
          <cell r="D46" t="str">
            <v>0/1</v>
          </cell>
          <cell r="E46">
            <v>0</v>
          </cell>
        </row>
        <row r="47">
          <cell r="B47" t="str">
            <v>SC3_TRUST</v>
          </cell>
          <cell r="C47" t="str">
            <v>Trust Issues</v>
          </cell>
          <cell r="D47" t="str">
            <v>0/1</v>
          </cell>
          <cell r="E47">
            <v>0</v>
          </cell>
        </row>
        <row r="48">
          <cell r="B48" t="str">
            <v>SC4_DATAPROC</v>
          </cell>
          <cell r="C48" t="str">
            <v>Data Processing</v>
          </cell>
          <cell r="D48" t="str">
            <v>0/1</v>
          </cell>
          <cell r="E48">
            <v>1</v>
          </cell>
        </row>
        <row r="49">
          <cell r="B49" t="str">
            <v>── CRITICAL TOOL FEATURES (0 = not mentioned / 1 = mentioned) ──</v>
          </cell>
        </row>
        <row r="50">
          <cell r="B50" t="str">
            <v>Guidance</v>
          </cell>
          <cell r="C50" t="str">
            <v>1 = interviewee explicitly mentioned this as valuable or relevant. 0 = not mentioned or actively dismissed.</v>
          </cell>
        </row>
        <row r="51">
          <cell r="B51" t="str">
            <v>SF1_REALTIME</v>
          </cell>
          <cell r="C51" t="str">
            <v>Dynamic, real-time data exchange</v>
          </cell>
          <cell r="D51" t="str">
            <v>0/1</v>
          </cell>
          <cell r="E51">
            <v>0</v>
          </cell>
        </row>
        <row r="52">
          <cell r="B52" t="str">
            <v>↳ QUOTE</v>
          </cell>
          <cell r="C52" t="str">
            <v>[Paste verbatim quote from transcript supporting Critical Tool Features scoring]</v>
          </cell>
        </row>
        <row r="53">
          <cell r="B53" t="str">
            <v>SF2_ACCESS</v>
          </cell>
          <cell r="C53" t="str">
            <v>Equal access to shared datasets</v>
          </cell>
          <cell r="D53" t="str">
            <v>0/1</v>
          </cell>
          <cell r="E53">
            <v>0</v>
          </cell>
        </row>
        <row r="54">
          <cell r="B54" t="str">
            <v>SF3_UX</v>
          </cell>
          <cell r="C54" t="str">
            <v>Simple UX/UI</v>
          </cell>
          <cell r="D54" t="str">
            <v>0/1</v>
          </cell>
          <cell r="E54">
            <v>1</v>
          </cell>
        </row>
        <row r="55">
          <cell r="B55" t="str">
            <v>SF4_DECISION</v>
          </cell>
          <cell r="C55" t="str">
            <v>Allows joint decision making</v>
          </cell>
        </row>
        <row r="56">
          <cell r="B56" t="str">
            <v>SF5_MASKING</v>
          </cell>
          <cell r="C56" t="str">
            <v>Clear masking rules by supplier/user</v>
          </cell>
        </row>
        <row r="57">
          <cell r="B57" t="str">
            <v>── PREFERRED DATASETS (0 = not mentioned / 1 = mentioned) ──</v>
          </cell>
        </row>
        <row r="58">
          <cell r="B58" t="str">
            <v>Guidance</v>
          </cell>
          <cell r="C58" t="str">
            <v>1 = interviewee explicitly mentioned this as valuable or relevant. 0 = not mentioned or actively dismissed.</v>
          </cell>
        </row>
        <row r="59">
          <cell r="B59" t="str">
            <v>SD1_TRENDS</v>
          </cell>
          <cell r="C59" t="str">
            <v>Global trends and insights</v>
          </cell>
          <cell r="D59" t="str">
            <v>0/1</v>
          </cell>
          <cell r="E59">
            <v>1</v>
          </cell>
        </row>
        <row r="60">
          <cell r="B60" t="str">
            <v>SD2_MARKET</v>
          </cell>
          <cell r="C60" t="str">
            <v>Market research</v>
          </cell>
          <cell r="D60" t="str">
            <v>0/1</v>
          </cell>
          <cell r="E60">
            <v>1</v>
          </cell>
        </row>
        <row r="61">
          <cell r="B61" t="str">
            <v>SD3_CATEGORY</v>
          </cell>
          <cell r="C61" t="str">
            <v>Category performance</v>
          </cell>
          <cell r="D61" t="str">
            <v>0/1</v>
          </cell>
          <cell r="E61">
            <v>1</v>
          </cell>
        </row>
        <row r="62">
          <cell r="B62" t="str">
            <v>SD4_SHIPMENT</v>
          </cell>
          <cell r="C62" t="str">
            <v>Shipment schedules</v>
          </cell>
          <cell r="D62" t="str">
            <v>0/1</v>
          </cell>
          <cell r="E62">
            <v>0</v>
          </cell>
        </row>
        <row r="63">
          <cell r="B63" t="str">
            <v>SD5_LEAD</v>
          </cell>
          <cell r="C63" t="str">
            <v>Lead times</v>
          </cell>
          <cell r="D63" t="str">
            <v>0/1</v>
          </cell>
          <cell r="E63">
            <v>0</v>
          </cell>
        </row>
        <row r="64">
          <cell r="B64" t="str">
            <v>SD6_CONJOINT</v>
          </cell>
          <cell r="C64" t="str">
            <v>Conjoint names</v>
          </cell>
          <cell r="D64" t="str">
            <v>0/1</v>
          </cell>
          <cell r="E64">
            <v>0</v>
          </cell>
        </row>
        <row r="65">
          <cell r="B65" t="str">
            <v>Guidance</v>
          </cell>
          <cell r="C65" t="str">
            <v>1 = interviewee explicitly mentioned this as valuable or relevant. 0 = not mentioned or actively dismissed.</v>
          </cell>
        </row>
        <row r="67">
          <cell r="B67" t="str">
            <v>📌 NOTE</v>
          </cell>
          <cell r="C67" t="str">
            <v>Red cells = score needed (new questions with no old data to migrate from). If a transcript note at the top overrides coding guidance, it takes priority.</v>
          </cell>
        </row>
      </sheetData>
      <sheetData sheetId="15">
        <row r="1">
          <cell r="B1" t="str">
            <v>Lidl Belgium — Anonymous (Marketing) — Int. 1</v>
          </cell>
        </row>
        <row r="2">
          <cell r="B2" t="str">
            <v>Interviewee Details</v>
          </cell>
          <cell r="C2" t="str">
            <v>Response</v>
          </cell>
          <cell r="D2" t="str">
            <v>Coding</v>
          </cell>
        </row>
        <row r="3">
          <cell r="B3" t="str">
            <v>Interviewee Name</v>
          </cell>
          <cell r="C3" t="str">
            <v>Thomas Vaarten</v>
          </cell>
        </row>
        <row r="4">
          <cell r="B4" t="str">
            <v>Interviewee Position</v>
          </cell>
          <cell r="C4" t="str">
            <v>Marketing / Commercial Director</v>
          </cell>
        </row>
        <row r="5">
          <cell r="B5" t="str">
            <v>Company (Real)</v>
          </cell>
          <cell r="C5" t="str">
            <v>Lidl Belgium</v>
          </cell>
        </row>
        <row r="6">
          <cell r="B6" t="str">
            <v>Company (Disguised)</v>
          </cell>
          <cell r="C6" t="str">
            <v>Company 12</v>
          </cell>
        </row>
        <row r="7">
          <cell r="B7" t="str">
            <v>Interview Date</v>
          </cell>
          <cell r="C7">
            <v>46087</v>
          </cell>
        </row>
        <row r="8">
          <cell r="B8" t="str">
            <v>Interviewer</v>
          </cell>
          <cell r="C8" t="str">
            <v>Aysegul &amp; Lore</v>
          </cell>
        </row>
        <row r="9">
          <cell r="B9" t="str">
            <v>Interviewer Support</v>
          </cell>
        </row>
        <row r="10">
          <cell r="B10" t="str">
            <v>Company Industry</v>
          </cell>
          <cell r="C10" t="str">
            <v>Grocery Retail</v>
          </cell>
        </row>
        <row r="11">
          <cell r="B11" t="str">
            <v>Company Sub-Industry</v>
          </cell>
          <cell r="C11" t="str">
            <v>Retailer</v>
          </cell>
        </row>
        <row r="12">
          <cell r="B12" t="str">
            <v>Company Size (Turnover)</v>
          </cell>
          <cell r="C12">
            <v>3240000000</v>
          </cell>
        </row>
        <row r="13">
          <cell r="B13" t="str">
            <v>Country</v>
          </cell>
          <cell r="C13" t="str">
            <v>Germany</v>
          </cell>
        </row>
        <row r="15">
          <cell r="B15" t="str">
            <v>Question ID</v>
          </cell>
          <cell r="C15" t="str">
            <v>Question</v>
          </cell>
        </row>
        <row r="16">
          <cell r="B16" t="str">
            <v>── BASELINE BLOCK ──</v>
          </cell>
        </row>
        <row r="17">
          <cell r="B17" t="str">
            <v>B1_INTEREST</v>
          </cell>
          <cell r="C17" t="str">
            <v>Are you interested in data collaboration?</v>
          </cell>
          <cell r="D17" t="str">
            <v>1-10</v>
          </cell>
          <cell r="E17">
            <v>3</v>
          </cell>
        </row>
        <row r="18">
          <cell r="B18" t="str">
            <v>↳ QUOTE</v>
          </cell>
          <cell r="C18" t="str">
            <v>"We really think that sovereignty is key... sharing strategy data can be influential for competitors."</v>
          </cell>
        </row>
        <row r="19">
          <cell r="B19" t="str">
            <v>B2_SHARING</v>
          </cell>
          <cell r="C19" t="str">
            <v>Do you share data currently?</v>
          </cell>
          <cell r="D19" t="str">
            <v>0/1</v>
          </cell>
          <cell r="E19">
            <v>1</v>
          </cell>
        </row>
        <row r="20">
          <cell r="B20" t="str">
            <v>B3_MONETIZE</v>
          </cell>
          <cell r="C20" t="str">
            <v>Do you monetize your data currently?</v>
          </cell>
          <cell r="D20" t="str">
            <v>0/1</v>
          </cell>
          <cell r="E20">
            <v>0</v>
          </cell>
        </row>
        <row r="21">
          <cell r="B21" t="str">
            <v>B4_STRATEGIC</v>
          </cell>
          <cell r="C21" t="str">
            <v>Do you not share/monetize due to strategic reasons?</v>
          </cell>
          <cell r="D21" t="str">
            <v>0/1</v>
          </cell>
          <cell r="E21">
            <v>1</v>
          </cell>
        </row>
        <row r="22">
          <cell r="B22" t="str">
            <v>── DATA SHARING MATURITY (1–5) ──</v>
          </cell>
        </row>
        <row r="23">
          <cell r="B23" t="str">
            <v>Question ID</v>
          </cell>
          <cell r="C23" t="str">
            <v>Question</v>
          </cell>
          <cell r="D23" t="str">
            <v>Scale</v>
          </cell>
          <cell r="E23" t="str">
            <v>SCORE</v>
          </cell>
        </row>
        <row r="24">
          <cell r="B24" t="str">
            <v>M1_AUTOMATED</v>
          </cell>
          <cell r="C24" t="str">
            <v>Is data sharing automated or manual?</v>
          </cell>
          <cell r="D24" t="str">
            <v>1–5</v>
          </cell>
        </row>
        <row r="25">
          <cell r="B25" t="str">
            <v>M2_REALTIME</v>
          </cell>
          <cell r="C25" t="str">
            <v>Is data sharing in real-time, or lagging?</v>
          </cell>
          <cell r="D25" t="str">
            <v>1–5</v>
          </cell>
        </row>
        <row r="26">
          <cell r="B26" t="str">
            <v>M3_STRATEGIC</v>
          </cell>
          <cell r="C26" t="str">
            <v>Is data sharing focused on operations or strategic planning?</v>
          </cell>
          <cell r="D26" t="str">
            <v>1–5</v>
          </cell>
          <cell r="E26">
            <v>2</v>
          </cell>
        </row>
        <row r="27">
          <cell r="B27" t="str">
            <v>M4_BREADTH</v>
          </cell>
          <cell r="C27" t="str">
            <v>Is data sharing available to all clients, or based on strategic importance?</v>
          </cell>
          <cell r="D27" t="str">
            <v>1–5</v>
          </cell>
          <cell r="E27">
            <v>1</v>
          </cell>
        </row>
        <row r="28">
          <cell r="B28" t="str">
            <v>M5_DATATYPES</v>
          </cell>
          <cell r="C28" t="str">
            <v>Breadth of data exchanged</v>
          </cell>
          <cell r="D28" t="str">
            <v>1–5</v>
          </cell>
          <cell r="E28">
            <v>2</v>
          </cell>
        </row>
        <row r="29">
          <cell r="B29" t="str">
            <v>M6_TRUST</v>
          </cell>
          <cell r="C29" t="str">
            <v>Trust in received data</v>
          </cell>
          <cell r="D29" t="str">
            <v>1–5</v>
          </cell>
        </row>
        <row r="30">
          <cell r="B30" t="str">
            <v>M7_BARRIERS</v>
          </cell>
          <cell r="C30" t="str">
            <v>Readiness / barriers to collaborate</v>
          </cell>
          <cell r="D30" t="str">
            <v>1–5</v>
          </cell>
          <cell r="E30">
            <v>4</v>
          </cell>
        </row>
        <row r="31">
          <cell r="B31" t="str">
            <v>M8_IMPACT</v>
          </cell>
          <cell r="C31" t="str">
            <v>Operational impact of data gaps</v>
          </cell>
          <cell r="D31" t="str">
            <v>1–5</v>
          </cell>
          <cell r="E31">
            <v>4</v>
          </cell>
        </row>
        <row r="32">
          <cell r="B32" t="str">
            <v>M9_WILLINGNESS</v>
          </cell>
          <cell r="C32" t="str">
            <v>Willingness to collaborate overall</v>
          </cell>
          <cell r="D32" t="str">
            <v>1-10</v>
          </cell>
          <cell r="E32">
            <v>3</v>
          </cell>
        </row>
        <row r="33">
          <cell r="B33" t="str">
            <v>── VALUE UNLOCK AREAS (0 = not mentioned / 1 = mentioned) ──</v>
          </cell>
        </row>
        <row r="34">
          <cell r="B34" t="str">
            <v>Guidance</v>
          </cell>
          <cell r="C34" t="str">
            <v>1 = interviewee explicitly mentioned this as valuable or relevant. 0 = not mentioned or actively dismissed.</v>
          </cell>
        </row>
        <row r="35">
          <cell r="B35" t="str">
            <v>SV1_PRICING</v>
          </cell>
          <cell r="C35" t="str">
            <v>Pricing</v>
          </cell>
          <cell r="D35" t="str">
            <v>0/1</v>
          </cell>
          <cell r="E35">
            <v>0</v>
          </cell>
        </row>
        <row r="36">
          <cell r="B36" t="str">
            <v>↳ QUOTE</v>
          </cell>
          <cell r="C36" t="str">
            <v>[Paste verbatim quote from transcript supporting Value Unlock Areas scoring]</v>
          </cell>
        </row>
        <row r="37">
          <cell r="B37" t="str">
            <v>SV2_PROMOTIONS</v>
          </cell>
          <cell r="C37" t="str">
            <v>Promotions</v>
          </cell>
          <cell r="D37" t="str">
            <v>0/1</v>
          </cell>
          <cell r="E37">
            <v>1</v>
          </cell>
        </row>
        <row r="38">
          <cell r="B38" t="str">
            <v>SV3_SUPPLYCHAIN</v>
          </cell>
          <cell r="C38" t="str">
            <v>Supply Chain Management</v>
          </cell>
          <cell r="D38" t="str">
            <v>0/1</v>
          </cell>
          <cell r="E38">
            <v>1</v>
          </cell>
        </row>
        <row r="39">
          <cell r="B39" t="str">
            <v>SV4_CATEGORY</v>
          </cell>
          <cell r="C39" t="str">
            <v>Category Planning</v>
          </cell>
          <cell r="D39" t="str">
            <v>0/1</v>
          </cell>
          <cell r="E39">
            <v>0</v>
          </cell>
        </row>
        <row r="40">
          <cell r="B40" t="str">
            <v>SV5_DEMAND</v>
          </cell>
          <cell r="C40" t="str">
            <v>Demand Forecasting</v>
          </cell>
          <cell r="D40" t="str">
            <v>0/1</v>
          </cell>
          <cell r="E40">
            <v>1</v>
          </cell>
        </row>
        <row r="41">
          <cell r="B41" t="str">
            <v>SV6_ACCOUNT</v>
          </cell>
          <cell r="C41" t="str">
            <v>Accountability</v>
          </cell>
          <cell r="D41" t="str">
            <v>0/1</v>
          </cell>
          <cell r="E41">
            <v>0</v>
          </cell>
        </row>
        <row r="42">
          <cell r="B42" t="str">
            <v>SV7_OPS</v>
          </cell>
          <cell r="C42" t="str">
            <v>Operationalization &amp; Workflows</v>
          </cell>
          <cell r="D42" t="str">
            <v>0/1</v>
          </cell>
          <cell r="E42">
            <v>0</v>
          </cell>
        </row>
        <row r="43">
          <cell r="B43" t="str">
            <v>── CONCERNS TO RESOLVE (0 = not mentioned / 1 = mentioned) ──</v>
          </cell>
        </row>
        <row r="44">
          <cell r="B44" t="str">
            <v>Guidance</v>
          </cell>
          <cell r="C44" t="str">
            <v>1 = interviewee explicitly mentioned this as valuable or relevant. 0 = not mentioned or actively dismissed.</v>
          </cell>
        </row>
        <row r="45">
          <cell r="B45" t="str">
            <v>SC1_DATASENS</v>
          </cell>
          <cell r="C45" t="str">
            <v>Data Sensitivity</v>
          </cell>
          <cell r="D45" t="str">
            <v>0/1</v>
          </cell>
          <cell r="E45">
            <v>1</v>
          </cell>
        </row>
        <row r="46">
          <cell r="B46" t="str">
            <v>SC2_COMPLIANCE</v>
          </cell>
          <cell r="C46" t="str">
            <v>Compliance</v>
          </cell>
          <cell r="D46" t="str">
            <v>0/1</v>
          </cell>
          <cell r="E46">
            <v>1</v>
          </cell>
        </row>
        <row r="47">
          <cell r="B47" t="str">
            <v>SC3_TRUST</v>
          </cell>
          <cell r="C47" t="str">
            <v>Trust Issues</v>
          </cell>
          <cell r="D47" t="str">
            <v>0/1</v>
          </cell>
          <cell r="E47">
            <v>0</v>
          </cell>
        </row>
        <row r="48">
          <cell r="B48" t="str">
            <v>SC4_DATAPROC</v>
          </cell>
          <cell r="C48" t="str">
            <v>Data Processing</v>
          </cell>
          <cell r="D48" t="str">
            <v>0/1</v>
          </cell>
          <cell r="E48">
            <v>0</v>
          </cell>
        </row>
        <row r="49">
          <cell r="B49" t="str">
            <v>── CRITICAL TOOL FEATURES (0 = not mentioned / 1 = mentioned) ──</v>
          </cell>
        </row>
        <row r="50">
          <cell r="B50" t="str">
            <v>Guidance</v>
          </cell>
          <cell r="C50" t="str">
            <v>1 = interviewee explicitly mentioned this as valuable or relevant. 0 = not mentioned or actively dismissed.</v>
          </cell>
        </row>
        <row r="51">
          <cell r="B51" t="str">
            <v>SF1_REALTIME</v>
          </cell>
          <cell r="C51" t="str">
            <v>Dynamic, real-time data exchange</v>
          </cell>
          <cell r="D51" t="str">
            <v>0/1</v>
          </cell>
          <cell r="E51">
            <v>0</v>
          </cell>
        </row>
        <row r="52">
          <cell r="B52" t="str">
            <v>↳ QUOTE</v>
          </cell>
          <cell r="C52" t="str">
            <v>[Paste verbatim quote from transcript supporting Critical Tool Features scoring]</v>
          </cell>
        </row>
        <row r="53">
          <cell r="B53" t="str">
            <v>SF2_ACCESS</v>
          </cell>
          <cell r="C53" t="str">
            <v>Equal access to shared datasets</v>
          </cell>
          <cell r="D53" t="str">
            <v>0/1</v>
          </cell>
          <cell r="E53">
            <v>0</v>
          </cell>
        </row>
        <row r="54">
          <cell r="B54" t="str">
            <v>SF3_UX</v>
          </cell>
          <cell r="C54" t="str">
            <v>Simple UX/UI</v>
          </cell>
          <cell r="D54" t="str">
            <v>0/1</v>
          </cell>
          <cell r="E54">
            <v>0</v>
          </cell>
        </row>
        <row r="55">
          <cell r="B55" t="str">
            <v>SF4_DECISION</v>
          </cell>
          <cell r="C55" t="str">
            <v>Allows joint decision making</v>
          </cell>
          <cell r="E55">
            <v>0</v>
          </cell>
        </row>
        <row r="56">
          <cell r="B56" t="str">
            <v>SF5_MASKING</v>
          </cell>
          <cell r="C56" t="str">
            <v>Clear masking rules by supplier/user</v>
          </cell>
          <cell r="E56">
            <v>1</v>
          </cell>
        </row>
        <row r="57">
          <cell r="B57" t="str">
            <v>── PREFERRED DATASETS (0 = not mentioned / 1 = mentioned) ──</v>
          </cell>
        </row>
        <row r="58">
          <cell r="B58" t="str">
            <v>Guidance</v>
          </cell>
          <cell r="C58" t="str">
            <v>1 = interviewee explicitly mentioned this as valuable or relevant. 0 = not mentioned or actively dismissed.</v>
          </cell>
        </row>
        <row r="59">
          <cell r="B59" t="str">
            <v>SD1_TRENDS</v>
          </cell>
          <cell r="C59" t="str">
            <v>Global trends and insights</v>
          </cell>
          <cell r="D59" t="str">
            <v>0/1</v>
          </cell>
          <cell r="E59">
            <v>1</v>
          </cell>
        </row>
        <row r="60">
          <cell r="B60" t="str">
            <v>SD2_MARKET</v>
          </cell>
          <cell r="C60" t="str">
            <v>Market research</v>
          </cell>
          <cell r="D60" t="str">
            <v>0/1</v>
          </cell>
          <cell r="E60">
            <v>1</v>
          </cell>
        </row>
        <row r="61">
          <cell r="B61" t="str">
            <v>SD3_CATEGORY</v>
          </cell>
          <cell r="C61" t="str">
            <v>Category performance</v>
          </cell>
          <cell r="D61" t="str">
            <v>0/1</v>
          </cell>
          <cell r="E61">
            <v>0</v>
          </cell>
        </row>
        <row r="62">
          <cell r="B62" t="str">
            <v>SD4_SHIPMENT</v>
          </cell>
          <cell r="C62" t="str">
            <v>Shipment schedules</v>
          </cell>
          <cell r="D62" t="str">
            <v>0/1</v>
          </cell>
          <cell r="E62">
            <v>1</v>
          </cell>
        </row>
        <row r="63">
          <cell r="B63" t="str">
            <v>SD5_LEAD</v>
          </cell>
          <cell r="C63" t="str">
            <v>Lead times</v>
          </cell>
          <cell r="D63" t="str">
            <v>0/1</v>
          </cell>
          <cell r="E63">
            <v>0</v>
          </cell>
        </row>
        <row r="64">
          <cell r="B64" t="str">
            <v>SD6_CONJOINT</v>
          </cell>
          <cell r="C64" t="str">
            <v>Conjoint names</v>
          </cell>
          <cell r="D64" t="str">
            <v>0/1</v>
          </cell>
          <cell r="E64">
            <v>0</v>
          </cell>
        </row>
        <row r="65">
          <cell r="B65" t="str">
            <v>Guidance</v>
          </cell>
          <cell r="C65" t="str">
            <v>1 = interviewee explicitly mentioned this as valuable or relevant. 0 = not mentioned or actively dismissed.</v>
          </cell>
        </row>
        <row r="67">
          <cell r="B67" t="str">
            <v>📌 NOTE</v>
          </cell>
          <cell r="C67" t="str">
            <v>Red cells = score needed (new questions with no old data to migrate from). If a transcript note at the top overrides coding guidance, it takes priority.</v>
          </cell>
        </row>
      </sheetData>
      <sheetData sheetId="16">
        <row r="1">
          <cell r="B1" t="str">
            <v>Edgard &amp; Cooper — Jennifer Roelens (Data Lead/IT) — Int. 1</v>
          </cell>
        </row>
        <row r="2">
          <cell r="B2" t="str">
            <v>Interviewee Details</v>
          </cell>
          <cell r="C2" t="str">
            <v>Response</v>
          </cell>
          <cell r="D2" t="str">
            <v>Coding</v>
          </cell>
        </row>
        <row r="3">
          <cell r="B3" t="str">
            <v>Interviewee Name</v>
          </cell>
          <cell r="C3" t="str">
            <v>Jennifer Roelens</v>
          </cell>
        </row>
        <row r="4">
          <cell r="B4" t="str">
            <v>Interviewee Position</v>
          </cell>
          <cell r="C4" t="str">
            <v>Data Lead / Head of IT &amp; ERP</v>
          </cell>
        </row>
        <row r="5">
          <cell r="B5" t="str">
            <v>Company (Real)</v>
          </cell>
          <cell r="C5" t="str">
            <v>Edgard &amp; Cooper</v>
          </cell>
        </row>
        <row r="6">
          <cell r="B6" t="str">
            <v>Company (Disguised)</v>
          </cell>
          <cell r="C6" t="str">
            <v>Company 13</v>
          </cell>
        </row>
        <row r="7">
          <cell r="B7" t="str">
            <v>Interview Date</v>
          </cell>
          <cell r="C7" t="str">
            <v>02/06/2026</v>
          </cell>
        </row>
        <row r="8">
          <cell r="B8" t="str">
            <v>Interviewer</v>
          </cell>
          <cell r="C8" t="str">
            <v>Lore Verhoeven &amp; Nicolas Amaya Cardona</v>
          </cell>
        </row>
        <row r="9">
          <cell r="B9" t="str">
            <v>Interviewer Support</v>
          </cell>
        </row>
        <row r="10">
          <cell r="B10" t="str">
            <v>Company Industry</v>
          </cell>
          <cell r="C10" t="str">
            <v>Pet Food Manufacturing</v>
          </cell>
        </row>
        <row r="11">
          <cell r="B11" t="str">
            <v>Company Sub-Industry</v>
          </cell>
          <cell r="C11" t="str">
            <v>Manufacturer</v>
          </cell>
        </row>
        <row r="12">
          <cell r="B12" t="str">
            <v>Company Size (Turnover)</v>
          </cell>
          <cell r="C12">
            <v>140000000</v>
          </cell>
        </row>
        <row r="13">
          <cell r="B13" t="str">
            <v>Country</v>
          </cell>
          <cell r="C13" t="str">
            <v>Belgium</v>
          </cell>
        </row>
        <row r="15">
          <cell r="B15" t="str">
            <v>Question ID</v>
          </cell>
          <cell r="C15" t="str">
            <v>Question</v>
          </cell>
        </row>
        <row r="16">
          <cell r="B16" t="str">
            <v>── BASELINE BLOCK ──</v>
          </cell>
        </row>
        <row r="17">
          <cell r="B17" t="str">
            <v>B1_INTEREST</v>
          </cell>
          <cell r="C17" t="str">
            <v>Are you interested in data collaboration?</v>
          </cell>
          <cell r="D17" t="str">
            <v>1-10</v>
          </cell>
          <cell r="E17">
            <v>9</v>
          </cell>
        </row>
        <row r="18">
          <cell r="B18" t="str">
            <v>↳ QUOTE</v>
          </cell>
          <cell r="C18" t="str">
            <v>"I say, like, we want the data... I think it's a 10 out of 10. Well, let's say 9 out of 10, just because of the GDPR component."</v>
          </cell>
        </row>
        <row r="19">
          <cell r="B19" t="str">
            <v>B2_SHARING</v>
          </cell>
          <cell r="C19" t="str">
            <v>Do you share data currently?</v>
          </cell>
          <cell r="D19" t="str">
            <v>0/1</v>
          </cell>
          <cell r="E19">
            <v>1</v>
          </cell>
        </row>
        <row r="20">
          <cell r="B20" t="str">
            <v>B3_MONETIZE</v>
          </cell>
          <cell r="C20" t="str">
            <v>Do you monetize your data currently?</v>
          </cell>
          <cell r="D20" t="str">
            <v>0/1</v>
          </cell>
          <cell r="E20">
            <v>0</v>
          </cell>
        </row>
        <row r="21">
          <cell r="B21" t="str">
            <v>B4_STRATEGIC</v>
          </cell>
          <cell r="C21" t="str">
            <v>Do you not share/monetize due to strategic reasons?</v>
          </cell>
          <cell r="D21" t="str">
            <v>0/1</v>
          </cell>
          <cell r="E21">
            <v>0</v>
          </cell>
        </row>
        <row r="22">
          <cell r="B22" t="str">
            <v>── DATA SHARING MATURITY (1–5) ──</v>
          </cell>
        </row>
        <row r="23">
          <cell r="B23" t="str">
            <v>Question ID</v>
          </cell>
          <cell r="C23" t="str">
            <v>Question</v>
          </cell>
          <cell r="D23" t="str">
            <v>Scale</v>
          </cell>
          <cell r="E23" t="str">
            <v>SCORE</v>
          </cell>
        </row>
        <row r="24">
          <cell r="B24" t="str">
            <v>M1_AUTOMATED</v>
          </cell>
          <cell r="C24" t="str">
            <v>Is data sharing automated or manual?</v>
          </cell>
          <cell r="D24" t="str">
            <v>1–5</v>
          </cell>
          <cell r="E24">
            <v>3</v>
          </cell>
        </row>
        <row r="25">
          <cell r="B25" t="str">
            <v>M2_REALTIME</v>
          </cell>
          <cell r="C25" t="str">
            <v>Is data sharing in real-time, or lagging?</v>
          </cell>
          <cell r="D25" t="str">
            <v>1–5</v>
          </cell>
          <cell r="E25">
            <v>3</v>
          </cell>
        </row>
        <row r="26">
          <cell r="B26" t="str">
            <v>M3_STRATEGIC</v>
          </cell>
          <cell r="C26" t="str">
            <v>Is data sharing focused on operations or strategic planning?</v>
          </cell>
          <cell r="D26" t="str">
            <v>1–5</v>
          </cell>
          <cell r="E26">
            <v>4</v>
          </cell>
        </row>
        <row r="27">
          <cell r="B27" t="str">
            <v>M4_BREADTH</v>
          </cell>
          <cell r="C27" t="str">
            <v>Is data sharing available to all clients, or based on strategic importance?</v>
          </cell>
          <cell r="D27" t="str">
            <v>1–5</v>
          </cell>
          <cell r="E27">
            <v>3</v>
          </cell>
        </row>
        <row r="28">
          <cell r="B28" t="str">
            <v>M5_DATATYPES</v>
          </cell>
          <cell r="C28" t="str">
            <v>Breadth of data exchanged</v>
          </cell>
          <cell r="D28" t="str">
            <v>1–5</v>
          </cell>
          <cell r="E28">
            <v>4</v>
          </cell>
        </row>
        <row r="29">
          <cell r="B29" t="str">
            <v>M6_TRUST</v>
          </cell>
          <cell r="C29" t="str">
            <v>Trust in received data</v>
          </cell>
          <cell r="D29" t="str">
            <v>1–5</v>
          </cell>
          <cell r="E29">
            <v>2</v>
          </cell>
        </row>
        <row r="30">
          <cell r="B30" t="str">
            <v>M7_BARRIERS</v>
          </cell>
          <cell r="C30" t="str">
            <v>Readiness / barriers to collaborate</v>
          </cell>
          <cell r="D30" t="str">
            <v>1–5</v>
          </cell>
          <cell r="E30">
            <v>3</v>
          </cell>
        </row>
        <row r="31">
          <cell r="B31" t="str">
            <v>M8_IMPACT</v>
          </cell>
          <cell r="C31" t="str">
            <v>Operational impact of data gaps</v>
          </cell>
          <cell r="D31" t="str">
            <v>1–5</v>
          </cell>
          <cell r="E31">
            <v>3</v>
          </cell>
        </row>
        <row r="32">
          <cell r="B32" t="str">
            <v>M9_WILLINGNESS</v>
          </cell>
          <cell r="C32" t="str">
            <v>Willingness to collaborate overall</v>
          </cell>
          <cell r="D32" t="str">
            <v>1-10</v>
          </cell>
          <cell r="E32">
            <v>9</v>
          </cell>
        </row>
        <row r="33">
          <cell r="B33" t="str">
            <v>── VALUE UNLOCK AREAS (0 = not mentioned / 1 = mentioned) ──</v>
          </cell>
        </row>
        <row r="34">
          <cell r="B34" t="str">
            <v>Guidance</v>
          </cell>
          <cell r="C34" t="str">
            <v>1 = interviewee explicitly mentioned this as valuable or relevant. 0 = not mentioned or actively dismissed.</v>
          </cell>
        </row>
        <row r="35">
          <cell r="B35" t="str">
            <v>SV1_PRICING</v>
          </cell>
          <cell r="C35" t="str">
            <v>Pricing</v>
          </cell>
          <cell r="D35" t="str">
            <v>0/1</v>
          </cell>
          <cell r="E35">
            <v>0</v>
          </cell>
        </row>
        <row r="36">
          <cell r="B36" t="str">
            <v>↳ QUOTE</v>
          </cell>
          <cell r="C36" t="str">
            <v>[Paste verbatim quote from transcript supporting Value Unlock Areas scoring]</v>
          </cell>
        </row>
        <row r="37">
          <cell r="B37" t="str">
            <v>SV2_PROMOTIONS</v>
          </cell>
          <cell r="C37" t="str">
            <v>Promotions</v>
          </cell>
          <cell r="D37" t="str">
            <v>0/1</v>
          </cell>
          <cell r="E37">
            <v>1</v>
          </cell>
        </row>
        <row r="38">
          <cell r="B38" t="str">
            <v>SV3_SUPPLYCHAIN</v>
          </cell>
          <cell r="C38" t="str">
            <v>Supply Chain Management</v>
          </cell>
          <cell r="D38" t="str">
            <v>0/1</v>
          </cell>
          <cell r="E38">
            <v>1</v>
          </cell>
        </row>
        <row r="39">
          <cell r="B39" t="str">
            <v>SV4_CATEGORY</v>
          </cell>
          <cell r="C39" t="str">
            <v>Category Planning</v>
          </cell>
          <cell r="D39" t="str">
            <v>0/1</v>
          </cell>
          <cell r="E39">
            <v>1</v>
          </cell>
        </row>
        <row r="40">
          <cell r="B40" t="str">
            <v>SV5_DEMAND</v>
          </cell>
          <cell r="C40" t="str">
            <v>Demand Forecasting</v>
          </cell>
          <cell r="D40" t="str">
            <v>0/1</v>
          </cell>
          <cell r="E40">
            <v>0</v>
          </cell>
        </row>
        <row r="41">
          <cell r="B41" t="str">
            <v>SV6_ACCOUNT</v>
          </cell>
          <cell r="C41" t="str">
            <v>Accountability</v>
          </cell>
          <cell r="D41" t="str">
            <v>0/1</v>
          </cell>
          <cell r="E41">
            <v>0</v>
          </cell>
        </row>
        <row r="42">
          <cell r="B42" t="str">
            <v>SV7_OPS</v>
          </cell>
          <cell r="C42" t="str">
            <v>Operationalization &amp; Workflows</v>
          </cell>
          <cell r="D42" t="str">
            <v>0/1</v>
          </cell>
          <cell r="E42">
            <v>1</v>
          </cell>
        </row>
        <row r="43">
          <cell r="B43" t="str">
            <v>── CONCERNS TO RESOLVE (0 = not mentioned / 1 = mentioned) ──</v>
          </cell>
        </row>
        <row r="44">
          <cell r="B44" t="str">
            <v>Guidance</v>
          </cell>
          <cell r="C44" t="str">
            <v>1 = interviewee explicitly mentioned this as valuable or relevant. 0 = not mentioned or actively dismissed.</v>
          </cell>
        </row>
        <row r="45">
          <cell r="B45" t="str">
            <v>SC1_DATASENS</v>
          </cell>
          <cell r="C45" t="str">
            <v>Data Sensitivity</v>
          </cell>
          <cell r="D45" t="str">
            <v>0/1</v>
          </cell>
          <cell r="E45">
            <v>1</v>
          </cell>
        </row>
        <row r="46">
          <cell r="B46" t="str">
            <v>SC2_COMPLIANCE</v>
          </cell>
          <cell r="C46" t="str">
            <v>Compliance</v>
          </cell>
          <cell r="D46" t="str">
            <v>0/1</v>
          </cell>
          <cell r="E46">
            <v>1</v>
          </cell>
        </row>
        <row r="47">
          <cell r="B47" t="str">
            <v>SC3_TRUST</v>
          </cell>
          <cell r="C47" t="str">
            <v>Trust Issues</v>
          </cell>
          <cell r="D47" t="str">
            <v>0/1</v>
          </cell>
          <cell r="E47">
            <v>1</v>
          </cell>
        </row>
        <row r="48">
          <cell r="B48" t="str">
            <v>SC4_DATAPROC</v>
          </cell>
          <cell r="C48" t="str">
            <v>Data Processing</v>
          </cell>
          <cell r="D48" t="str">
            <v>0/1</v>
          </cell>
          <cell r="E48">
            <v>1</v>
          </cell>
        </row>
        <row r="49">
          <cell r="B49" t="str">
            <v>── CRITICAL TOOL FEATURES (0 = not mentioned / 1 = mentioned) ──</v>
          </cell>
        </row>
        <row r="50">
          <cell r="B50" t="str">
            <v>Guidance</v>
          </cell>
          <cell r="C50" t="str">
            <v>1 = interviewee explicitly mentioned this as valuable or relevant. 0 = not mentioned or actively dismissed.</v>
          </cell>
        </row>
        <row r="51">
          <cell r="B51" t="str">
            <v>SF1_REALTIME</v>
          </cell>
          <cell r="C51" t="str">
            <v>Dynamic, real-time data exchange</v>
          </cell>
          <cell r="D51" t="str">
            <v>0/1</v>
          </cell>
          <cell r="E51">
            <v>0</v>
          </cell>
        </row>
        <row r="52">
          <cell r="B52" t="str">
            <v>↳ QUOTE</v>
          </cell>
          <cell r="C52" t="str">
            <v>[Paste verbatim quote from transcript supporting Critical Tool Features scoring]</v>
          </cell>
        </row>
        <row r="53">
          <cell r="B53" t="str">
            <v>SF2_ACCESS</v>
          </cell>
          <cell r="C53" t="str">
            <v>Equal access to shared datasets</v>
          </cell>
          <cell r="D53" t="str">
            <v>0/1</v>
          </cell>
          <cell r="E53">
            <v>1</v>
          </cell>
        </row>
        <row r="54">
          <cell r="B54" t="str">
            <v>SF3_UX</v>
          </cell>
          <cell r="C54" t="str">
            <v>Simple UX/UI</v>
          </cell>
          <cell r="D54" t="str">
            <v>0/1</v>
          </cell>
          <cell r="E54">
            <v>0</v>
          </cell>
        </row>
        <row r="55">
          <cell r="B55" t="str">
            <v>SF4_DECISION</v>
          </cell>
          <cell r="C55" t="str">
            <v>Allows joint decision making</v>
          </cell>
          <cell r="E55">
            <v>1</v>
          </cell>
        </row>
        <row r="56">
          <cell r="B56" t="str">
            <v>SF5_MASKING</v>
          </cell>
          <cell r="C56" t="str">
            <v>Clear masking rules by supplier/user</v>
          </cell>
          <cell r="E56">
            <v>1</v>
          </cell>
        </row>
        <row r="57">
          <cell r="B57" t="str">
            <v>── PREFERRED DATASETS (0 = not mentioned / 1 = mentioned) ──</v>
          </cell>
        </row>
        <row r="58">
          <cell r="B58" t="str">
            <v>Guidance</v>
          </cell>
          <cell r="C58" t="str">
            <v>1 = interviewee explicitly mentioned this as valuable or relevant. 0 = not mentioned or actively dismissed.</v>
          </cell>
        </row>
        <row r="59">
          <cell r="B59" t="str">
            <v>SD1_TRENDS</v>
          </cell>
          <cell r="C59" t="str">
            <v>Global trends and insights</v>
          </cell>
          <cell r="D59" t="str">
            <v>0/1</v>
          </cell>
          <cell r="E59">
            <v>1</v>
          </cell>
        </row>
        <row r="60">
          <cell r="B60" t="str">
            <v>SD2_MARKET</v>
          </cell>
          <cell r="C60" t="str">
            <v>Market research</v>
          </cell>
          <cell r="D60" t="str">
            <v>0/1</v>
          </cell>
          <cell r="E60">
            <v>1</v>
          </cell>
        </row>
        <row r="61">
          <cell r="B61" t="str">
            <v>SD3_CATEGORY</v>
          </cell>
          <cell r="C61" t="str">
            <v>Category performance</v>
          </cell>
          <cell r="D61" t="str">
            <v>0/1</v>
          </cell>
          <cell r="E61">
            <v>1</v>
          </cell>
        </row>
        <row r="62">
          <cell r="B62" t="str">
            <v>SD4_SHIPMENT</v>
          </cell>
          <cell r="C62" t="str">
            <v>Shipment schedules</v>
          </cell>
          <cell r="D62" t="str">
            <v>0/1</v>
          </cell>
          <cell r="E62">
            <v>1</v>
          </cell>
        </row>
        <row r="63">
          <cell r="B63" t="str">
            <v>SD5_LEAD</v>
          </cell>
          <cell r="C63" t="str">
            <v>Lead times</v>
          </cell>
          <cell r="D63" t="str">
            <v>0/1</v>
          </cell>
          <cell r="E63">
            <v>1</v>
          </cell>
        </row>
        <row r="64">
          <cell r="B64" t="str">
            <v>SD6_CONJOINT</v>
          </cell>
          <cell r="C64" t="str">
            <v>Conjoint names</v>
          </cell>
          <cell r="D64" t="str">
            <v>0/1</v>
          </cell>
          <cell r="E64">
            <v>0</v>
          </cell>
        </row>
        <row r="65">
          <cell r="B65" t="str">
            <v>Guidance</v>
          </cell>
          <cell r="C65" t="str">
            <v>1 = interviewee explicitly mentioned this as valuable or relevant. 0 = not mentioned or actively dismissed.</v>
          </cell>
        </row>
        <row r="67">
          <cell r="B67" t="str">
            <v>📌 NOTE</v>
          </cell>
          <cell r="C67" t="str">
            <v>Red cells = score needed (new questions with no old data to migrate from). If a transcript note at the top overrides coding guidance, it takes priority.</v>
          </cell>
        </row>
      </sheetData>
      <sheetData sheetId="17">
        <row r="1">
          <cell r="B1" t="str">
            <v>Roche Belgium — Kevin (Product Manager) — Int. 1</v>
          </cell>
        </row>
        <row r="2">
          <cell r="B2" t="str">
            <v>Interviewee Details</v>
          </cell>
          <cell r="C2" t="str">
            <v>Response</v>
          </cell>
          <cell r="D2" t="str">
            <v>Coding</v>
          </cell>
        </row>
        <row r="3">
          <cell r="B3" t="str">
            <v>Interviewee Name</v>
          </cell>
          <cell r="C3" t="str">
            <v>Kevin (surname not given)</v>
          </cell>
        </row>
        <row r="4">
          <cell r="B4" t="str">
            <v>Interviewee Position</v>
          </cell>
          <cell r="C4" t="str">
            <v>Product Manager — Neuroscience/MS</v>
          </cell>
        </row>
        <row r="5">
          <cell r="B5" t="str">
            <v>Company (Real)</v>
          </cell>
          <cell r="C5" t="str">
            <v>Roche Belgium</v>
          </cell>
        </row>
        <row r="6">
          <cell r="B6" t="str">
            <v>Company (Disguised)</v>
          </cell>
          <cell r="C6" t="str">
            <v>Company 14</v>
          </cell>
        </row>
        <row r="7">
          <cell r="B7" t="str">
            <v>Interview Date</v>
          </cell>
          <cell r="C7" t="str">
            <v>05/06/2026</v>
          </cell>
        </row>
        <row r="8">
          <cell r="B8" t="str">
            <v>Interviewer</v>
          </cell>
          <cell r="C8" t="str">
            <v>Nicolas Amaya Cardona &amp; Lore Verhoeven</v>
          </cell>
        </row>
        <row r="9">
          <cell r="B9" t="str">
            <v>Interviewer Support</v>
          </cell>
        </row>
        <row r="10">
          <cell r="B10" t="str">
            <v>Company Industry</v>
          </cell>
          <cell r="C10" t="str">
            <v>Pharma</v>
          </cell>
        </row>
        <row r="11">
          <cell r="B11" t="str">
            <v>Company Sub-Industry</v>
          </cell>
          <cell r="C11" t="str">
            <v>Specialty Pharma / Neuroscience BE-LU</v>
          </cell>
        </row>
        <row r="12">
          <cell r="B12" t="str">
            <v>Company Size (Turnover)</v>
          </cell>
          <cell r="C12">
            <v>403337149</v>
          </cell>
        </row>
        <row r="13">
          <cell r="B13" t="str">
            <v>Country</v>
          </cell>
          <cell r="C13" t="str">
            <v>Switzerland</v>
          </cell>
        </row>
        <row r="15">
          <cell r="B15" t="str">
            <v>Question ID</v>
          </cell>
          <cell r="C15" t="str">
            <v>Question</v>
          </cell>
        </row>
        <row r="16">
          <cell r="B16" t="str">
            <v>── BASELINE BLOCK ──</v>
          </cell>
        </row>
        <row r="17">
          <cell r="B17" t="str">
            <v>B1_INTEREST</v>
          </cell>
          <cell r="C17" t="str">
            <v>Are you interested in data collaboration?</v>
          </cell>
          <cell r="D17" t="str">
            <v>1-10</v>
          </cell>
          <cell r="E17">
            <v>2</v>
          </cell>
        </row>
        <row r="18">
          <cell r="B18" t="str">
            <v>↳ QUOTE</v>
          </cell>
          <cell r="C18" t="str">
            <v>"I think it would be close to 1 to 0... if it's a scale from zero to 10, I think it's closer to 0."</v>
          </cell>
        </row>
        <row r="19">
          <cell r="B19" t="str">
            <v>B2_SHARING</v>
          </cell>
          <cell r="C19" t="str">
            <v>Do you share data currently?</v>
          </cell>
          <cell r="D19" t="str">
            <v>0/1</v>
          </cell>
          <cell r="E19">
            <v>1</v>
          </cell>
        </row>
        <row r="20">
          <cell r="B20" t="str">
            <v>B3_MONETIZE</v>
          </cell>
          <cell r="C20" t="str">
            <v>Do you monetize your data currently?</v>
          </cell>
          <cell r="D20" t="str">
            <v>0/1</v>
          </cell>
          <cell r="E20">
            <v>0</v>
          </cell>
        </row>
        <row r="21">
          <cell r="B21" t="str">
            <v>B4_STRATEGIC</v>
          </cell>
          <cell r="C21" t="str">
            <v>Do you not share/monetize due to strategic reasons?</v>
          </cell>
          <cell r="D21" t="str">
            <v>0/1</v>
          </cell>
          <cell r="E21">
            <v>1</v>
          </cell>
        </row>
        <row r="22">
          <cell r="B22" t="str">
            <v>── DATA SHARING MATURITY (1–5) ──</v>
          </cell>
        </row>
        <row r="23">
          <cell r="B23" t="str">
            <v>Question ID</v>
          </cell>
          <cell r="C23" t="str">
            <v>Question</v>
          </cell>
          <cell r="D23" t="str">
            <v>Scale</v>
          </cell>
          <cell r="E23" t="str">
            <v>SCORE</v>
          </cell>
        </row>
        <row r="24">
          <cell r="B24" t="str">
            <v>M1_AUTOMATED</v>
          </cell>
          <cell r="C24" t="str">
            <v>Is data sharing automated or manual?</v>
          </cell>
          <cell r="D24" t="str">
            <v>1–5</v>
          </cell>
          <cell r="E24">
            <v>2</v>
          </cell>
        </row>
        <row r="25">
          <cell r="B25" t="str">
            <v>M2_REALTIME</v>
          </cell>
          <cell r="C25" t="str">
            <v>Is data sharing in real-time, or lagging?</v>
          </cell>
          <cell r="D25" t="str">
            <v>1–5</v>
          </cell>
          <cell r="E25">
            <v>2</v>
          </cell>
        </row>
        <row r="26">
          <cell r="B26" t="str">
            <v>M3_STRATEGIC</v>
          </cell>
          <cell r="C26" t="str">
            <v>Is data sharing focused on operations or strategic planning?</v>
          </cell>
          <cell r="D26" t="str">
            <v>1–5</v>
          </cell>
          <cell r="E26">
            <v>3</v>
          </cell>
        </row>
        <row r="27">
          <cell r="B27" t="str">
            <v>M4_BREADTH</v>
          </cell>
          <cell r="C27" t="str">
            <v>Is data sharing available to all clients, or based on strategic importance?</v>
          </cell>
          <cell r="D27" t="str">
            <v>1–5</v>
          </cell>
          <cell r="E27">
            <v>1</v>
          </cell>
        </row>
        <row r="28">
          <cell r="B28" t="str">
            <v>M5_DATATYPES</v>
          </cell>
          <cell r="C28" t="str">
            <v>Breadth of data exchanged</v>
          </cell>
          <cell r="D28" t="str">
            <v>1–5</v>
          </cell>
          <cell r="E28">
            <v>2</v>
          </cell>
        </row>
        <row r="29">
          <cell r="B29" t="str">
            <v>M6_TRUST</v>
          </cell>
          <cell r="C29" t="str">
            <v>Trust in received data</v>
          </cell>
          <cell r="D29" t="str">
            <v>1–5</v>
          </cell>
          <cell r="E29">
            <v>2</v>
          </cell>
        </row>
        <row r="30">
          <cell r="B30" t="str">
            <v>M7_BARRIERS</v>
          </cell>
          <cell r="C30" t="str">
            <v>Readiness / barriers to collaborate</v>
          </cell>
          <cell r="D30" t="str">
            <v>1–5</v>
          </cell>
          <cell r="E30">
            <v>4</v>
          </cell>
        </row>
        <row r="31">
          <cell r="B31" t="str">
            <v>M8_IMPACT</v>
          </cell>
          <cell r="C31" t="str">
            <v>Operational impact of data gaps</v>
          </cell>
          <cell r="D31" t="str">
            <v>1–5</v>
          </cell>
          <cell r="E31">
            <v>3</v>
          </cell>
        </row>
        <row r="32">
          <cell r="B32" t="str">
            <v>M9_WILLINGNESS</v>
          </cell>
          <cell r="C32" t="str">
            <v>Willingness to collaborate overall</v>
          </cell>
          <cell r="D32" t="str">
            <v>1-10</v>
          </cell>
          <cell r="E32">
            <v>2</v>
          </cell>
        </row>
        <row r="33">
          <cell r="B33" t="str">
            <v>── VALUE UNLOCK AREAS (0 = not mentioned / 1 = mentioned) ──</v>
          </cell>
        </row>
        <row r="34">
          <cell r="B34" t="str">
            <v>Guidance</v>
          </cell>
          <cell r="C34" t="str">
            <v>1 = interviewee explicitly mentioned this as valuable or relevant. 0 = not mentioned or actively dismissed.</v>
          </cell>
        </row>
        <row r="35">
          <cell r="B35" t="str">
            <v>SV1_PRICING</v>
          </cell>
          <cell r="C35" t="str">
            <v>Pricing</v>
          </cell>
          <cell r="D35" t="str">
            <v>0/1</v>
          </cell>
          <cell r="E35">
            <v>0</v>
          </cell>
        </row>
        <row r="36">
          <cell r="B36" t="str">
            <v>↳ QUOTE</v>
          </cell>
          <cell r="C36" t="str">
            <v>[Paste verbatim quote from transcript supporting Value Unlock Areas scoring]</v>
          </cell>
        </row>
        <row r="37">
          <cell r="B37" t="str">
            <v>SV2_PROMOTIONS</v>
          </cell>
          <cell r="C37" t="str">
            <v>Promotions</v>
          </cell>
          <cell r="D37" t="str">
            <v>0/1</v>
          </cell>
          <cell r="E37">
            <v>0</v>
          </cell>
        </row>
        <row r="38">
          <cell r="B38" t="str">
            <v>SV3_SUPPLYCHAIN</v>
          </cell>
          <cell r="C38" t="str">
            <v>Supply Chain Management</v>
          </cell>
          <cell r="D38" t="str">
            <v>0/1</v>
          </cell>
          <cell r="E38">
            <v>1</v>
          </cell>
        </row>
        <row r="39">
          <cell r="B39" t="str">
            <v>SV4_CATEGORY</v>
          </cell>
          <cell r="C39" t="str">
            <v>Category Planning</v>
          </cell>
          <cell r="D39" t="str">
            <v>0/1</v>
          </cell>
          <cell r="E39">
            <v>0</v>
          </cell>
        </row>
        <row r="40">
          <cell r="B40" t="str">
            <v>SV5_DEMAND</v>
          </cell>
          <cell r="C40" t="str">
            <v>Demand Forecasting</v>
          </cell>
          <cell r="D40" t="str">
            <v>0/1</v>
          </cell>
          <cell r="E40">
            <v>1</v>
          </cell>
        </row>
        <row r="41">
          <cell r="B41" t="str">
            <v>SV6_ACCOUNT</v>
          </cell>
          <cell r="C41" t="str">
            <v>Accountability</v>
          </cell>
          <cell r="D41" t="str">
            <v>0/1</v>
          </cell>
          <cell r="E41">
            <v>0</v>
          </cell>
        </row>
        <row r="42">
          <cell r="B42" t="str">
            <v>SV7_OPS</v>
          </cell>
          <cell r="C42" t="str">
            <v>Operationalization &amp; Workflows</v>
          </cell>
          <cell r="D42" t="str">
            <v>0/1</v>
          </cell>
          <cell r="E42">
            <v>0</v>
          </cell>
        </row>
        <row r="43">
          <cell r="B43" t="str">
            <v>── CONCERNS TO RESOLVE (0 = not mentioned / 1 = mentioned) ──</v>
          </cell>
        </row>
        <row r="44">
          <cell r="B44" t="str">
            <v>Guidance</v>
          </cell>
          <cell r="C44" t="str">
            <v>1 = interviewee explicitly mentioned this as valuable or relevant. 0 = not mentioned or actively dismissed.</v>
          </cell>
        </row>
        <row r="45">
          <cell r="B45" t="str">
            <v>SC1_DATASENS</v>
          </cell>
          <cell r="C45" t="str">
            <v>Data Sensitivity</v>
          </cell>
          <cell r="D45" t="str">
            <v>0/1</v>
          </cell>
          <cell r="E45">
            <v>1</v>
          </cell>
        </row>
        <row r="46">
          <cell r="B46" t="str">
            <v>SC2_COMPLIANCE</v>
          </cell>
          <cell r="C46" t="str">
            <v>Compliance</v>
          </cell>
          <cell r="D46" t="str">
            <v>0/1</v>
          </cell>
          <cell r="E46">
            <v>1</v>
          </cell>
        </row>
        <row r="47">
          <cell r="B47" t="str">
            <v>SC3_TRUST</v>
          </cell>
          <cell r="C47" t="str">
            <v>Trust Issues</v>
          </cell>
          <cell r="D47" t="str">
            <v>0/1</v>
          </cell>
          <cell r="E47">
            <v>1</v>
          </cell>
        </row>
        <row r="48">
          <cell r="B48" t="str">
            <v>SC4_DATAPROC</v>
          </cell>
          <cell r="C48" t="str">
            <v>Data Processing</v>
          </cell>
          <cell r="D48" t="str">
            <v>0/1</v>
          </cell>
          <cell r="E48">
            <v>1</v>
          </cell>
        </row>
        <row r="49">
          <cell r="B49" t="str">
            <v>── CRITICAL TOOL FEATURES (0 = not mentioned / 1 = mentioned) ──</v>
          </cell>
        </row>
        <row r="50">
          <cell r="B50" t="str">
            <v>Guidance</v>
          </cell>
          <cell r="C50" t="str">
            <v>1 = interviewee explicitly mentioned this as valuable or relevant. 0 = not mentioned or actively dismissed.</v>
          </cell>
        </row>
        <row r="51">
          <cell r="B51" t="str">
            <v>SF1_REALTIME</v>
          </cell>
          <cell r="C51" t="str">
            <v>Dynamic, real-time data exchange</v>
          </cell>
          <cell r="D51" t="str">
            <v>0/1</v>
          </cell>
          <cell r="E51">
            <v>0</v>
          </cell>
        </row>
        <row r="52">
          <cell r="B52" t="str">
            <v>↳ QUOTE</v>
          </cell>
          <cell r="C52" t="str">
            <v>[Paste verbatim quote from transcript supporting Critical Tool Features scoring]</v>
          </cell>
        </row>
        <row r="53">
          <cell r="B53" t="str">
            <v>SF2_ACCESS</v>
          </cell>
          <cell r="C53" t="str">
            <v>Equal access to shared datasets</v>
          </cell>
          <cell r="D53" t="str">
            <v>0/1</v>
          </cell>
          <cell r="E53">
            <v>0</v>
          </cell>
        </row>
        <row r="54">
          <cell r="B54" t="str">
            <v>SF3_UX</v>
          </cell>
          <cell r="C54" t="str">
            <v>Simple UX/UI</v>
          </cell>
          <cell r="D54" t="str">
            <v>0/1</v>
          </cell>
          <cell r="E54">
            <v>1</v>
          </cell>
        </row>
        <row r="55">
          <cell r="B55" t="str">
            <v>SF4_DECISION</v>
          </cell>
          <cell r="C55" t="str">
            <v>Allows joint decision making</v>
          </cell>
          <cell r="E55">
            <v>0</v>
          </cell>
        </row>
        <row r="56">
          <cell r="B56" t="str">
            <v>SF5_MASKING</v>
          </cell>
          <cell r="C56" t="str">
            <v>Clear masking rules by supplier/user</v>
          </cell>
          <cell r="E56">
            <v>1</v>
          </cell>
        </row>
        <row r="57">
          <cell r="B57" t="str">
            <v>── PREFERRED DATASETS (0 = not mentioned / 1 = mentioned) ──</v>
          </cell>
        </row>
        <row r="58">
          <cell r="B58" t="str">
            <v>Guidance</v>
          </cell>
          <cell r="C58" t="str">
            <v>1 = interviewee explicitly mentioned this as valuable or relevant. 0 = not mentioned or actively dismissed.</v>
          </cell>
        </row>
        <row r="59">
          <cell r="B59" t="str">
            <v>SD1_TRENDS</v>
          </cell>
          <cell r="C59" t="str">
            <v>Global trends and insights</v>
          </cell>
          <cell r="D59" t="str">
            <v>0/1</v>
          </cell>
          <cell r="E59">
            <v>1</v>
          </cell>
        </row>
        <row r="60">
          <cell r="B60" t="str">
            <v>SD2_MARKET</v>
          </cell>
          <cell r="C60" t="str">
            <v>Market research</v>
          </cell>
          <cell r="D60" t="str">
            <v>0/1</v>
          </cell>
          <cell r="E60">
            <v>1</v>
          </cell>
        </row>
        <row r="61">
          <cell r="B61" t="str">
            <v>SD3_CATEGORY</v>
          </cell>
          <cell r="C61" t="str">
            <v>Category performance</v>
          </cell>
          <cell r="D61" t="str">
            <v>0/1</v>
          </cell>
          <cell r="E61">
            <v>0</v>
          </cell>
        </row>
        <row r="62">
          <cell r="B62" t="str">
            <v>SD4_SHIPMENT</v>
          </cell>
          <cell r="C62" t="str">
            <v>Shipment schedules</v>
          </cell>
          <cell r="D62" t="str">
            <v>0/1</v>
          </cell>
          <cell r="E62">
            <v>0</v>
          </cell>
        </row>
        <row r="63">
          <cell r="B63" t="str">
            <v>SD5_LEAD</v>
          </cell>
          <cell r="C63" t="str">
            <v>Lead times</v>
          </cell>
          <cell r="D63" t="str">
            <v>0/1</v>
          </cell>
          <cell r="E63">
            <v>0</v>
          </cell>
        </row>
        <row r="64">
          <cell r="B64" t="str">
            <v>SD6_CONJOINT</v>
          </cell>
          <cell r="C64" t="str">
            <v>Conjoint names</v>
          </cell>
          <cell r="D64" t="str">
            <v>0/1</v>
          </cell>
          <cell r="E64">
            <v>0</v>
          </cell>
        </row>
        <row r="65">
          <cell r="B65" t="str">
            <v>Guidance</v>
          </cell>
          <cell r="C65" t="str">
            <v>1 = interviewee explicitly mentioned this as valuable or relevant. 0 = not mentioned or actively dismissed.</v>
          </cell>
        </row>
        <row r="67">
          <cell r="B67" t="str">
            <v>📌 NOTE</v>
          </cell>
          <cell r="C67" t="str">
            <v>Red cells = score needed (new questions with no old data to migrate from). If a transcript note at the top overrides coding guidance, it takes priority.</v>
          </cell>
        </row>
      </sheetData>
      <sheetData sheetId="18">
        <row r="1">
          <cell r="B1" t="str">
            <v>Company 15 — Interview 1</v>
          </cell>
        </row>
        <row r="2">
          <cell r="B2" t="str">
            <v>Interviewee Details</v>
          </cell>
          <cell r="C2" t="str">
            <v>Response</v>
          </cell>
          <cell r="D2" t="str">
            <v>Coding</v>
          </cell>
        </row>
        <row r="3">
          <cell r="B3" t="str">
            <v>Interviewee Name</v>
          </cell>
        </row>
        <row r="4">
          <cell r="B4" t="str">
            <v>Interviewee Position</v>
          </cell>
        </row>
        <row r="5">
          <cell r="B5" t="str">
            <v>Company (Real)</v>
          </cell>
        </row>
        <row r="6">
          <cell r="B6" t="str">
            <v>Company (Disguised)</v>
          </cell>
        </row>
        <row r="7">
          <cell r="B7" t="str">
            <v>Interview Date</v>
          </cell>
        </row>
        <row r="8">
          <cell r="B8" t="str">
            <v>Interviewer</v>
          </cell>
        </row>
        <row r="9">
          <cell r="B9" t="str">
            <v>Interviewer Support</v>
          </cell>
        </row>
        <row r="10">
          <cell r="B10" t="str">
            <v>Company Industry</v>
          </cell>
        </row>
        <row r="11">
          <cell r="B11" t="str">
            <v>Company Sub-Industry</v>
          </cell>
        </row>
        <row r="12">
          <cell r="B12" t="str">
            <v>Company Size (Turnover)</v>
          </cell>
        </row>
        <row r="13">
          <cell r="B13" t="str">
            <v>Country</v>
          </cell>
        </row>
        <row r="15">
          <cell r="B15" t="str">
            <v>Question ID</v>
          </cell>
          <cell r="C15" t="str">
            <v>Question</v>
          </cell>
        </row>
        <row r="16">
          <cell r="B16" t="str">
            <v>── BASELINE BLOCK ──</v>
          </cell>
        </row>
        <row r="17">
          <cell r="B17" t="str">
            <v>B1_INTEREST</v>
          </cell>
          <cell r="C17" t="str">
            <v>Are you interested in data collaboration?</v>
          </cell>
          <cell r="D17" t="str">
            <v>1-10</v>
          </cell>
        </row>
        <row r="18">
          <cell r="B18" t="str">
            <v>↳ QUOTE</v>
          </cell>
          <cell r="C18" t="str">
            <v>[Paste verbatim quote from transcript that supports this score or adds context]</v>
          </cell>
        </row>
        <row r="19">
          <cell r="B19" t="str">
            <v>B2_SHARING</v>
          </cell>
          <cell r="C19" t="str">
            <v>Do you share data currently?</v>
          </cell>
          <cell r="D19" t="str">
            <v>0/1</v>
          </cell>
        </row>
        <row r="20">
          <cell r="B20" t="str">
            <v>B3_MONETIZE</v>
          </cell>
          <cell r="C20" t="str">
            <v>Do you monetize your data currently?</v>
          </cell>
          <cell r="D20" t="str">
            <v>0/1</v>
          </cell>
        </row>
        <row r="21">
          <cell r="B21" t="str">
            <v>B4_STRATEGIC</v>
          </cell>
          <cell r="C21" t="str">
            <v>Do you not share/monetize due to strategic reasons?</v>
          </cell>
          <cell r="D21" t="str">
            <v>0/1</v>
          </cell>
        </row>
        <row r="22">
          <cell r="B22" t="str">
            <v>── DATA SHARING MATURITY (1–5) ──</v>
          </cell>
        </row>
        <row r="23">
          <cell r="B23" t="str">
            <v>Question ID</v>
          </cell>
          <cell r="C23" t="str">
            <v>Question</v>
          </cell>
          <cell r="D23" t="str">
            <v>Scale</v>
          </cell>
          <cell r="E23" t="str">
            <v>SCORE</v>
          </cell>
        </row>
        <row r="24">
          <cell r="B24" t="str">
            <v>M1_AUTOMATED</v>
          </cell>
          <cell r="C24" t="str">
            <v>Is data sharing automated or manual?</v>
          </cell>
          <cell r="D24" t="str">
            <v>1–5</v>
          </cell>
        </row>
        <row r="25">
          <cell r="B25" t="str">
            <v>M2_REALTIME</v>
          </cell>
          <cell r="C25" t="str">
            <v>Is data sharing in real-time, or lagging?</v>
          </cell>
          <cell r="D25" t="str">
            <v>1–5</v>
          </cell>
        </row>
        <row r="26">
          <cell r="B26" t="str">
            <v>M3_STRATEGIC</v>
          </cell>
          <cell r="C26" t="str">
            <v>Is data sharing focused on operations or strategic planning?</v>
          </cell>
          <cell r="D26" t="str">
            <v>1–5</v>
          </cell>
        </row>
        <row r="27">
          <cell r="B27" t="str">
            <v>M4_BREADTH</v>
          </cell>
          <cell r="C27" t="str">
            <v>Is data sharing available to all clients, or based on strategic importance?</v>
          </cell>
          <cell r="D27" t="str">
            <v>1–5</v>
          </cell>
        </row>
        <row r="28">
          <cell r="B28" t="str">
            <v>M5_DATATYPES</v>
          </cell>
          <cell r="C28" t="str">
            <v>Breadth of data exchanged</v>
          </cell>
          <cell r="D28" t="str">
            <v>1–5</v>
          </cell>
        </row>
        <row r="29">
          <cell r="B29" t="str">
            <v>M6_TRUST</v>
          </cell>
          <cell r="C29" t="str">
            <v>Trust in received data</v>
          </cell>
          <cell r="D29" t="str">
            <v>1–5</v>
          </cell>
        </row>
        <row r="30">
          <cell r="B30" t="str">
            <v>M7_BARRIERS</v>
          </cell>
          <cell r="C30" t="str">
            <v>Readiness / barriers to collaborate</v>
          </cell>
          <cell r="D30" t="str">
            <v>1–5</v>
          </cell>
        </row>
        <row r="31">
          <cell r="B31" t="str">
            <v>M8_IMPACT</v>
          </cell>
          <cell r="C31" t="str">
            <v>Operational impact of data gaps</v>
          </cell>
          <cell r="D31" t="str">
            <v>1–5</v>
          </cell>
        </row>
        <row r="32">
          <cell r="B32" t="str">
            <v>M9_WILLINGNESS</v>
          </cell>
          <cell r="C32" t="str">
            <v>Willingness to collaborate overall</v>
          </cell>
          <cell r="D32" t="str">
            <v>1-10</v>
          </cell>
        </row>
        <row r="33">
          <cell r="B33" t="str">
            <v>── VALUE UNLOCK AREAS (0 = not mentioned / 1 = mentioned) ──</v>
          </cell>
        </row>
        <row r="34">
          <cell r="B34" t="str">
            <v>Guidance</v>
          </cell>
          <cell r="C34" t="str">
            <v>1 = interviewee explicitly mentioned this as valuable or relevant. 0 = not mentioned or actively dismissed.</v>
          </cell>
        </row>
        <row r="35">
          <cell r="B35" t="str">
            <v>SV1_PRICING</v>
          </cell>
          <cell r="C35" t="str">
            <v>Pricing</v>
          </cell>
          <cell r="D35" t="str">
            <v>0/1</v>
          </cell>
        </row>
        <row r="36">
          <cell r="B36" t="str">
            <v>↳ QUOTE</v>
          </cell>
          <cell r="C36" t="str">
            <v>[Paste verbatim quote from transcript supporting Value Unlock Areas scoring]</v>
          </cell>
        </row>
        <row r="37">
          <cell r="B37" t="str">
            <v>SV2_PROMOTIONS</v>
          </cell>
          <cell r="C37" t="str">
            <v>Promotions</v>
          </cell>
          <cell r="D37" t="str">
            <v>0/1</v>
          </cell>
        </row>
        <row r="38">
          <cell r="B38" t="str">
            <v>SV3_SUPPLYCHAIN</v>
          </cell>
          <cell r="C38" t="str">
            <v>Supply Chain Management</v>
          </cell>
          <cell r="D38" t="str">
            <v>0/1</v>
          </cell>
        </row>
        <row r="39">
          <cell r="B39" t="str">
            <v>SV4_CATEGORY</v>
          </cell>
          <cell r="C39" t="str">
            <v>Category Planning</v>
          </cell>
          <cell r="D39" t="str">
            <v>0/1</v>
          </cell>
        </row>
        <row r="40">
          <cell r="B40" t="str">
            <v>SV5_DEMAND</v>
          </cell>
          <cell r="C40" t="str">
            <v>Demand Forecasting</v>
          </cell>
          <cell r="D40" t="str">
            <v>0/1</v>
          </cell>
        </row>
        <row r="41">
          <cell r="B41" t="str">
            <v>SV6_ACCOUNT</v>
          </cell>
          <cell r="C41" t="str">
            <v>Accountability</v>
          </cell>
          <cell r="D41" t="str">
            <v>0/1</v>
          </cell>
        </row>
        <row r="42">
          <cell r="B42" t="str">
            <v>SV7_OPS</v>
          </cell>
          <cell r="C42" t="str">
            <v>Operationalization &amp; Workflows</v>
          </cell>
          <cell r="D42" t="str">
            <v>0/1</v>
          </cell>
        </row>
        <row r="43">
          <cell r="B43" t="str">
            <v>── CONCERNS TO RESOLVE (0 = not mentioned / 1 = mentioned) ──</v>
          </cell>
        </row>
        <row r="44">
          <cell r="B44" t="str">
            <v>Guidance</v>
          </cell>
          <cell r="C44" t="str">
            <v>1 = interviewee explicitly mentioned this as valuable or relevant. 0 = not mentioned or actively dismissed.</v>
          </cell>
        </row>
        <row r="45">
          <cell r="B45" t="str">
            <v>SC1_DATASENS</v>
          </cell>
          <cell r="C45" t="str">
            <v>Data Sensitivity</v>
          </cell>
          <cell r="D45" t="str">
            <v>0/1</v>
          </cell>
        </row>
        <row r="46">
          <cell r="B46" t="str">
            <v>SC2_COMPLIANCE</v>
          </cell>
          <cell r="C46" t="str">
            <v>Compliance</v>
          </cell>
          <cell r="D46" t="str">
            <v>0/1</v>
          </cell>
        </row>
        <row r="47">
          <cell r="B47" t="str">
            <v>SC3_TRUST</v>
          </cell>
          <cell r="C47" t="str">
            <v>Trust Issues</v>
          </cell>
          <cell r="D47" t="str">
            <v>0/1</v>
          </cell>
        </row>
        <row r="48">
          <cell r="B48" t="str">
            <v>SC4_DATAPROC</v>
          </cell>
          <cell r="C48" t="str">
            <v>Data Processing</v>
          </cell>
          <cell r="D48" t="str">
            <v>0/1</v>
          </cell>
        </row>
        <row r="49">
          <cell r="B49" t="str">
            <v>── CRITICAL TOOL FEATURES (0 = not mentioned / 1 = mentioned) ──</v>
          </cell>
        </row>
        <row r="50">
          <cell r="B50" t="str">
            <v>Guidance</v>
          </cell>
          <cell r="C50" t="str">
            <v>1 = interviewee explicitly mentioned this as valuable or relevant. 0 = not mentioned or actively dismissed.</v>
          </cell>
        </row>
        <row r="51">
          <cell r="B51" t="str">
            <v>SF1_REALTIME</v>
          </cell>
          <cell r="C51" t="str">
            <v>Dynamic, real-time data exchange</v>
          </cell>
          <cell r="D51" t="str">
            <v>0/1</v>
          </cell>
        </row>
        <row r="52">
          <cell r="B52" t="str">
            <v>↳ QUOTE</v>
          </cell>
          <cell r="C52" t="str">
            <v>[Paste verbatim quote from transcript supporting Critical Tool Features scoring]</v>
          </cell>
        </row>
        <row r="53">
          <cell r="B53" t="str">
            <v>SF2_ACCESS</v>
          </cell>
          <cell r="C53" t="str">
            <v>Equal access to shared datasets</v>
          </cell>
          <cell r="D53" t="str">
            <v>0/1</v>
          </cell>
        </row>
        <row r="54">
          <cell r="B54" t="str">
            <v>SF3_UX</v>
          </cell>
          <cell r="C54" t="str">
            <v>Simple UX/UI</v>
          </cell>
          <cell r="D54" t="str">
            <v>0/1</v>
          </cell>
        </row>
        <row r="55">
          <cell r="B55" t="str">
            <v>SF4_DECISION</v>
          </cell>
          <cell r="C55" t="str">
            <v>Allows joint decision making</v>
          </cell>
        </row>
        <row r="56">
          <cell r="B56" t="str">
            <v>SF5_MASKING</v>
          </cell>
          <cell r="C56" t="str">
            <v>Clear masking rules by supplier/user</v>
          </cell>
        </row>
        <row r="57">
          <cell r="B57" t="str">
            <v>── PREFERRED DATASETS (0 = not mentioned / 1 = mentioned) ──</v>
          </cell>
        </row>
        <row r="58">
          <cell r="B58" t="str">
            <v>Guidance</v>
          </cell>
          <cell r="C58" t="str">
            <v>1 = interviewee explicitly mentioned this as valuable or relevant. 0 = not mentioned or actively dismissed.</v>
          </cell>
        </row>
        <row r="59">
          <cell r="B59" t="str">
            <v>SD1_TRENDS</v>
          </cell>
          <cell r="C59" t="str">
            <v>Global trends and insights</v>
          </cell>
          <cell r="D59" t="str">
            <v>0/1</v>
          </cell>
        </row>
        <row r="60">
          <cell r="B60" t="str">
            <v>SD2_MARKET</v>
          </cell>
          <cell r="C60" t="str">
            <v>Market research</v>
          </cell>
          <cell r="D60" t="str">
            <v>0/1</v>
          </cell>
        </row>
        <row r="61">
          <cell r="B61" t="str">
            <v>SD3_CATEGORY</v>
          </cell>
          <cell r="C61" t="str">
            <v>Category performance</v>
          </cell>
          <cell r="D61" t="str">
            <v>0/1</v>
          </cell>
        </row>
        <row r="62">
          <cell r="B62" t="str">
            <v>SD4_SHIPMENT</v>
          </cell>
          <cell r="C62" t="str">
            <v>Shipment schedules</v>
          </cell>
          <cell r="D62" t="str">
            <v>0/1</v>
          </cell>
        </row>
        <row r="63">
          <cell r="B63" t="str">
            <v>SD5_LEAD</v>
          </cell>
          <cell r="C63" t="str">
            <v>Lead times</v>
          </cell>
          <cell r="D63" t="str">
            <v>0/1</v>
          </cell>
        </row>
        <row r="64">
          <cell r="B64" t="str">
            <v>SD6_CONJOINT</v>
          </cell>
          <cell r="C64" t="str">
            <v>Conjoint names</v>
          </cell>
          <cell r="D64" t="str">
            <v>0/1</v>
          </cell>
        </row>
        <row r="65">
          <cell r="B65" t="str">
            <v>Guidance</v>
          </cell>
          <cell r="C65" t="str">
            <v>1 = interviewee explicitly mentioned this as valuable or relevant. 0 = not mentioned or actively dismissed.</v>
          </cell>
        </row>
        <row r="67">
          <cell r="B67" t="str">
            <v>📌 NOTE</v>
          </cell>
          <cell r="C67" t="str">
            <v>Red cells = score needed (new questions with no old data to migrate from). If a transcript note at the top overrides coding guidance, it takes priority.</v>
          </cell>
        </row>
      </sheetData>
      <sheetData sheetId="19">
        <row r="1">
          <cell r="B1" t="str">
            <v>Company 16 — Interview 1</v>
          </cell>
        </row>
        <row r="2">
          <cell r="B2" t="str">
            <v>Interviewee Details</v>
          </cell>
          <cell r="C2" t="str">
            <v>Response</v>
          </cell>
          <cell r="D2" t="str">
            <v>Coding</v>
          </cell>
        </row>
        <row r="3">
          <cell r="B3" t="str">
            <v>Interviewee Name</v>
          </cell>
        </row>
        <row r="4">
          <cell r="B4" t="str">
            <v>Interviewee Position</v>
          </cell>
        </row>
        <row r="5">
          <cell r="B5" t="str">
            <v>Company (Real)</v>
          </cell>
        </row>
        <row r="6">
          <cell r="B6" t="str">
            <v>Company (Disguised)</v>
          </cell>
        </row>
        <row r="7">
          <cell r="B7" t="str">
            <v>Interview Date</v>
          </cell>
        </row>
        <row r="8">
          <cell r="B8" t="str">
            <v>Interviewer</v>
          </cell>
        </row>
        <row r="9">
          <cell r="B9" t="str">
            <v>Interviewer Support</v>
          </cell>
        </row>
        <row r="10">
          <cell r="B10" t="str">
            <v>Company Industry</v>
          </cell>
        </row>
        <row r="11">
          <cell r="B11" t="str">
            <v>Company Sub-Industry</v>
          </cell>
        </row>
        <row r="12">
          <cell r="B12" t="str">
            <v>Company Size (Turnover)</v>
          </cell>
        </row>
        <row r="13">
          <cell r="B13" t="str">
            <v>Country</v>
          </cell>
        </row>
        <row r="15">
          <cell r="B15" t="str">
            <v>Question ID</v>
          </cell>
          <cell r="C15" t="str">
            <v>Question</v>
          </cell>
        </row>
        <row r="16">
          <cell r="B16" t="str">
            <v>── BASELINE BLOCK ──</v>
          </cell>
        </row>
        <row r="17">
          <cell r="B17" t="str">
            <v>B1_INTEREST</v>
          </cell>
          <cell r="C17" t="str">
            <v>Are you interested in data collaboration?</v>
          </cell>
          <cell r="D17" t="str">
            <v>1-10</v>
          </cell>
        </row>
        <row r="18">
          <cell r="B18" t="str">
            <v>↳ QUOTE</v>
          </cell>
          <cell r="C18" t="str">
            <v>[Paste verbatim quote from transcript that supports this score or adds context]</v>
          </cell>
        </row>
        <row r="19">
          <cell r="B19" t="str">
            <v>B2_SHARING</v>
          </cell>
          <cell r="C19" t="str">
            <v>Do you share data currently?</v>
          </cell>
          <cell r="D19" t="str">
            <v>0/1</v>
          </cell>
        </row>
        <row r="20">
          <cell r="B20" t="str">
            <v>B3_MONETIZE</v>
          </cell>
          <cell r="C20" t="str">
            <v>Do you monetize your data currently?</v>
          </cell>
          <cell r="D20" t="str">
            <v>0/1</v>
          </cell>
        </row>
        <row r="21">
          <cell r="B21" t="str">
            <v>B4_STRATEGIC</v>
          </cell>
          <cell r="C21" t="str">
            <v>Do you not share/monetize due to strategic reasons?</v>
          </cell>
          <cell r="D21" t="str">
            <v>0/1</v>
          </cell>
        </row>
        <row r="22">
          <cell r="B22" t="str">
            <v>── DATA SHARING MATURITY (1–5) ──</v>
          </cell>
        </row>
        <row r="23">
          <cell r="B23" t="str">
            <v>Question ID</v>
          </cell>
          <cell r="C23" t="str">
            <v>Question</v>
          </cell>
          <cell r="D23" t="str">
            <v>Scale</v>
          </cell>
          <cell r="E23" t="str">
            <v>SCORE</v>
          </cell>
        </row>
        <row r="24">
          <cell r="B24" t="str">
            <v>M1_AUTOMATED</v>
          </cell>
          <cell r="C24" t="str">
            <v>Is data sharing automated or manual?</v>
          </cell>
          <cell r="D24" t="str">
            <v>1–5</v>
          </cell>
        </row>
        <row r="25">
          <cell r="B25" t="str">
            <v>M2_REALTIME</v>
          </cell>
          <cell r="C25" t="str">
            <v>Is data sharing in real-time, or lagging?</v>
          </cell>
          <cell r="D25" t="str">
            <v>1–5</v>
          </cell>
        </row>
        <row r="26">
          <cell r="B26" t="str">
            <v>M3_STRATEGIC</v>
          </cell>
          <cell r="C26" t="str">
            <v>Is data sharing focused on operations or strategic planning?</v>
          </cell>
          <cell r="D26" t="str">
            <v>1–5</v>
          </cell>
        </row>
        <row r="27">
          <cell r="B27" t="str">
            <v>M4_BREADTH</v>
          </cell>
          <cell r="C27" t="str">
            <v>Is data sharing available to all clients, or based on strategic importance?</v>
          </cell>
          <cell r="D27" t="str">
            <v>1–5</v>
          </cell>
        </row>
        <row r="28">
          <cell r="B28" t="str">
            <v>M5_DATATYPES</v>
          </cell>
          <cell r="C28" t="str">
            <v>Breadth of data exchanged</v>
          </cell>
          <cell r="D28" t="str">
            <v>1–5</v>
          </cell>
        </row>
        <row r="29">
          <cell r="B29" t="str">
            <v>M6_TRUST</v>
          </cell>
          <cell r="C29" t="str">
            <v>Trust in received data</v>
          </cell>
          <cell r="D29" t="str">
            <v>1–5</v>
          </cell>
        </row>
        <row r="30">
          <cell r="B30" t="str">
            <v>M7_BARRIERS</v>
          </cell>
          <cell r="C30" t="str">
            <v>Readiness / barriers to collaborate</v>
          </cell>
          <cell r="D30" t="str">
            <v>1–5</v>
          </cell>
        </row>
        <row r="31">
          <cell r="B31" t="str">
            <v>M8_IMPACT</v>
          </cell>
          <cell r="C31" t="str">
            <v>Operational impact of data gaps</v>
          </cell>
          <cell r="D31" t="str">
            <v>1–5</v>
          </cell>
        </row>
        <row r="32">
          <cell r="B32" t="str">
            <v>M9_WILLINGNESS</v>
          </cell>
          <cell r="C32" t="str">
            <v>Willingness to collaborate overall</v>
          </cell>
          <cell r="D32" t="str">
            <v>1-10</v>
          </cell>
        </row>
        <row r="33">
          <cell r="B33" t="str">
            <v>── VALUE UNLOCK AREAS (0 = not mentioned / 1 = mentioned) ──</v>
          </cell>
        </row>
        <row r="34">
          <cell r="B34" t="str">
            <v>Guidance</v>
          </cell>
          <cell r="C34" t="str">
            <v>1 = interviewee explicitly mentioned this as valuable or relevant. 0 = not mentioned or actively dismissed.</v>
          </cell>
        </row>
        <row r="35">
          <cell r="B35" t="str">
            <v>SV1_PRICING</v>
          </cell>
          <cell r="C35" t="str">
            <v>Pricing</v>
          </cell>
          <cell r="D35" t="str">
            <v>0/1</v>
          </cell>
        </row>
        <row r="36">
          <cell r="B36" t="str">
            <v>↳ QUOTE</v>
          </cell>
          <cell r="C36" t="str">
            <v>[Paste verbatim quote from transcript supporting Value Unlock Areas scoring]</v>
          </cell>
        </row>
        <row r="37">
          <cell r="B37" t="str">
            <v>SV2_PROMOTIONS</v>
          </cell>
          <cell r="C37" t="str">
            <v>Promotions</v>
          </cell>
          <cell r="D37" t="str">
            <v>0/1</v>
          </cell>
        </row>
        <row r="38">
          <cell r="B38" t="str">
            <v>SV3_SUPPLYCHAIN</v>
          </cell>
          <cell r="C38" t="str">
            <v>Supply Chain Management</v>
          </cell>
          <cell r="D38" t="str">
            <v>0/1</v>
          </cell>
        </row>
        <row r="39">
          <cell r="B39" t="str">
            <v>SV4_CATEGORY</v>
          </cell>
          <cell r="C39" t="str">
            <v>Category Planning</v>
          </cell>
          <cell r="D39" t="str">
            <v>0/1</v>
          </cell>
        </row>
        <row r="40">
          <cell r="B40" t="str">
            <v>SV5_DEMAND</v>
          </cell>
          <cell r="C40" t="str">
            <v>Demand Forecasting</v>
          </cell>
          <cell r="D40" t="str">
            <v>0/1</v>
          </cell>
        </row>
        <row r="41">
          <cell r="B41" t="str">
            <v>SV6_ACCOUNT</v>
          </cell>
          <cell r="C41" t="str">
            <v>Accountability</v>
          </cell>
          <cell r="D41" t="str">
            <v>0/1</v>
          </cell>
        </row>
        <row r="42">
          <cell r="B42" t="str">
            <v>SV7_OPS</v>
          </cell>
          <cell r="C42" t="str">
            <v>Operationalization &amp; Workflows</v>
          </cell>
          <cell r="D42" t="str">
            <v>0/1</v>
          </cell>
        </row>
        <row r="43">
          <cell r="B43" t="str">
            <v>── CONCERNS TO RESOLVE (0 = not mentioned / 1 = mentioned) ──</v>
          </cell>
        </row>
        <row r="44">
          <cell r="B44" t="str">
            <v>Guidance</v>
          </cell>
          <cell r="C44" t="str">
            <v>1 = interviewee explicitly mentioned this as valuable or relevant. 0 = not mentioned or actively dismissed.</v>
          </cell>
        </row>
        <row r="45">
          <cell r="B45" t="str">
            <v>SC1_DATASENS</v>
          </cell>
          <cell r="C45" t="str">
            <v>Data Sensitivity</v>
          </cell>
          <cell r="D45" t="str">
            <v>0/1</v>
          </cell>
        </row>
        <row r="46">
          <cell r="B46" t="str">
            <v>SC2_COMPLIANCE</v>
          </cell>
          <cell r="C46" t="str">
            <v>Compliance</v>
          </cell>
          <cell r="D46" t="str">
            <v>0/1</v>
          </cell>
        </row>
        <row r="47">
          <cell r="B47" t="str">
            <v>SC3_TRUST</v>
          </cell>
          <cell r="C47" t="str">
            <v>Trust Issues</v>
          </cell>
          <cell r="D47" t="str">
            <v>0/1</v>
          </cell>
        </row>
        <row r="48">
          <cell r="B48" t="str">
            <v>SC4_DATAPROC</v>
          </cell>
          <cell r="C48" t="str">
            <v>Data Processing</v>
          </cell>
          <cell r="D48" t="str">
            <v>0/1</v>
          </cell>
        </row>
        <row r="49">
          <cell r="B49" t="str">
            <v>── CRITICAL TOOL FEATURES (0 = not mentioned / 1 = mentioned) ──</v>
          </cell>
        </row>
        <row r="50">
          <cell r="B50" t="str">
            <v>Guidance</v>
          </cell>
          <cell r="C50" t="str">
            <v>1 = interviewee explicitly mentioned this as valuable or relevant. 0 = not mentioned or actively dismissed.</v>
          </cell>
        </row>
        <row r="51">
          <cell r="B51" t="str">
            <v>SF1_REALTIME</v>
          </cell>
          <cell r="C51" t="str">
            <v>Dynamic, real-time data exchange</v>
          </cell>
          <cell r="D51" t="str">
            <v>0/1</v>
          </cell>
        </row>
        <row r="52">
          <cell r="B52" t="str">
            <v>↳ QUOTE</v>
          </cell>
          <cell r="C52" t="str">
            <v>[Paste verbatim quote from transcript supporting Critical Tool Features scoring]</v>
          </cell>
        </row>
        <row r="53">
          <cell r="B53" t="str">
            <v>SF2_ACCESS</v>
          </cell>
          <cell r="C53" t="str">
            <v>Equal access to shared datasets</v>
          </cell>
          <cell r="D53" t="str">
            <v>0/1</v>
          </cell>
        </row>
        <row r="54">
          <cell r="B54" t="str">
            <v>SF3_UX</v>
          </cell>
          <cell r="C54" t="str">
            <v>Simple UX/UI</v>
          </cell>
          <cell r="D54" t="str">
            <v>0/1</v>
          </cell>
        </row>
        <row r="55">
          <cell r="B55" t="str">
            <v>SF4_DECISION</v>
          </cell>
          <cell r="C55" t="str">
            <v>Allows joint decision making</v>
          </cell>
        </row>
        <row r="56">
          <cell r="B56" t="str">
            <v>SF5_MASKING</v>
          </cell>
          <cell r="C56" t="str">
            <v>Clear masking rules by supplier/user</v>
          </cell>
        </row>
        <row r="57">
          <cell r="B57" t="str">
            <v>── PREFERRED DATASETS (0 = not mentioned / 1 = mentioned) ──</v>
          </cell>
        </row>
        <row r="58">
          <cell r="B58" t="str">
            <v>Guidance</v>
          </cell>
          <cell r="C58" t="str">
            <v>1 = interviewee explicitly mentioned this as valuable or relevant. 0 = not mentioned or actively dismissed.</v>
          </cell>
        </row>
        <row r="59">
          <cell r="B59" t="str">
            <v>SD1_TRENDS</v>
          </cell>
          <cell r="C59" t="str">
            <v>Global trends and insights</v>
          </cell>
          <cell r="D59" t="str">
            <v>0/1</v>
          </cell>
        </row>
        <row r="60">
          <cell r="B60" t="str">
            <v>SD2_MARKET</v>
          </cell>
          <cell r="C60" t="str">
            <v>Market research</v>
          </cell>
          <cell r="D60" t="str">
            <v>0/1</v>
          </cell>
        </row>
        <row r="61">
          <cell r="B61" t="str">
            <v>SD3_CATEGORY</v>
          </cell>
          <cell r="C61" t="str">
            <v>Category performance</v>
          </cell>
          <cell r="D61" t="str">
            <v>0/1</v>
          </cell>
        </row>
        <row r="62">
          <cell r="B62" t="str">
            <v>SD4_SHIPMENT</v>
          </cell>
          <cell r="C62" t="str">
            <v>Shipment schedules</v>
          </cell>
          <cell r="D62" t="str">
            <v>0/1</v>
          </cell>
        </row>
        <row r="63">
          <cell r="B63" t="str">
            <v>SD5_LEAD</v>
          </cell>
          <cell r="C63" t="str">
            <v>Lead times</v>
          </cell>
          <cell r="D63" t="str">
            <v>0/1</v>
          </cell>
        </row>
        <row r="64">
          <cell r="B64" t="str">
            <v>SD6_CONJOINT</v>
          </cell>
          <cell r="C64" t="str">
            <v>Conjoint names</v>
          </cell>
          <cell r="D64" t="str">
            <v>0/1</v>
          </cell>
        </row>
        <row r="65">
          <cell r="B65" t="str">
            <v>Guidance</v>
          </cell>
          <cell r="C65" t="str">
            <v>1 = interviewee explicitly mentioned this as valuable or relevant. 0 = not mentioned or actively dismissed.</v>
          </cell>
        </row>
        <row r="67">
          <cell r="B67" t="str">
            <v>📌 NOTE</v>
          </cell>
          <cell r="C67" t="str">
            <v>Red cells = score needed (new questions with no old data to migrate from). If a transcript note at the top overrides coding guidance, it takes priority.</v>
          </cell>
        </row>
      </sheetData>
      <sheetData sheetId="20">
        <row r="1">
          <cell r="B1" t="str">
            <v>Company 17 — Interview 1</v>
          </cell>
        </row>
        <row r="2">
          <cell r="B2" t="str">
            <v>Interviewee Details</v>
          </cell>
          <cell r="C2" t="str">
            <v>Response</v>
          </cell>
          <cell r="D2" t="str">
            <v>Coding</v>
          </cell>
        </row>
        <row r="3">
          <cell r="B3" t="str">
            <v>Interviewee Name</v>
          </cell>
        </row>
        <row r="4">
          <cell r="B4" t="str">
            <v>Interviewee Position</v>
          </cell>
        </row>
        <row r="5">
          <cell r="B5" t="str">
            <v>Company (Real)</v>
          </cell>
        </row>
        <row r="6">
          <cell r="B6" t="str">
            <v>Company (Disguised)</v>
          </cell>
        </row>
        <row r="7">
          <cell r="B7" t="str">
            <v>Interview Date</v>
          </cell>
        </row>
        <row r="8">
          <cell r="B8" t="str">
            <v>Interviewer</v>
          </cell>
        </row>
        <row r="9">
          <cell r="B9" t="str">
            <v>Interviewer Support</v>
          </cell>
        </row>
        <row r="10">
          <cell r="B10" t="str">
            <v>Company Industry</v>
          </cell>
        </row>
        <row r="11">
          <cell r="B11" t="str">
            <v>Company Sub-Industry</v>
          </cell>
        </row>
        <row r="12">
          <cell r="B12" t="str">
            <v>Company Size (Turnover)</v>
          </cell>
        </row>
        <row r="13">
          <cell r="B13" t="str">
            <v>Country</v>
          </cell>
        </row>
        <row r="15">
          <cell r="B15" t="str">
            <v>Question ID</v>
          </cell>
          <cell r="C15" t="str">
            <v>Question</v>
          </cell>
        </row>
        <row r="16">
          <cell r="B16" t="str">
            <v>── BASELINE BLOCK ──</v>
          </cell>
        </row>
        <row r="17">
          <cell r="B17" t="str">
            <v>B1_INTEREST</v>
          </cell>
          <cell r="C17" t="str">
            <v>Are you interested in data collaboration?</v>
          </cell>
          <cell r="D17" t="str">
            <v>1-10</v>
          </cell>
        </row>
        <row r="18">
          <cell r="B18" t="str">
            <v>↳ QUOTE</v>
          </cell>
          <cell r="C18" t="str">
            <v>[Paste verbatim quote from transcript that supports this score or adds context]</v>
          </cell>
        </row>
        <row r="19">
          <cell r="B19" t="str">
            <v>B2_SHARING</v>
          </cell>
          <cell r="C19" t="str">
            <v>Do you share data currently?</v>
          </cell>
          <cell r="D19" t="str">
            <v>0/1</v>
          </cell>
        </row>
        <row r="20">
          <cell r="B20" t="str">
            <v>B3_MONETIZE</v>
          </cell>
          <cell r="C20" t="str">
            <v>Do you monetize your data currently?</v>
          </cell>
          <cell r="D20" t="str">
            <v>0/1</v>
          </cell>
        </row>
        <row r="21">
          <cell r="B21" t="str">
            <v>B4_STRATEGIC</v>
          </cell>
          <cell r="C21" t="str">
            <v>Do you not share/monetize due to strategic reasons?</v>
          </cell>
          <cell r="D21" t="str">
            <v>0/1</v>
          </cell>
        </row>
        <row r="22">
          <cell r="B22" t="str">
            <v>── DATA SHARING MATURITY (1–5) ──</v>
          </cell>
        </row>
        <row r="23">
          <cell r="B23" t="str">
            <v>Question ID</v>
          </cell>
          <cell r="C23" t="str">
            <v>Question</v>
          </cell>
          <cell r="D23" t="str">
            <v>Scale</v>
          </cell>
          <cell r="E23" t="str">
            <v>SCORE</v>
          </cell>
        </row>
        <row r="24">
          <cell r="B24" t="str">
            <v>M1_AUTOMATED</v>
          </cell>
          <cell r="C24" t="str">
            <v>Is data sharing automated or manual?</v>
          </cell>
          <cell r="D24" t="str">
            <v>1–5</v>
          </cell>
        </row>
        <row r="25">
          <cell r="B25" t="str">
            <v>M2_REALTIME</v>
          </cell>
          <cell r="C25" t="str">
            <v>Is data sharing in real-time, or lagging?</v>
          </cell>
          <cell r="D25" t="str">
            <v>1–5</v>
          </cell>
        </row>
        <row r="26">
          <cell r="B26" t="str">
            <v>M3_STRATEGIC</v>
          </cell>
          <cell r="C26" t="str">
            <v>Is data sharing focused on operations or strategic planning?</v>
          </cell>
          <cell r="D26" t="str">
            <v>1–5</v>
          </cell>
        </row>
        <row r="27">
          <cell r="B27" t="str">
            <v>M4_BREADTH</v>
          </cell>
          <cell r="C27" t="str">
            <v>Is data sharing available to all clients, or based on strategic importance?</v>
          </cell>
          <cell r="D27" t="str">
            <v>1–5</v>
          </cell>
        </row>
        <row r="28">
          <cell r="B28" t="str">
            <v>M5_DATATYPES</v>
          </cell>
          <cell r="C28" t="str">
            <v>Breadth of data exchanged</v>
          </cell>
          <cell r="D28" t="str">
            <v>1–5</v>
          </cell>
        </row>
        <row r="29">
          <cell r="B29" t="str">
            <v>M6_TRUST</v>
          </cell>
          <cell r="C29" t="str">
            <v>Trust in received data</v>
          </cell>
          <cell r="D29" t="str">
            <v>1–5</v>
          </cell>
        </row>
        <row r="30">
          <cell r="B30" t="str">
            <v>M7_BARRIERS</v>
          </cell>
          <cell r="C30" t="str">
            <v>Readiness / barriers to collaborate</v>
          </cell>
          <cell r="D30" t="str">
            <v>1–5</v>
          </cell>
        </row>
        <row r="31">
          <cell r="B31" t="str">
            <v>M8_IMPACT</v>
          </cell>
          <cell r="C31" t="str">
            <v>Operational impact of data gaps</v>
          </cell>
          <cell r="D31" t="str">
            <v>1–5</v>
          </cell>
        </row>
        <row r="32">
          <cell r="B32" t="str">
            <v>M9_WILLINGNESS</v>
          </cell>
          <cell r="C32" t="str">
            <v>Willingness to collaborate overall</v>
          </cell>
          <cell r="D32" t="str">
            <v>1-10</v>
          </cell>
        </row>
        <row r="33">
          <cell r="B33" t="str">
            <v>── VALUE UNLOCK AREAS (0 = not mentioned / 1 = mentioned) ──</v>
          </cell>
        </row>
        <row r="34">
          <cell r="B34" t="str">
            <v>Guidance</v>
          </cell>
          <cell r="C34" t="str">
            <v>1 = interviewee explicitly mentioned this as valuable or relevant. 0 = not mentioned or actively dismissed.</v>
          </cell>
        </row>
        <row r="35">
          <cell r="B35" t="str">
            <v>SV1_PRICING</v>
          </cell>
          <cell r="C35" t="str">
            <v>Pricing</v>
          </cell>
          <cell r="D35" t="str">
            <v>0/1</v>
          </cell>
        </row>
        <row r="36">
          <cell r="B36" t="str">
            <v>↳ QUOTE</v>
          </cell>
          <cell r="C36" t="str">
            <v>[Paste verbatim quote from transcript supporting Value Unlock Areas scoring]</v>
          </cell>
        </row>
        <row r="37">
          <cell r="B37" t="str">
            <v>SV2_PROMOTIONS</v>
          </cell>
          <cell r="C37" t="str">
            <v>Promotions</v>
          </cell>
          <cell r="D37" t="str">
            <v>0/1</v>
          </cell>
        </row>
        <row r="38">
          <cell r="B38" t="str">
            <v>SV3_SUPPLYCHAIN</v>
          </cell>
          <cell r="C38" t="str">
            <v>Supply Chain Management</v>
          </cell>
          <cell r="D38" t="str">
            <v>0/1</v>
          </cell>
        </row>
        <row r="39">
          <cell r="B39" t="str">
            <v>SV4_CATEGORY</v>
          </cell>
          <cell r="C39" t="str">
            <v>Category Planning</v>
          </cell>
          <cell r="D39" t="str">
            <v>0/1</v>
          </cell>
        </row>
        <row r="40">
          <cell r="B40" t="str">
            <v>SV5_DEMAND</v>
          </cell>
          <cell r="C40" t="str">
            <v>Demand Forecasting</v>
          </cell>
          <cell r="D40" t="str">
            <v>0/1</v>
          </cell>
        </row>
        <row r="41">
          <cell r="B41" t="str">
            <v>SV6_ACCOUNT</v>
          </cell>
          <cell r="C41" t="str">
            <v>Accountability</v>
          </cell>
          <cell r="D41" t="str">
            <v>0/1</v>
          </cell>
        </row>
        <row r="42">
          <cell r="B42" t="str">
            <v>SV7_OPS</v>
          </cell>
          <cell r="C42" t="str">
            <v>Operationalization &amp; Workflows</v>
          </cell>
          <cell r="D42" t="str">
            <v>0/1</v>
          </cell>
        </row>
        <row r="43">
          <cell r="B43" t="str">
            <v>── CONCERNS TO RESOLVE (0 = not mentioned / 1 = mentioned) ──</v>
          </cell>
        </row>
        <row r="44">
          <cell r="B44" t="str">
            <v>Guidance</v>
          </cell>
          <cell r="C44" t="str">
            <v>1 = interviewee explicitly mentioned this as valuable or relevant. 0 = not mentioned or actively dismissed.</v>
          </cell>
        </row>
        <row r="45">
          <cell r="B45" t="str">
            <v>SC1_DATASENS</v>
          </cell>
          <cell r="C45" t="str">
            <v>Data Sensitivity</v>
          </cell>
          <cell r="D45" t="str">
            <v>0/1</v>
          </cell>
        </row>
        <row r="46">
          <cell r="B46" t="str">
            <v>SC2_COMPLIANCE</v>
          </cell>
          <cell r="C46" t="str">
            <v>Compliance</v>
          </cell>
          <cell r="D46" t="str">
            <v>0/1</v>
          </cell>
        </row>
        <row r="47">
          <cell r="B47" t="str">
            <v>SC3_TRUST</v>
          </cell>
          <cell r="C47" t="str">
            <v>Trust Issues</v>
          </cell>
          <cell r="D47" t="str">
            <v>0/1</v>
          </cell>
        </row>
        <row r="48">
          <cell r="B48" t="str">
            <v>SC4_DATAPROC</v>
          </cell>
          <cell r="C48" t="str">
            <v>Data Processing</v>
          </cell>
          <cell r="D48" t="str">
            <v>0/1</v>
          </cell>
        </row>
        <row r="49">
          <cell r="B49" t="str">
            <v>── CRITICAL TOOL FEATURES (0 = not mentioned / 1 = mentioned) ──</v>
          </cell>
        </row>
        <row r="50">
          <cell r="B50" t="str">
            <v>Guidance</v>
          </cell>
          <cell r="C50" t="str">
            <v>1 = interviewee explicitly mentioned this as valuable or relevant. 0 = not mentioned or actively dismissed.</v>
          </cell>
        </row>
        <row r="51">
          <cell r="B51" t="str">
            <v>SF1_REALTIME</v>
          </cell>
          <cell r="C51" t="str">
            <v>Dynamic, real-time data exchange</v>
          </cell>
          <cell r="D51" t="str">
            <v>0/1</v>
          </cell>
        </row>
        <row r="52">
          <cell r="B52" t="str">
            <v>↳ QUOTE</v>
          </cell>
          <cell r="C52" t="str">
            <v>[Paste verbatim quote from transcript supporting Critical Tool Features scoring]</v>
          </cell>
        </row>
        <row r="53">
          <cell r="B53" t="str">
            <v>SF2_ACCESS</v>
          </cell>
          <cell r="C53" t="str">
            <v>Equal access to shared datasets</v>
          </cell>
          <cell r="D53" t="str">
            <v>0/1</v>
          </cell>
        </row>
        <row r="54">
          <cell r="B54" t="str">
            <v>SF3_UX</v>
          </cell>
          <cell r="C54" t="str">
            <v>Simple UX/UI</v>
          </cell>
          <cell r="D54" t="str">
            <v>0/1</v>
          </cell>
        </row>
        <row r="55">
          <cell r="B55" t="str">
            <v>SF4_DECISION</v>
          </cell>
          <cell r="C55" t="str">
            <v>Allows joint decision making</v>
          </cell>
        </row>
        <row r="56">
          <cell r="B56" t="str">
            <v>SF5_MASKING</v>
          </cell>
          <cell r="C56" t="str">
            <v>Clear masking rules by supplier/user</v>
          </cell>
        </row>
        <row r="57">
          <cell r="B57" t="str">
            <v>── PREFERRED DATASETS (0 = not mentioned / 1 = mentioned) ──</v>
          </cell>
        </row>
        <row r="58">
          <cell r="B58" t="str">
            <v>Guidance</v>
          </cell>
          <cell r="C58" t="str">
            <v>1 = interviewee explicitly mentioned this as valuable or relevant. 0 = not mentioned or actively dismissed.</v>
          </cell>
        </row>
        <row r="59">
          <cell r="B59" t="str">
            <v>SD1_TRENDS</v>
          </cell>
          <cell r="C59" t="str">
            <v>Global trends and insights</v>
          </cell>
          <cell r="D59" t="str">
            <v>0/1</v>
          </cell>
        </row>
        <row r="60">
          <cell r="B60" t="str">
            <v>SD2_MARKET</v>
          </cell>
          <cell r="C60" t="str">
            <v>Market research</v>
          </cell>
          <cell r="D60" t="str">
            <v>0/1</v>
          </cell>
        </row>
        <row r="61">
          <cell r="B61" t="str">
            <v>SD3_CATEGORY</v>
          </cell>
          <cell r="C61" t="str">
            <v>Category performance</v>
          </cell>
          <cell r="D61" t="str">
            <v>0/1</v>
          </cell>
        </row>
        <row r="62">
          <cell r="B62" t="str">
            <v>SD4_SHIPMENT</v>
          </cell>
          <cell r="C62" t="str">
            <v>Shipment schedules</v>
          </cell>
          <cell r="D62" t="str">
            <v>0/1</v>
          </cell>
        </row>
        <row r="63">
          <cell r="B63" t="str">
            <v>SD5_LEAD</v>
          </cell>
          <cell r="C63" t="str">
            <v>Lead times</v>
          </cell>
          <cell r="D63" t="str">
            <v>0/1</v>
          </cell>
        </row>
        <row r="64">
          <cell r="B64" t="str">
            <v>SD6_CONJOINT</v>
          </cell>
          <cell r="C64" t="str">
            <v>Conjoint names</v>
          </cell>
          <cell r="D64" t="str">
            <v>0/1</v>
          </cell>
        </row>
        <row r="65">
          <cell r="B65" t="str">
            <v>Guidance</v>
          </cell>
          <cell r="C65" t="str">
            <v>1 = interviewee explicitly mentioned this as valuable or relevant. 0 = not mentioned or actively dismissed.</v>
          </cell>
        </row>
        <row r="67">
          <cell r="B67" t="str">
            <v>📌 NOTE</v>
          </cell>
          <cell r="C67" t="str">
            <v>Red cells = score needed (new questions with no old data to migrate from). If a transcript note at the top overrides coding guidance, it takes priority.</v>
          </cell>
        </row>
      </sheetData>
      <sheetData sheetId="21">
        <row r="1">
          <cell r="B1" t="str">
            <v>Company 18 — Interview 1</v>
          </cell>
        </row>
        <row r="2">
          <cell r="B2" t="str">
            <v>Interviewee Details</v>
          </cell>
          <cell r="C2" t="str">
            <v>Response</v>
          </cell>
          <cell r="D2" t="str">
            <v>Coding</v>
          </cell>
        </row>
        <row r="3">
          <cell r="B3" t="str">
            <v>Interviewee Name</v>
          </cell>
        </row>
        <row r="4">
          <cell r="B4" t="str">
            <v>Interviewee Position</v>
          </cell>
        </row>
        <row r="5">
          <cell r="B5" t="str">
            <v>Company (Real)</v>
          </cell>
        </row>
        <row r="6">
          <cell r="B6" t="str">
            <v>Company (Disguised)</v>
          </cell>
        </row>
        <row r="7">
          <cell r="B7" t="str">
            <v>Interview Date</v>
          </cell>
        </row>
        <row r="8">
          <cell r="B8" t="str">
            <v>Interviewer</v>
          </cell>
        </row>
        <row r="9">
          <cell r="B9" t="str">
            <v>Interviewer Support</v>
          </cell>
        </row>
        <row r="10">
          <cell r="B10" t="str">
            <v>Company Industry</v>
          </cell>
        </row>
        <row r="11">
          <cell r="B11" t="str">
            <v>Company Sub-Industry</v>
          </cell>
        </row>
        <row r="12">
          <cell r="B12" t="str">
            <v>Company Size (Turnover)</v>
          </cell>
        </row>
        <row r="13">
          <cell r="B13" t="str">
            <v>Country</v>
          </cell>
        </row>
        <row r="15">
          <cell r="B15" t="str">
            <v>Question ID</v>
          </cell>
          <cell r="C15" t="str">
            <v>Question</v>
          </cell>
        </row>
        <row r="16">
          <cell r="B16" t="str">
            <v>── BASELINE BLOCK ──</v>
          </cell>
        </row>
        <row r="17">
          <cell r="B17" t="str">
            <v>B1_INTEREST</v>
          </cell>
          <cell r="C17" t="str">
            <v>Are you interested in data collaboration?</v>
          </cell>
          <cell r="D17" t="str">
            <v>1-10</v>
          </cell>
        </row>
        <row r="18">
          <cell r="B18" t="str">
            <v>↳ QUOTE</v>
          </cell>
          <cell r="C18" t="str">
            <v>[Paste verbatim quote from transcript that supports this score or adds context]</v>
          </cell>
        </row>
        <row r="19">
          <cell r="B19" t="str">
            <v>B2_SHARING</v>
          </cell>
          <cell r="C19" t="str">
            <v>Do you share data currently?</v>
          </cell>
          <cell r="D19" t="str">
            <v>0/1</v>
          </cell>
        </row>
        <row r="20">
          <cell r="B20" t="str">
            <v>B3_MONETIZE</v>
          </cell>
          <cell r="C20" t="str">
            <v>Do you monetize your data currently?</v>
          </cell>
          <cell r="D20" t="str">
            <v>0/1</v>
          </cell>
        </row>
        <row r="21">
          <cell r="B21" t="str">
            <v>B4_STRATEGIC</v>
          </cell>
          <cell r="C21" t="str">
            <v>Do you not share/monetize due to strategic reasons?</v>
          </cell>
          <cell r="D21" t="str">
            <v>0/1</v>
          </cell>
        </row>
        <row r="22">
          <cell r="B22" t="str">
            <v>── DATA SHARING MATURITY (1–5) ──</v>
          </cell>
        </row>
        <row r="23">
          <cell r="B23" t="str">
            <v>Question ID</v>
          </cell>
          <cell r="C23" t="str">
            <v>Question</v>
          </cell>
          <cell r="D23" t="str">
            <v>Scale</v>
          </cell>
          <cell r="E23" t="str">
            <v>SCORE</v>
          </cell>
        </row>
        <row r="24">
          <cell r="B24" t="str">
            <v>M1_AUTOMATED</v>
          </cell>
          <cell r="C24" t="str">
            <v>Is data sharing automated or manual?</v>
          </cell>
          <cell r="D24" t="str">
            <v>1–5</v>
          </cell>
        </row>
        <row r="25">
          <cell r="B25" t="str">
            <v>M2_REALTIME</v>
          </cell>
          <cell r="C25" t="str">
            <v>Is data sharing in real-time, or lagging?</v>
          </cell>
          <cell r="D25" t="str">
            <v>1–5</v>
          </cell>
        </row>
        <row r="26">
          <cell r="B26" t="str">
            <v>M3_STRATEGIC</v>
          </cell>
          <cell r="C26" t="str">
            <v>Is data sharing focused on operations or strategic planning?</v>
          </cell>
          <cell r="D26" t="str">
            <v>1–5</v>
          </cell>
        </row>
        <row r="27">
          <cell r="B27" t="str">
            <v>M4_BREADTH</v>
          </cell>
          <cell r="C27" t="str">
            <v>Is data sharing available to all clients, or based on strategic importance?</v>
          </cell>
          <cell r="D27" t="str">
            <v>1–5</v>
          </cell>
        </row>
        <row r="28">
          <cell r="B28" t="str">
            <v>M5_DATATYPES</v>
          </cell>
          <cell r="C28" t="str">
            <v>Breadth of data exchanged</v>
          </cell>
          <cell r="D28" t="str">
            <v>1–5</v>
          </cell>
        </row>
        <row r="29">
          <cell r="B29" t="str">
            <v>M6_TRUST</v>
          </cell>
          <cell r="C29" t="str">
            <v>Trust in received data</v>
          </cell>
          <cell r="D29" t="str">
            <v>1–5</v>
          </cell>
        </row>
        <row r="30">
          <cell r="B30" t="str">
            <v>M7_BARRIERS</v>
          </cell>
          <cell r="C30" t="str">
            <v>Readiness / barriers to collaborate</v>
          </cell>
          <cell r="D30" t="str">
            <v>1–5</v>
          </cell>
        </row>
        <row r="31">
          <cell r="B31" t="str">
            <v>M8_IMPACT</v>
          </cell>
          <cell r="C31" t="str">
            <v>Operational impact of data gaps</v>
          </cell>
          <cell r="D31" t="str">
            <v>1–5</v>
          </cell>
        </row>
        <row r="32">
          <cell r="B32" t="str">
            <v>M9_WILLINGNESS</v>
          </cell>
          <cell r="C32" t="str">
            <v>Willingness to collaborate overall</v>
          </cell>
          <cell r="D32" t="str">
            <v>1-10</v>
          </cell>
        </row>
        <row r="33">
          <cell r="B33" t="str">
            <v>── VALUE UNLOCK AREAS (0 = not mentioned / 1 = mentioned) ──</v>
          </cell>
        </row>
        <row r="34">
          <cell r="B34" t="str">
            <v>Guidance</v>
          </cell>
          <cell r="C34" t="str">
            <v>1 = interviewee explicitly mentioned this as valuable or relevant. 0 = not mentioned or actively dismissed.</v>
          </cell>
        </row>
        <row r="35">
          <cell r="B35" t="str">
            <v>SV1_PRICING</v>
          </cell>
          <cell r="C35" t="str">
            <v>Pricing</v>
          </cell>
          <cell r="D35" t="str">
            <v>0/1</v>
          </cell>
        </row>
        <row r="36">
          <cell r="B36" t="str">
            <v>↳ QUOTE</v>
          </cell>
          <cell r="C36" t="str">
            <v>[Paste verbatim quote from transcript supporting Value Unlock Areas scoring]</v>
          </cell>
        </row>
        <row r="37">
          <cell r="B37" t="str">
            <v>SV2_PROMOTIONS</v>
          </cell>
          <cell r="C37" t="str">
            <v>Promotions</v>
          </cell>
          <cell r="D37" t="str">
            <v>0/1</v>
          </cell>
        </row>
        <row r="38">
          <cell r="B38" t="str">
            <v>SV3_SUPPLYCHAIN</v>
          </cell>
          <cell r="C38" t="str">
            <v>Supply Chain Management</v>
          </cell>
          <cell r="D38" t="str">
            <v>0/1</v>
          </cell>
        </row>
        <row r="39">
          <cell r="B39" t="str">
            <v>SV4_CATEGORY</v>
          </cell>
          <cell r="C39" t="str">
            <v>Category Planning</v>
          </cell>
          <cell r="D39" t="str">
            <v>0/1</v>
          </cell>
        </row>
        <row r="40">
          <cell r="B40" t="str">
            <v>SV5_DEMAND</v>
          </cell>
          <cell r="C40" t="str">
            <v>Demand Forecasting</v>
          </cell>
          <cell r="D40" t="str">
            <v>0/1</v>
          </cell>
        </row>
        <row r="41">
          <cell r="B41" t="str">
            <v>SV6_ACCOUNT</v>
          </cell>
          <cell r="C41" t="str">
            <v>Accountability</v>
          </cell>
          <cell r="D41" t="str">
            <v>0/1</v>
          </cell>
        </row>
        <row r="42">
          <cell r="B42" t="str">
            <v>SV7_OPS</v>
          </cell>
          <cell r="C42" t="str">
            <v>Operationalization &amp; Workflows</v>
          </cell>
          <cell r="D42" t="str">
            <v>0/1</v>
          </cell>
        </row>
        <row r="43">
          <cell r="B43" t="str">
            <v>── CONCERNS TO RESOLVE (0 = not mentioned / 1 = mentioned) ──</v>
          </cell>
        </row>
        <row r="44">
          <cell r="B44" t="str">
            <v>Guidance</v>
          </cell>
          <cell r="C44" t="str">
            <v>1 = interviewee explicitly mentioned this as valuable or relevant. 0 = not mentioned or actively dismissed.</v>
          </cell>
        </row>
        <row r="45">
          <cell r="B45" t="str">
            <v>SC1_DATASENS</v>
          </cell>
          <cell r="C45" t="str">
            <v>Data Sensitivity</v>
          </cell>
          <cell r="D45" t="str">
            <v>0/1</v>
          </cell>
        </row>
        <row r="46">
          <cell r="B46" t="str">
            <v>SC2_COMPLIANCE</v>
          </cell>
          <cell r="C46" t="str">
            <v>Compliance</v>
          </cell>
          <cell r="D46" t="str">
            <v>0/1</v>
          </cell>
        </row>
        <row r="47">
          <cell r="B47" t="str">
            <v>SC3_TRUST</v>
          </cell>
          <cell r="C47" t="str">
            <v>Trust Issues</v>
          </cell>
          <cell r="D47" t="str">
            <v>0/1</v>
          </cell>
        </row>
        <row r="48">
          <cell r="B48" t="str">
            <v>SC4_DATAPROC</v>
          </cell>
          <cell r="C48" t="str">
            <v>Data Processing</v>
          </cell>
          <cell r="D48" t="str">
            <v>0/1</v>
          </cell>
        </row>
        <row r="49">
          <cell r="B49" t="str">
            <v>── CRITICAL TOOL FEATURES (0 = not mentioned / 1 = mentioned) ──</v>
          </cell>
        </row>
        <row r="50">
          <cell r="B50" t="str">
            <v>Guidance</v>
          </cell>
          <cell r="C50" t="str">
            <v>1 = interviewee explicitly mentioned this as valuable or relevant. 0 = not mentioned or actively dismissed.</v>
          </cell>
        </row>
        <row r="51">
          <cell r="B51" t="str">
            <v>SF1_REALTIME</v>
          </cell>
          <cell r="C51" t="str">
            <v>Dynamic, real-time data exchange</v>
          </cell>
          <cell r="D51" t="str">
            <v>0/1</v>
          </cell>
        </row>
        <row r="52">
          <cell r="B52" t="str">
            <v>↳ QUOTE</v>
          </cell>
          <cell r="C52" t="str">
            <v>[Paste verbatim quote from transcript supporting Critical Tool Features scoring]</v>
          </cell>
        </row>
        <row r="53">
          <cell r="B53" t="str">
            <v>SF2_ACCESS</v>
          </cell>
          <cell r="C53" t="str">
            <v>Equal access to shared datasets</v>
          </cell>
          <cell r="D53" t="str">
            <v>0/1</v>
          </cell>
        </row>
        <row r="54">
          <cell r="B54" t="str">
            <v>SF3_UX</v>
          </cell>
          <cell r="C54" t="str">
            <v>Simple UX/UI</v>
          </cell>
          <cell r="D54" t="str">
            <v>0/1</v>
          </cell>
        </row>
        <row r="55">
          <cell r="B55" t="str">
            <v>SF4_DECISION</v>
          </cell>
          <cell r="C55" t="str">
            <v>Allows joint decision making</v>
          </cell>
        </row>
        <row r="56">
          <cell r="B56" t="str">
            <v>SF5_MASKING</v>
          </cell>
          <cell r="C56" t="str">
            <v>Clear masking rules by supplier/user</v>
          </cell>
        </row>
        <row r="57">
          <cell r="B57" t="str">
            <v>── PREFERRED DATASETS (0 = not mentioned / 1 = mentioned) ──</v>
          </cell>
        </row>
        <row r="58">
          <cell r="B58" t="str">
            <v>Guidance</v>
          </cell>
          <cell r="C58" t="str">
            <v>1 = interviewee explicitly mentioned this as valuable or relevant. 0 = not mentioned or actively dismissed.</v>
          </cell>
        </row>
        <row r="59">
          <cell r="B59" t="str">
            <v>SD1_TRENDS</v>
          </cell>
          <cell r="C59" t="str">
            <v>Global trends and insights</v>
          </cell>
          <cell r="D59" t="str">
            <v>0/1</v>
          </cell>
        </row>
        <row r="60">
          <cell r="B60" t="str">
            <v>SD2_MARKET</v>
          </cell>
          <cell r="C60" t="str">
            <v>Market research</v>
          </cell>
          <cell r="D60" t="str">
            <v>0/1</v>
          </cell>
        </row>
        <row r="61">
          <cell r="B61" t="str">
            <v>SD3_CATEGORY</v>
          </cell>
          <cell r="C61" t="str">
            <v>Category performance</v>
          </cell>
          <cell r="D61" t="str">
            <v>0/1</v>
          </cell>
        </row>
        <row r="62">
          <cell r="B62" t="str">
            <v>SD4_SHIPMENT</v>
          </cell>
          <cell r="C62" t="str">
            <v>Shipment schedules</v>
          </cell>
          <cell r="D62" t="str">
            <v>0/1</v>
          </cell>
        </row>
        <row r="63">
          <cell r="B63" t="str">
            <v>SD5_LEAD</v>
          </cell>
          <cell r="C63" t="str">
            <v>Lead times</v>
          </cell>
          <cell r="D63" t="str">
            <v>0/1</v>
          </cell>
        </row>
        <row r="64">
          <cell r="B64" t="str">
            <v>SD6_CONJOINT</v>
          </cell>
          <cell r="C64" t="str">
            <v>Conjoint names</v>
          </cell>
          <cell r="D64" t="str">
            <v>0/1</v>
          </cell>
        </row>
        <row r="65">
          <cell r="B65" t="str">
            <v>Guidance</v>
          </cell>
          <cell r="C65" t="str">
            <v>1 = interviewee explicitly mentioned this as valuable or relevant. 0 = not mentioned or actively dismissed.</v>
          </cell>
        </row>
        <row r="67">
          <cell r="B67" t="str">
            <v>📌 NOTE</v>
          </cell>
          <cell r="C67" t="str">
            <v>Red cells = score needed (new questions with no old data to migrate from). If a transcript note at the top overrides coding guidance, it takes priority.</v>
          </cell>
        </row>
      </sheetData>
      <sheetData sheetId="22">
        <row r="1">
          <cell r="B1" t="str">
            <v>Company 19 — Interview 1</v>
          </cell>
        </row>
        <row r="2">
          <cell r="B2" t="str">
            <v>Interviewee Details</v>
          </cell>
          <cell r="C2" t="str">
            <v>Response</v>
          </cell>
          <cell r="D2" t="str">
            <v>Coding</v>
          </cell>
        </row>
        <row r="3">
          <cell r="B3" t="str">
            <v>Interviewee Name</v>
          </cell>
        </row>
        <row r="4">
          <cell r="B4" t="str">
            <v>Interviewee Position</v>
          </cell>
        </row>
        <row r="5">
          <cell r="B5" t="str">
            <v>Company (Real)</v>
          </cell>
        </row>
        <row r="6">
          <cell r="B6" t="str">
            <v>Company (Disguised)</v>
          </cell>
        </row>
        <row r="7">
          <cell r="B7" t="str">
            <v>Interview Date</v>
          </cell>
        </row>
        <row r="8">
          <cell r="B8" t="str">
            <v>Interviewer</v>
          </cell>
        </row>
        <row r="9">
          <cell r="B9" t="str">
            <v>Interviewer Support</v>
          </cell>
        </row>
        <row r="10">
          <cell r="B10" t="str">
            <v>Company Industry</v>
          </cell>
        </row>
        <row r="11">
          <cell r="B11" t="str">
            <v>Company Sub-Industry</v>
          </cell>
        </row>
        <row r="12">
          <cell r="B12" t="str">
            <v>Company Size (Turnover)</v>
          </cell>
        </row>
        <row r="13">
          <cell r="B13" t="str">
            <v>Country</v>
          </cell>
        </row>
        <row r="15">
          <cell r="B15" t="str">
            <v>Question ID</v>
          </cell>
          <cell r="C15" t="str">
            <v>Question</v>
          </cell>
        </row>
        <row r="16">
          <cell r="B16" t="str">
            <v>── BASELINE BLOCK ──</v>
          </cell>
        </row>
        <row r="17">
          <cell r="B17" t="str">
            <v>B1_INTEREST</v>
          </cell>
          <cell r="C17" t="str">
            <v>Are you interested in data collaboration?</v>
          </cell>
          <cell r="D17" t="str">
            <v>1-10</v>
          </cell>
        </row>
        <row r="18">
          <cell r="B18" t="str">
            <v>↳ QUOTE</v>
          </cell>
          <cell r="C18" t="str">
            <v>[Paste verbatim quote from transcript that supports this score or adds context]</v>
          </cell>
        </row>
        <row r="19">
          <cell r="B19" t="str">
            <v>B2_SHARING</v>
          </cell>
          <cell r="C19" t="str">
            <v>Do you share data currently?</v>
          </cell>
          <cell r="D19" t="str">
            <v>0/1</v>
          </cell>
        </row>
        <row r="20">
          <cell r="B20" t="str">
            <v>B3_MONETIZE</v>
          </cell>
          <cell r="C20" t="str">
            <v>Do you monetize your data currently?</v>
          </cell>
          <cell r="D20" t="str">
            <v>0/1</v>
          </cell>
        </row>
        <row r="21">
          <cell r="B21" t="str">
            <v>B4_STRATEGIC</v>
          </cell>
          <cell r="C21" t="str">
            <v>Do you not share/monetize due to strategic reasons?</v>
          </cell>
          <cell r="D21" t="str">
            <v>0/1</v>
          </cell>
        </row>
        <row r="22">
          <cell r="B22" t="str">
            <v>── DATA SHARING MATURITY (1–5) ──</v>
          </cell>
        </row>
        <row r="23">
          <cell r="B23" t="str">
            <v>Question ID</v>
          </cell>
          <cell r="C23" t="str">
            <v>Question</v>
          </cell>
          <cell r="D23" t="str">
            <v>Scale</v>
          </cell>
          <cell r="E23" t="str">
            <v>SCORE</v>
          </cell>
        </row>
        <row r="24">
          <cell r="B24" t="str">
            <v>M1_AUTOMATED</v>
          </cell>
          <cell r="C24" t="str">
            <v>Is data sharing automated or manual?</v>
          </cell>
          <cell r="D24" t="str">
            <v>1–5</v>
          </cell>
        </row>
        <row r="25">
          <cell r="B25" t="str">
            <v>M2_REALTIME</v>
          </cell>
          <cell r="C25" t="str">
            <v>Is data sharing in real-time, or lagging?</v>
          </cell>
          <cell r="D25" t="str">
            <v>1–5</v>
          </cell>
        </row>
        <row r="26">
          <cell r="B26" t="str">
            <v>M3_STRATEGIC</v>
          </cell>
          <cell r="C26" t="str">
            <v>Is data sharing focused on operations or strategic planning?</v>
          </cell>
          <cell r="D26" t="str">
            <v>1–5</v>
          </cell>
        </row>
        <row r="27">
          <cell r="B27" t="str">
            <v>M4_BREADTH</v>
          </cell>
          <cell r="C27" t="str">
            <v>Is data sharing available to all clients, or based on strategic importance?</v>
          </cell>
          <cell r="D27" t="str">
            <v>1–5</v>
          </cell>
        </row>
        <row r="28">
          <cell r="B28" t="str">
            <v>M5_DATATYPES</v>
          </cell>
          <cell r="C28" t="str">
            <v>Breadth of data exchanged</v>
          </cell>
          <cell r="D28" t="str">
            <v>1–5</v>
          </cell>
        </row>
        <row r="29">
          <cell r="B29" t="str">
            <v>M6_TRUST</v>
          </cell>
          <cell r="C29" t="str">
            <v>Trust in received data</v>
          </cell>
          <cell r="D29" t="str">
            <v>1–5</v>
          </cell>
        </row>
        <row r="30">
          <cell r="B30" t="str">
            <v>M7_BARRIERS</v>
          </cell>
          <cell r="C30" t="str">
            <v>Readiness / barriers to collaborate</v>
          </cell>
          <cell r="D30" t="str">
            <v>1–5</v>
          </cell>
        </row>
        <row r="31">
          <cell r="B31" t="str">
            <v>M8_IMPACT</v>
          </cell>
          <cell r="C31" t="str">
            <v>Operational impact of data gaps</v>
          </cell>
          <cell r="D31" t="str">
            <v>1–5</v>
          </cell>
        </row>
        <row r="32">
          <cell r="B32" t="str">
            <v>M9_WILLINGNESS</v>
          </cell>
          <cell r="C32" t="str">
            <v>Willingness to collaborate overall</v>
          </cell>
          <cell r="D32" t="str">
            <v>1-10</v>
          </cell>
        </row>
        <row r="33">
          <cell r="B33" t="str">
            <v>── VALUE UNLOCK AREAS (0 = not mentioned / 1 = mentioned) ──</v>
          </cell>
        </row>
        <row r="34">
          <cell r="B34" t="str">
            <v>Guidance</v>
          </cell>
          <cell r="C34" t="str">
            <v>1 = interviewee explicitly mentioned this as valuable or relevant. 0 = not mentioned or actively dismissed.</v>
          </cell>
        </row>
        <row r="35">
          <cell r="B35" t="str">
            <v>SV1_PRICING</v>
          </cell>
          <cell r="C35" t="str">
            <v>Pricing</v>
          </cell>
          <cell r="D35" t="str">
            <v>0/1</v>
          </cell>
        </row>
        <row r="36">
          <cell r="B36" t="str">
            <v>↳ QUOTE</v>
          </cell>
          <cell r="C36" t="str">
            <v>[Paste verbatim quote from transcript supporting Value Unlock Areas scoring]</v>
          </cell>
        </row>
        <row r="37">
          <cell r="B37" t="str">
            <v>SV2_PROMOTIONS</v>
          </cell>
          <cell r="C37" t="str">
            <v>Promotions</v>
          </cell>
          <cell r="D37" t="str">
            <v>0/1</v>
          </cell>
        </row>
        <row r="38">
          <cell r="B38" t="str">
            <v>SV3_SUPPLYCHAIN</v>
          </cell>
          <cell r="C38" t="str">
            <v>Supply Chain Management</v>
          </cell>
          <cell r="D38" t="str">
            <v>0/1</v>
          </cell>
        </row>
        <row r="39">
          <cell r="B39" t="str">
            <v>SV4_CATEGORY</v>
          </cell>
          <cell r="C39" t="str">
            <v>Category Planning</v>
          </cell>
          <cell r="D39" t="str">
            <v>0/1</v>
          </cell>
        </row>
        <row r="40">
          <cell r="B40" t="str">
            <v>SV5_DEMAND</v>
          </cell>
          <cell r="C40" t="str">
            <v>Demand Forecasting</v>
          </cell>
          <cell r="D40" t="str">
            <v>0/1</v>
          </cell>
        </row>
        <row r="41">
          <cell r="B41" t="str">
            <v>SV6_ACCOUNT</v>
          </cell>
          <cell r="C41" t="str">
            <v>Accountability</v>
          </cell>
          <cell r="D41" t="str">
            <v>0/1</v>
          </cell>
        </row>
        <row r="42">
          <cell r="B42" t="str">
            <v>SV7_OPS</v>
          </cell>
          <cell r="C42" t="str">
            <v>Operationalization &amp; Workflows</v>
          </cell>
          <cell r="D42" t="str">
            <v>0/1</v>
          </cell>
        </row>
        <row r="43">
          <cell r="B43" t="str">
            <v>── CONCERNS TO RESOLVE (0 = not mentioned / 1 = mentioned) ──</v>
          </cell>
        </row>
        <row r="44">
          <cell r="B44" t="str">
            <v>Guidance</v>
          </cell>
          <cell r="C44" t="str">
            <v>1 = interviewee explicitly mentioned this as valuable or relevant. 0 = not mentioned or actively dismissed.</v>
          </cell>
        </row>
        <row r="45">
          <cell r="B45" t="str">
            <v>SC1_DATASENS</v>
          </cell>
          <cell r="C45" t="str">
            <v>Data Sensitivity</v>
          </cell>
          <cell r="D45" t="str">
            <v>0/1</v>
          </cell>
        </row>
        <row r="46">
          <cell r="B46" t="str">
            <v>SC2_COMPLIANCE</v>
          </cell>
          <cell r="C46" t="str">
            <v>Compliance</v>
          </cell>
          <cell r="D46" t="str">
            <v>0/1</v>
          </cell>
        </row>
        <row r="47">
          <cell r="B47" t="str">
            <v>SC3_TRUST</v>
          </cell>
          <cell r="C47" t="str">
            <v>Trust Issues</v>
          </cell>
          <cell r="D47" t="str">
            <v>0/1</v>
          </cell>
        </row>
        <row r="48">
          <cell r="B48" t="str">
            <v>SC4_DATAPROC</v>
          </cell>
          <cell r="C48" t="str">
            <v>Data Processing</v>
          </cell>
          <cell r="D48" t="str">
            <v>0/1</v>
          </cell>
        </row>
        <row r="49">
          <cell r="B49" t="str">
            <v>── CRITICAL TOOL FEATURES (0 = not mentioned / 1 = mentioned) ──</v>
          </cell>
        </row>
        <row r="50">
          <cell r="B50" t="str">
            <v>Guidance</v>
          </cell>
          <cell r="C50" t="str">
            <v>1 = interviewee explicitly mentioned this as valuable or relevant. 0 = not mentioned or actively dismissed.</v>
          </cell>
        </row>
        <row r="51">
          <cell r="B51" t="str">
            <v>SF1_REALTIME</v>
          </cell>
          <cell r="C51" t="str">
            <v>Dynamic, real-time data exchange</v>
          </cell>
          <cell r="D51" t="str">
            <v>0/1</v>
          </cell>
        </row>
        <row r="52">
          <cell r="B52" t="str">
            <v>↳ QUOTE</v>
          </cell>
          <cell r="C52" t="str">
            <v>[Paste verbatim quote from transcript supporting Critical Tool Features scoring]</v>
          </cell>
        </row>
        <row r="53">
          <cell r="B53" t="str">
            <v>SF2_ACCESS</v>
          </cell>
          <cell r="C53" t="str">
            <v>Equal access to shared datasets</v>
          </cell>
          <cell r="D53" t="str">
            <v>0/1</v>
          </cell>
        </row>
        <row r="54">
          <cell r="B54" t="str">
            <v>SF3_UX</v>
          </cell>
          <cell r="C54" t="str">
            <v>Simple UX/UI</v>
          </cell>
          <cell r="D54" t="str">
            <v>0/1</v>
          </cell>
        </row>
        <row r="55">
          <cell r="B55" t="str">
            <v>SF4_DECISION</v>
          </cell>
          <cell r="C55" t="str">
            <v>Allows joint decision making</v>
          </cell>
        </row>
        <row r="56">
          <cell r="B56" t="str">
            <v>SF5_MASKING</v>
          </cell>
          <cell r="C56" t="str">
            <v>Clear masking rules by supplier/user</v>
          </cell>
        </row>
        <row r="57">
          <cell r="B57" t="str">
            <v>── PREFERRED DATASETS (0 = not mentioned / 1 = mentioned) ──</v>
          </cell>
        </row>
        <row r="58">
          <cell r="B58" t="str">
            <v>Guidance</v>
          </cell>
          <cell r="C58" t="str">
            <v>1 = interviewee explicitly mentioned this as valuable or relevant. 0 = not mentioned or actively dismissed.</v>
          </cell>
        </row>
        <row r="59">
          <cell r="B59" t="str">
            <v>SD1_TRENDS</v>
          </cell>
          <cell r="C59" t="str">
            <v>Global trends and insights</v>
          </cell>
          <cell r="D59" t="str">
            <v>0/1</v>
          </cell>
        </row>
        <row r="60">
          <cell r="B60" t="str">
            <v>SD2_MARKET</v>
          </cell>
          <cell r="C60" t="str">
            <v>Market research</v>
          </cell>
          <cell r="D60" t="str">
            <v>0/1</v>
          </cell>
        </row>
        <row r="61">
          <cell r="B61" t="str">
            <v>SD3_CATEGORY</v>
          </cell>
          <cell r="C61" t="str">
            <v>Category performance</v>
          </cell>
          <cell r="D61" t="str">
            <v>0/1</v>
          </cell>
        </row>
        <row r="62">
          <cell r="B62" t="str">
            <v>SD4_SHIPMENT</v>
          </cell>
          <cell r="C62" t="str">
            <v>Shipment schedules</v>
          </cell>
          <cell r="D62" t="str">
            <v>0/1</v>
          </cell>
        </row>
        <row r="63">
          <cell r="B63" t="str">
            <v>SD5_LEAD</v>
          </cell>
          <cell r="C63" t="str">
            <v>Lead times</v>
          </cell>
          <cell r="D63" t="str">
            <v>0/1</v>
          </cell>
        </row>
        <row r="64">
          <cell r="B64" t="str">
            <v>SD6_CONJOINT</v>
          </cell>
          <cell r="C64" t="str">
            <v>Conjoint names</v>
          </cell>
          <cell r="D64" t="str">
            <v>0/1</v>
          </cell>
        </row>
        <row r="65">
          <cell r="B65" t="str">
            <v>Guidance</v>
          </cell>
          <cell r="C65" t="str">
            <v>1 = interviewee explicitly mentioned this as valuable or relevant. 0 = not mentioned or actively dismissed.</v>
          </cell>
        </row>
        <row r="67">
          <cell r="B67" t="str">
            <v>📌 NOTE</v>
          </cell>
          <cell r="C67" t="str">
            <v>Red cells = score needed (new questions with no old data to migrate from). If a transcript note at the top overrides coding guidance, it takes priority.</v>
          </cell>
        </row>
      </sheetData>
      <sheetData sheetId="23">
        <row r="1">
          <cell r="B1" t="str">
            <v>Company 20 — Interview 1</v>
          </cell>
        </row>
        <row r="2">
          <cell r="B2" t="str">
            <v>Interviewee Details</v>
          </cell>
          <cell r="C2" t="str">
            <v>Response</v>
          </cell>
          <cell r="D2" t="str">
            <v>Coding</v>
          </cell>
        </row>
        <row r="3">
          <cell r="B3" t="str">
            <v>Interviewee Name</v>
          </cell>
        </row>
        <row r="4">
          <cell r="B4" t="str">
            <v>Interviewee Position</v>
          </cell>
        </row>
        <row r="5">
          <cell r="B5" t="str">
            <v>Company (Real)</v>
          </cell>
        </row>
        <row r="6">
          <cell r="B6" t="str">
            <v>Company (Disguised)</v>
          </cell>
        </row>
        <row r="7">
          <cell r="B7" t="str">
            <v>Interview Date</v>
          </cell>
        </row>
        <row r="8">
          <cell r="B8" t="str">
            <v>Interviewer</v>
          </cell>
        </row>
        <row r="9">
          <cell r="B9" t="str">
            <v>Interviewer Support</v>
          </cell>
        </row>
        <row r="10">
          <cell r="B10" t="str">
            <v>Company Industry</v>
          </cell>
        </row>
        <row r="11">
          <cell r="B11" t="str">
            <v>Company Sub-Industry</v>
          </cell>
        </row>
        <row r="12">
          <cell r="B12" t="str">
            <v>Company Size (Turnover)</v>
          </cell>
        </row>
        <row r="13">
          <cell r="B13" t="str">
            <v>Country</v>
          </cell>
        </row>
        <row r="15">
          <cell r="B15" t="str">
            <v>Question ID</v>
          </cell>
          <cell r="C15" t="str">
            <v>Question</v>
          </cell>
        </row>
        <row r="16">
          <cell r="B16" t="str">
            <v>── BASELINE BLOCK ──</v>
          </cell>
        </row>
        <row r="17">
          <cell r="B17" t="str">
            <v>B1_INTEREST</v>
          </cell>
          <cell r="C17" t="str">
            <v>Are you interested in data collaboration?</v>
          </cell>
          <cell r="D17" t="str">
            <v>1-10</v>
          </cell>
        </row>
        <row r="18">
          <cell r="B18" t="str">
            <v>↳ QUOTE</v>
          </cell>
          <cell r="C18" t="str">
            <v>[Paste verbatim quote from transcript that supports this score or adds context]</v>
          </cell>
        </row>
        <row r="19">
          <cell r="B19" t="str">
            <v>B2_SHARING</v>
          </cell>
          <cell r="C19" t="str">
            <v>Do you share data currently?</v>
          </cell>
          <cell r="D19" t="str">
            <v>0/1</v>
          </cell>
        </row>
        <row r="20">
          <cell r="B20" t="str">
            <v>B3_MONETIZE</v>
          </cell>
          <cell r="C20" t="str">
            <v>Do you monetize your data currently?</v>
          </cell>
          <cell r="D20" t="str">
            <v>0/1</v>
          </cell>
        </row>
        <row r="21">
          <cell r="B21" t="str">
            <v>B4_STRATEGIC</v>
          </cell>
          <cell r="C21" t="str">
            <v>Do you not share/monetize due to strategic reasons?</v>
          </cell>
          <cell r="D21" t="str">
            <v>0/1</v>
          </cell>
        </row>
        <row r="22">
          <cell r="B22" t="str">
            <v>── DATA SHARING MATURITY (1–5) ──</v>
          </cell>
        </row>
        <row r="23">
          <cell r="B23" t="str">
            <v>Question ID</v>
          </cell>
          <cell r="C23" t="str">
            <v>Question</v>
          </cell>
          <cell r="D23" t="str">
            <v>Scale</v>
          </cell>
          <cell r="E23" t="str">
            <v>SCORE</v>
          </cell>
        </row>
        <row r="24">
          <cell r="B24" t="str">
            <v>M1_AUTOMATED</v>
          </cell>
          <cell r="C24" t="str">
            <v>Is data sharing automated or manual?</v>
          </cell>
          <cell r="D24" t="str">
            <v>1–5</v>
          </cell>
        </row>
        <row r="25">
          <cell r="B25" t="str">
            <v>M2_REALTIME</v>
          </cell>
          <cell r="C25" t="str">
            <v>Is data sharing in real-time, or lagging?</v>
          </cell>
          <cell r="D25" t="str">
            <v>1–5</v>
          </cell>
        </row>
        <row r="26">
          <cell r="B26" t="str">
            <v>M3_STRATEGIC</v>
          </cell>
          <cell r="C26" t="str">
            <v>Is data sharing focused on operations or strategic planning?</v>
          </cell>
          <cell r="D26" t="str">
            <v>1–5</v>
          </cell>
        </row>
        <row r="27">
          <cell r="B27" t="str">
            <v>M4_BREADTH</v>
          </cell>
          <cell r="C27" t="str">
            <v>Is data sharing available to all clients, or based on strategic importance?</v>
          </cell>
          <cell r="D27" t="str">
            <v>1–5</v>
          </cell>
        </row>
        <row r="28">
          <cell r="B28" t="str">
            <v>M5_DATATYPES</v>
          </cell>
          <cell r="C28" t="str">
            <v>Breadth of data exchanged</v>
          </cell>
          <cell r="D28" t="str">
            <v>1–5</v>
          </cell>
        </row>
        <row r="29">
          <cell r="B29" t="str">
            <v>M6_TRUST</v>
          </cell>
          <cell r="C29" t="str">
            <v>Trust in received data</v>
          </cell>
          <cell r="D29" t="str">
            <v>1–5</v>
          </cell>
        </row>
        <row r="30">
          <cell r="B30" t="str">
            <v>M7_BARRIERS</v>
          </cell>
          <cell r="C30" t="str">
            <v>Readiness / barriers to collaborate</v>
          </cell>
          <cell r="D30" t="str">
            <v>1–5</v>
          </cell>
        </row>
        <row r="31">
          <cell r="B31" t="str">
            <v>M8_IMPACT</v>
          </cell>
          <cell r="C31" t="str">
            <v>Operational impact of data gaps</v>
          </cell>
          <cell r="D31" t="str">
            <v>1–5</v>
          </cell>
        </row>
        <row r="32">
          <cell r="B32" t="str">
            <v>M9_WILLINGNESS</v>
          </cell>
          <cell r="C32" t="str">
            <v>Willingness to collaborate overall</v>
          </cell>
          <cell r="D32" t="str">
            <v>1-10</v>
          </cell>
        </row>
        <row r="33">
          <cell r="B33" t="str">
            <v>── VALUE UNLOCK AREAS (0 = not mentioned / 1 = mentioned) ──</v>
          </cell>
        </row>
        <row r="34">
          <cell r="B34" t="str">
            <v>Guidance</v>
          </cell>
          <cell r="C34" t="str">
            <v>1 = interviewee explicitly mentioned this as valuable or relevant. 0 = not mentioned or actively dismissed.</v>
          </cell>
        </row>
        <row r="35">
          <cell r="B35" t="str">
            <v>SV1_PRICING</v>
          </cell>
          <cell r="C35" t="str">
            <v>Pricing</v>
          </cell>
          <cell r="D35" t="str">
            <v>0/1</v>
          </cell>
        </row>
        <row r="36">
          <cell r="B36" t="str">
            <v>↳ QUOTE</v>
          </cell>
          <cell r="C36" t="str">
            <v>[Paste verbatim quote from transcript supporting Value Unlock Areas scoring]</v>
          </cell>
        </row>
        <row r="37">
          <cell r="B37" t="str">
            <v>SV2_PROMOTIONS</v>
          </cell>
          <cell r="C37" t="str">
            <v>Promotions</v>
          </cell>
          <cell r="D37" t="str">
            <v>0/1</v>
          </cell>
        </row>
        <row r="38">
          <cell r="B38" t="str">
            <v>SV3_SUPPLYCHAIN</v>
          </cell>
          <cell r="C38" t="str">
            <v>Supply Chain Management</v>
          </cell>
          <cell r="D38" t="str">
            <v>0/1</v>
          </cell>
        </row>
        <row r="39">
          <cell r="B39" t="str">
            <v>SV4_CATEGORY</v>
          </cell>
          <cell r="C39" t="str">
            <v>Category Planning</v>
          </cell>
          <cell r="D39" t="str">
            <v>0/1</v>
          </cell>
        </row>
        <row r="40">
          <cell r="B40" t="str">
            <v>SV5_DEMAND</v>
          </cell>
          <cell r="C40" t="str">
            <v>Demand Forecasting</v>
          </cell>
          <cell r="D40" t="str">
            <v>0/1</v>
          </cell>
        </row>
        <row r="41">
          <cell r="B41" t="str">
            <v>SV6_ACCOUNT</v>
          </cell>
          <cell r="C41" t="str">
            <v>Accountability</v>
          </cell>
          <cell r="D41" t="str">
            <v>0/1</v>
          </cell>
        </row>
        <row r="42">
          <cell r="B42" t="str">
            <v>SV7_OPS</v>
          </cell>
          <cell r="C42" t="str">
            <v>Operationalization &amp; Workflows</v>
          </cell>
          <cell r="D42" t="str">
            <v>0/1</v>
          </cell>
        </row>
        <row r="43">
          <cell r="B43" t="str">
            <v>── CONCERNS TO RESOLVE (0 = not mentioned / 1 = mentioned) ──</v>
          </cell>
        </row>
        <row r="44">
          <cell r="B44" t="str">
            <v>Guidance</v>
          </cell>
          <cell r="C44" t="str">
            <v>1 = interviewee explicitly mentioned this as valuable or relevant. 0 = not mentioned or actively dismissed.</v>
          </cell>
        </row>
        <row r="45">
          <cell r="B45" t="str">
            <v>SC1_DATASENS</v>
          </cell>
          <cell r="C45" t="str">
            <v>Data Sensitivity</v>
          </cell>
          <cell r="D45" t="str">
            <v>0/1</v>
          </cell>
        </row>
        <row r="46">
          <cell r="B46" t="str">
            <v>SC2_COMPLIANCE</v>
          </cell>
          <cell r="C46" t="str">
            <v>Compliance</v>
          </cell>
          <cell r="D46" t="str">
            <v>0/1</v>
          </cell>
        </row>
        <row r="47">
          <cell r="B47" t="str">
            <v>SC3_TRUST</v>
          </cell>
          <cell r="C47" t="str">
            <v>Trust Issues</v>
          </cell>
          <cell r="D47" t="str">
            <v>0/1</v>
          </cell>
        </row>
        <row r="48">
          <cell r="B48" t="str">
            <v>SC4_DATAPROC</v>
          </cell>
          <cell r="C48" t="str">
            <v>Data Processing</v>
          </cell>
          <cell r="D48" t="str">
            <v>0/1</v>
          </cell>
        </row>
        <row r="49">
          <cell r="B49" t="str">
            <v>── CRITICAL TOOL FEATURES (0 = not mentioned / 1 = mentioned) ──</v>
          </cell>
        </row>
        <row r="50">
          <cell r="B50" t="str">
            <v>Guidance</v>
          </cell>
          <cell r="C50" t="str">
            <v>1 = interviewee explicitly mentioned this as valuable or relevant. 0 = not mentioned or actively dismissed.</v>
          </cell>
        </row>
        <row r="51">
          <cell r="B51" t="str">
            <v>SF1_REALTIME</v>
          </cell>
          <cell r="C51" t="str">
            <v>Dynamic, real-time data exchange</v>
          </cell>
          <cell r="D51" t="str">
            <v>0/1</v>
          </cell>
        </row>
        <row r="52">
          <cell r="B52" t="str">
            <v>↳ QUOTE</v>
          </cell>
          <cell r="C52" t="str">
            <v>[Paste verbatim quote from transcript supporting Critical Tool Features scoring]</v>
          </cell>
        </row>
        <row r="53">
          <cell r="B53" t="str">
            <v>SF2_ACCESS</v>
          </cell>
          <cell r="C53" t="str">
            <v>Equal access to shared datasets</v>
          </cell>
          <cell r="D53" t="str">
            <v>0/1</v>
          </cell>
        </row>
        <row r="54">
          <cell r="B54" t="str">
            <v>SF3_UX</v>
          </cell>
          <cell r="C54" t="str">
            <v>Simple UX/UI</v>
          </cell>
          <cell r="D54" t="str">
            <v>0/1</v>
          </cell>
        </row>
        <row r="55">
          <cell r="B55" t="str">
            <v>SF4_DECISION</v>
          </cell>
          <cell r="C55" t="str">
            <v>Allows joint decision making</v>
          </cell>
        </row>
        <row r="56">
          <cell r="B56" t="str">
            <v>SF5_MASKING</v>
          </cell>
          <cell r="C56" t="str">
            <v>Clear masking rules by supplier/user</v>
          </cell>
        </row>
        <row r="57">
          <cell r="B57" t="str">
            <v>── PREFERRED DATASETS (0 = not mentioned / 1 = mentioned) ──</v>
          </cell>
        </row>
        <row r="58">
          <cell r="B58" t="str">
            <v>Guidance</v>
          </cell>
          <cell r="C58" t="str">
            <v>1 = interviewee explicitly mentioned this as valuable or relevant. 0 = not mentioned or actively dismissed.</v>
          </cell>
        </row>
        <row r="59">
          <cell r="B59" t="str">
            <v>SD1_TRENDS</v>
          </cell>
          <cell r="C59" t="str">
            <v>Global trends and insights</v>
          </cell>
          <cell r="D59" t="str">
            <v>0/1</v>
          </cell>
        </row>
        <row r="60">
          <cell r="B60" t="str">
            <v>SD2_MARKET</v>
          </cell>
          <cell r="C60" t="str">
            <v>Market research</v>
          </cell>
          <cell r="D60" t="str">
            <v>0/1</v>
          </cell>
        </row>
        <row r="61">
          <cell r="B61" t="str">
            <v>SD3_CATEGORY</v>
          </cell>
          <cell r="C61" t="str">
            <v>Category performance</v>
          </cell>
          <cell r="D61" t="str">
            <v>0/1</v>
          </cell>
        </row>
        <row r="62">
          <cell r="B62" t="str">
            <v>SD4_SHIPMENT</v>
          </cell>
          <cell r="C62" t="str">
            <v>Shipment schedules</v>
          </cell>
          <cell r="D62" t="str">
            <v>0/1</v>
          </cell>
        </row>
        <row r="63">
          <cell r="B63" t="str">
            <v>SD5_LEAD</v>
          </cell>
          <cell r="C63" t="str">
            <v>Lead times</v>
          </cell>
          <cell r="D63" t="str">
            <v>0/1</v>
          </cell>
        </row>
        <row r="64">
          <cell r="B64" t="str">
            <v>SD6_CONJOINT</v>
          </cell>
          <cell r="C64" t="str">
            <v>Conjoint names</v>
          </cell>
          <cell r="D64" t="str">
            <v>0/1</v>
          </cell>
        </row>
        <row r="65">
          <cell r="B65" t="str">
            <v>Guidance</v>
          </cell>
          <cell r="C65" t="str">
            <v>1 = interviewee explicitly mentioned this as valuable or relevant. 0 = not mentioned or actively dismissed.</v>
          </cell>
        </row>
        <row r="67">
          <cell r="B67" t="str">
            <v>📌 NOTE</v>
          </cell>
          <cell r="C67" t="str">
            <v>Red cells = score needed (new questions with no old data to migrate from). If a transcript note at the top overrides coding guidance, it takes priority.</v>
          </cell>
        </row>
      </sheetData>
      <sheetData sheetId="24">
        <row r="1">
          <cell r="B1" t="str">
            <v>Company 21 — Interview 1</v>
          </cell>
        </row>
        <row r="2">
          <cell r="B2" t="str">
            <v>Interviewee Details</v>
          </cell>
          <cell r="C2" t="str">
            <v>Response</v>
          </cell>
          <cell r="D2" t="str">
            <v>Coding</v>
          </cell>
        </row>
        <row r="3">
          <cell r="B3" t="str">
            <v>Interviewee Name</v>
          </cell>
        </row>
        <row r="4">
          <cell r="B4" t="str">
            <v>Interviewee Position</v>
          </cell>
        </row>
        <row r="5">
          <cell r="B5" t="str">
            <v>Company (Real)</v>
          </cell>
        </row>
        <row r="6">
          <cell r="B6" t="str">
            <v>Company (Disguised)</v>
          </cell>
        </row>
        <row r="7">
          <cell r="B7" t="str">
            <v>Interview Date</v>
          </cell>
        </row>
        <row r="8">
          <cell r="B8" t="str">
            <v>Interviewer</v>
          </cell>
        </row>
        <row r="9">
          <cell r="B9" t="str">
            <v>Interviewer Support</v>
          </cell>
        </row>
        <row r="10">
          <cell r="B10" t="str">
            <v>Company Industry</v>
          </cell>
        </row>
        <row r="11">
          <cell r="B11" t="str">
            <v>Company Sub-Industry</v>
          </cell>
        </row>
        <row r="12">
          <cell r="B12" t="str">
            <v>Company Size (Turnover)</v>
          </cell>
        </row>
        <row r="13">
          <cell r="B13" t="str">
            <v>Country</v>
          </cell>
        </row>
        <row r="15">
          <cell r="B15" t="str">
            <v>Question ID</v>
          </cell>
          <cell r="C15" t="str">
            <v>Question</v>
          </cell>
        </row>
        <row r="16">
          <cell r="B16" t="str">
            <v>── BASELINE BLOCK ──</v>
          </cell>
        </row>
        <row r="17">
          <cell r="B17" t="str">
            <v>B1_INTEREST</v>
          </cell>
          <cell r="C17" t="str">
            <v>Are you interested in data collaboration?</v>
          </cell>
          <cell r="D17" t="str">
            <v>1-10</v>
          </cell>
        </row>
        <row r="18">
          <cell r="B18" t="str">
            <v>↳ QUOTE</v>
          </cell>
          <cell r="C18" t="str">
            <v>[Paste verbatim quote from transcript that supports this score or adds context]</v>
          </cell>
        </row>
        <row r="19">
          <cell r="B19" t="str">
            <v>B2_SHARING</v>
          </cell>
          <cell r="C19" t="str">
            <v>Do you share data currently?</v>
          </cell>
          <cell r="D19" t="str">
            <v>0/1</v>
          </cell>
        </row>
        <row r="20">
          <cell r="B20" t="str">
            <v>B3_MONETIZE</v>
          </cell>
          <cell r="C20" t="str">
            <v>Do you monetize your data currently?</v>
          </cell>
          <cell r="D20" t="str">
            <v>0/1</v>
          </cell>
        </row>
        <row r="21">
          <cell r="B21" t="str">
            <v>B4_STRATEGIC</v>
          </cell>
          <cell r="C21" t="str">
            <v>Do you not share/monetize due to strategic reasons?</v>
          </cell>
          <cell r="D21" t="str">
            <v>0/1</v>
          </cell>
        </row>
        <row r="22">
          <cell r="B22" t="str">
            <v>── DATA SHARING MATURITY (1–5) ──</v>
          </cell>
        </row>
        <row r="23">
          <cell r="B23" t="str">
            <v>Question ID</v>
          </cell>
          <cell r="C23" t="str">
            <v>Question</v>
          </cell>
          <cell r="D23" t="str">
            <v>Scale</v>
          </cell>
          <cell r="E23" t="str">
            <v>SCORE</v>
          </cell>
        </row>
        <row r="24">
          <cell r="B24" t="str">
            <v>M1_AUTOMATED</v>
          </cell>
          <cell r="C24" t="str">
            <v>Is data sharing automated or manual?</v>
          </cell>
          <cell r="D24" t="str">
            <v>1–5</v>
          </cell>
        </row>
        <row r="25">
          <cell r="B25" t="str">
            <v>M2_REALTIME</v>
          </cell>
          <cell r="C25" t="str">
            <v>Is data sharing in real-time, or lagging?</v>
          </cell>
          <cell r="D25" t="str">
            <v>1–5</v>
          </cell>
        </row>
        <row r="26">
          <cell r="B26" t="str">
            <v>M3_STRATEGIC</v>
          </cell>
          <cell r="C26" t="str">
            <v>Is data sharing focused on operations or strategic planning?</v>
          </cell>
          <cell r="D26" t="str">
            <v>1–5</v>
          </cell>
        </row>
        <row r="27">
          <cell r="B27" t="str">
            <v>M4_BREADTH</v>
          </cell>
          <cell r="C27" t="str">
            <v>Is data sharing available to all clients, or based on strategic importance?</v>
          </cell>
          <cell r="D27" t="str">
            <v>1–5</v>
          </cell>
        </row>
        <row r="28">
          <cell r="B28" t="str">
            <v>M5_DATATYPES</v>
          </cell>
          <cell r="C28" t="str">
            <v>Breadth of data exchanged</v>
          </cell>
          <cell r="D28" t="str">
            <v>1–5</v>
          </cell>
        </row>
        <row r="29">
          <cell r="B29" t="str">
            <v>M6_TRUST</v>
          </cell>
          <cell r="C29" t="str">
            <v>Trust in received data</v>
          </cell>
          <cell r="D29" t="str">
            <v>1–5</v>
          </cell>
        </row>
        <row r="30">
          <cell r="B30" t="str">
            <v>M7_BARRIERS</v>
          </cell>
          <cell r="C30" t="str">
            <v>Readiness / barriers to collaborate</v>
          </cell>
          <cell r="D30" t="str">
            <v>1–5</v>
          </cell>
        </row>
        <row r="31">
          <cell r="B31" t="str">
            <v>M8_IMPACT</v>
          </cell>
          <cell r="C31" t="str">
            <v>Operational impact of data gaps</v>
          </cell>
          <cell r="D31" t="str">
            <v>1–5</v>
          </cell>
        </row>
        <row r="32">
          <cell r="B32" t="str">
            <v>M9_WILLINGNESS</v>
          </cell>
          <cell r="C32" t="str">
            <v>Willingness to collaborate overall</v>
          </cell>
          <cell r="D32" t="str">
            <v>1-10</v>
          </cell>
        </row>
        <row r="33">
          <cell r="B33" t="str">
            <v>── VALUE UNLOCK AREAS (0 = not mentioned / 1 = mentioned) ──</v>
          </cell>
        </row>
        <row r="34">
          <cell r="B34" t="str">
            <v>Guidance</v>
          </cell>
          <cell r="C34" t="str">
            <v>1 = interviewee explicitly mentioned this as valuable or relevant. 0 = not mentioned or actively dismissed.</v>
          </cell>
        </row>
        <row r="35">
          <cell r="B35" t="str">
            <v>SV1_PRICING</v>
          </cell>
          <cell r="C35" t="str">
            <v>Pricing</v>
          </cell>
          <cell r="D35" t="str">
            <v>0/1</v>
          </cell>
        </row>
        <row r="36">
          <cell r="B36" t="str">
            <v>↳ QUOTE</v>
          </cell>
          <cell r="C36" t="str">
            <v>[Paste verbatim quote from transcript supporting Value Unlock Areas scoring]</v>
          </cell>
        </row>
        <row r="37">
          <cell r="B37" t="str">
            <v>SV2_PROMOTIONS</v>
          </cell>
          <cell r="C37" t="str">
            <v>Promotions</v>
          </cell>
          <cell r="D37" t="str">
            <v>0/1</v>
          </cell>
        </row>
        <row r="38">
          <cell r="B38" t="str">
            <v>SV3_SUPPLYCHAIN</v>
          </cell>
          <cell r="C38" t="str">
            <v>Supply Chain Management</v>
          </cell>
          <cell r="D38" t="str">
            <v>0/1</v>
          </cell>
        </row>
        <row r="39">
          <cell r="B39" t="str">
            <v>SV4_CATEGORY</v>
          </cell>
          <cell r="C39" t="str">
            <v>Category Planning</v>
          </cell>
          <cell r="D39" t="str">
            <v>0/1</v>
          </cell>
        </row>
        <row r="40">
          <cell r="B40" t="str">
            <v>SV5_DEMAND</v>
          </cell>
          <cell r="C40" t="str">
            <v>Demand Forecasting</v>
          </cell>
          <cell r="D40" t="str">
            <v>0/1</v>
          </cell>
        </row>
        <row r="41">
          <cell r="B41" t="str">
            <v>SV6_ACCOUNT</v>
          </cell>
          <cell r="C41" t="str">
            <v>Accountability</v>
          </cell>
          <cell r="D41" t="str">
            <v>0/1</v>
          </cell>
        </row>
        <row r="42">
          <cell r="B42" t="str">
            <v>SV7_OPS</v>
          </cell>
          <cell r="C42" t="str">
            <v>Operationalization &amp; Workflows</v>
          </cell>
          <cell r="D42" t="str">
            <v>0/1</v>
          </cell>
        </row>
        <row r="43">
          <cell r="B43" t="str">
            <v>── CONCERNS TO RESOLVE (0 = not mentioned / 1 = mentioned) ──</v>
          </cell>
        </row>
        <row r="44">
          <cell r="B44" t="str">
            <v>Guidance</v>
          </cell>
          <cell r="C44" t="str">
            <v>1 = interviewee explicitly mentioned this as valuable or relevant. 0 = not mentioned or actively dismissed.</v>
          </cell>
        </row>
        <row r="45">
          <cell r="B45" t="str">
            <v>SC1_DATASENS</v>
          </cell>
          <cell r="C45" t="str">
            <v>Data Sensitivity</v>
          </cell>
          <cell r="D45" t="str">
            <v>0/1</v>
          </cell>
        </row>
        <row r="46">
          <cell r="B46" t="str">
            <v>SC2_COMPLIANCE</v>
          </cell>
          <cell r="C46" t="str">
            <v>Compliance</v>
          </cell>
          <cell r="D46" t="str">
            <v>0/1</v>
          </cell>
        </row>
        <row r="47">
          <cell r="B47" t="str">
            <v>SC3_TRUST</v>
          </cell>
          <cell r="C47" t="str">
            <v>Trust Issues</v>
          </cell>
          <cell r="D47" t="str">
            <v>0/1</v>
          </cell>
        </row>
        <row r="48">
          <cell r="B48" t="str">
            <v>SC4_DATAPROC</v>
          </cell>
          <cell r="C48" t="str">
            <v>Data Processing</v>
          </cell>
          <cell r="D48" t="str">
            <v>0/1</v>
          </cell>
        </row>
        <row r="49">
          <cell r="B49" t="str">
            <v>── CRITICAL TOOL FEATURES (0 = not mentioned / 1 = mentioned) ──</v>
          </cell>
        </row>
        <row r="50">
          <cell r="B50" t="str">
            <v>Guidance</v>
          </cell>
          <cell r="C50" t="str">
            <v>1 = interviewee explicitly mentioned this as valuable or relevant. 0 = not mentioned or actively dismissed.</v>
          </cell>
        </row>
        <row r="51">
          <cell r="B51" t="str">
            <v>SF1_REALTIME</v>
          </cell>
          <cell r="C51" t="str">
            <v>Dynamic, real-time data exchange</v>
          </cell>
          <cell r="D51" t="str">
            <v>0/1</v>
          </cell>
        </row>
        <row r="52">
          <cell r="B52" t="str">
            <v>↳ QUOTE</v>
          </cell>
          <cell r="C52" t="str">
            <v>[Paste verbatim quote from transcript supporting Critical Tool Features scoring]</v>
          </cell>
        </row>
        <row r="53">
          <cell r="B53" t="str">
            <v>SF2_ACCESS</v>
          </cell>
          <cell r="C53" t="str">
            <v>Equal access to shared datasets</v>
          </cell>
          <cell r="D53" t="str">
            <v>0/1</v>
          </cell>
        </row>
        <row r="54">
          <cell r="B54" t="str">
            <v>SF3_UX</v>
          </cell>
          <cell r="C54" t="str">
            <v>Simple UX/UI</v>
          </cell>
          <cell r="D54" t="str">
            <v>0/1</v>
          </cell>
        </row>
        <row r="55">
          <cell r="B55" t="str">
            <v>SF4_DECISION</v>
          </cell>
          <cell r="C55" t="str">
            <v>Allows joint decision making</v>
          </cell>
        </row>
        <row r="56">
          <cell r="B56" t="str">
            <v>SF5_MASKING</v>
          </cell>
          <cell r="C56" t="str">
            <v>Clear masking rules by supplier/user</v>
          </cell>
        </row>
        <row r="57">
          <cell r="B57" t="str">
            <v>── PREFERRED DATASETS (0 = not mentioned / 1 = mentioned) ──</v>
          </cell>
        </row>
        <row r="58">
          <cell r="B58" t="str">
            <v>Guidance</v>
          </cell>
          <cell r="C58" t="str">
            <v>1 = interviewee explicitly mentioned this as valuable or relevant. 0 = not mentioned or actively dismissed.</v>
          </cell>
        </row>
        <row r="59">
          <cell r="B59" t="str">
            <v>SD1_TRENDS</v>
          </cell>
          <cell r="C59" t="str">
            <v>Global trends and insights</v>
          </cell>
          <cell r="D59" t="str">
            <v>0/1</v>
          </cell>
        </row>
        <row r="60">
          <cell r="B60" t="str">
            <v>SD2_MARKET</v>
          </cell>
          <cell r="C60" t="str">
            <v>Market research</v>
          </cell>
          <cell r="D60" t="str">
            <v>0/1</v>
          </cell>
        </row>
        <row r="61">
          <cell r="B61" t="str">
            <v>SD3_CATEGORY</v>
          </cell>
          <cell r="C61" t="str">
            <v>Category performance</v>
          </cell>
          <cell r="D61" t="str">
            <v>0/1</v>
          </cell>
        </row>
        <row r="62">
          <cell r="B62" t="str">
            <v>SD4_SHIPMENT</v>
          </cell>
          <cell r="C62" t="str">
            <v>Shipment schedules</v>
          </cell>
          <cell r="D62" t="str">
            <v>0/1</v>
          </cell>
        </row>
        <row r="63">
          <cell r="B63" t="str">
            <v>SD5_LEAD</v>
          </cell>
          <cell r="C63" t="str">
            <v>Lead times</v>
          </cell>
          <cell r="D63" t="str">
            <v>0/1</v>
          </cell>
        </row>
        <row r="64">
          <cell r="B64" t="str">
            <v>SD6_CONJOINT</v>
          </cell>
          <cell r="C64" t="str">
            <v>Conjoint names</v>
          </cell>
          <cell r="D64" t="str">
            <v>0/1</v>
          </cell>
        </row>
        <row r="65">
          <cell r="B65" t="str">
            <v>Guidance</v>
          </cell>
          <cell r="C65" t="str">
            <v>1 = interviewee explicitly mentioned this as valuable or relevant. 0 = not mentioned or actively dismissed.</v>
          </cell>
        </row>
        <row r="67">
          <cell r="B67" t="str">
            <v>📌 NOTE</v>
          </cell>
          <cell r="C67" t="str">
            <v>Red cells = score needed (new questions with no old data to migrate from). If a transcript note at the top overrides coding guidance, it takes priority.</v>
          </cell>
        </row>
      </sheetData>
      <sheetData sheetId="25">
        <row r="1">
          <cell r="B1" t="str">
            <v>Company 22 — Interview 1</v>
          </cell>
        </row>
        <row r="2">
          <cell r="B2" t="str">
            <v>Interviewee Details</v>
          </cell>
          <cell r="C2" t="str">
            <v>Response</v>
          </cell>
          <cell r="D2" t="str">
            <v>Coding</v>
          </cell>
        </row>
        <row r="3">
          <cell r="B3" t="str">
            <v>Interviewee Name</v>
          </cell>
        </row>
        <row r="4">
          <cell r="B4" t="str">
            <v>Interviewee Position</v>
          </cell>
        </row>
        <row r="5">
          <cell r="B5" t="str">
            <v>Company (Real)</v>
          </cell>
        </row>
        <row r="6">
          <cell r="B6" t="str">
            <v>Company (Disguised)</v>
          </cell>
        </row>
        <row r="7">
          <cell r="B7" t="str">
            <v>Interview Date</v>
          </cell>
        </row>
        <row r="8">
          <cell r="B8" t="str">
            <v>Interviewer</v>
          </cell>
        </row>
        <row r="9">
          <cell r="B9" t="str">
            <v>Interviewer Support</v>
          </cell>
        </row>
        <row r="10">
          <cell r="B10" t="str">
            <v>Company Industry</v>
          </cell>
        </row>
        <row r="11">
          <cell r="B11" t="str">
            <v>Company Sub-Industry</v>
          </cell>
        </row>
        <row r="12">
          <cell r="B12" t="str">
            <v>Company Size (Turnover)</v>
          </cell>
        </row>
        <row r="13">
          <cell r="B13" t="str">
            <v>Country</v>
          </cell>
        </row>
        <row r="15">
          <cell r="B15" t="str">
            <v>Question ID</v>
          </cell>
          <cell r="C15" t="str">
            <v>Question</v>
          </cell>
        </row>
        <row r="16">
          <cell r="B16" t="str">
            <v>── BASELINE BLOCK ──</v>
          </cell>
        </row>
        <row r="17">
          <cell r="B17" t="str">
            <v>B1_INTEREST</v>
          </cell>
          <cell r="C17" t="str">
            <v>Are you interested in data collaboration?</v>
          </cell>
          <cell r="D17" t="str">
            <v>1-10</v>
          </cell>
        </row>
        <row r="18">
          <cell r="B18" t="str">
            <v>↳ QUOTE</v>
          </cell>
          <cell r="C18" t="str">
            <v>[Paste verbatim quote from transcript that supports this score or adds context]</v>
          </cell>
        </row>
        <row r="19">
          <cell r="B19" t="str">
            <v>B2_SHARING</v>
          </cell>
          <cell r="C19" t="str">
            <v>Do you share data currently?</v>
          </cell>
          <cell r="D19" t="str">
            <v>0/1</v>
          </cell>
        </row>
        <row r="20">
          <cell r="B20" t="str">
            <v>B3_MONETIZE</v>
          </cell>
          <cell r="C20" t="str">
            <v>Do you monetize your data currently?</v>
          </cell>
          <cell r="D20" t="str">
            <v>0/1</v>
          </cell>
        </row>
        <row r="21">
          <cell r="B21" t="str">
            <v>B4_STRATEGIC</v>
          </cell>
          <cell r="C21" t="str">
            <v>Do you not share/monetize due to strategic reasons?</v>
          </cell>
          <cell r="D21" t="str">
            <v>0/1</v>
          </cell>
        </row>
        <row r="22">
          <cell r="B22" t="str">
            <v>── DATA SHARING MATURITY (1–5) ──</v>
          </cell>
        </row>
        <row r="23">
          <cell r="B23" t="str">
            <v>Question ID</v>
          </cell>
          <cell r="C23" t="str">
            <v>Question</v>
          </cell>
          <cell r="D23" t="str">
            <v>Scale</v>
          </cell>
          <cell r="E23" t="str">
            <v>SCORE</v>
          </cell>
        </row>
        <row r="24">
          <cell r="B24" t="str">
            <v>M1_AUTOMATED</v>
          </cell>
          <cell r="C24" t="str">
            <v>Is data sharing automated or manual?</v>
          </cell>
          <cell r="D24" t="str">
            <v>1–5</v>
          </cell>
        </row>
        <row r="25">
          <cell r="B25" t="str">
            <v>M2_REALTIME</v>
          </cell>
          <cell r="C25" t="str">
            <v>Is data sharing in real-time, or lagging?</v>
          </cell>
          <cell r="D25" t="str">
            <v>1–5</v>
          </cell>
        </row>
        <row r="26">
          <cell r="B26" t="str">
            <v>M3_STRATEGIC</v>
          </cell>
          <cell r="C26" t="str">
            <v>Is data sharing focused on operations or strategic planning?</v>
          </cell>
          <cell r="D26" t="str">
            <v>1–5</v>
          </cell>
        </row>
        <row r="27">
          <cell r="B27" t="str">
            <v>M4_BREADTH</v>
          </cell>
          <cell r="C27" t="str">
            <v>Is data sharing available to all clients, or based on strategic importance?</v>
          </cell>
          <cell r="D27" t="str">
            <v>1–5</v>
          </cell>
        </row>
        <row r="28">
          <cell r="B28" t="str">
            <v>M5_DATATYPES</v>
          </cell>
          <cell r="C28" t="str">
            <v>Breadth of data exchanged</v>
          </cell>
          <cell r="D28" t="str">
            <v>1–5</v>
          </cell>
        </row>
        <row r="29">
          <cell r="B29" t="str">
            <v>M6_TRUST</v>
          </cell>
          <cell r="C29" t="str">
            <v>Trust in received data</v>
          </cell>
          <cell r="D29" t="str">
            <v>1–5</v>
          </cell>
        </row>
        <row r="30">
          <cell r="B30" t="str">
            <v>M7_BARRIERS</v>
          </cell>
          <cell r="C30" t="str">
            <v>Readiness / barriers to collaborate</v>
          </cell>
          <cell r="D30" t="str">
            <v>1–5</v>
          </cell>
        </row>
        <row r="31">
          <cell r="B31" t="str">
            <v>M8_IMPACT</v>
          </cell>
          <cell r="C31" t="str">
            <v>Operational impact of data gaps</v>
          </cell>
          <cell r="D31" t="str">
            <v>1–5</v>
          </cell>
        </row>
        <row r="32">
          <cell r="B32" t="str">
            <v>M9_WILLINGNESS</v>
          </cell>
          <cell r="C32" t="str">
            <v>Willingness to collaborate overall</v>
          </cell>
          <cell r="D32" t="str">
            <v>1-10</v>
          </cell>
        </row>
        <row r="33">
          <cell r="B33" t="str">
            <v>── VALUE UNLOCK AREAS (0 = not mentioned / 1 = mentioned) ──</v>
          </cell>
        </row>
        <row r="34">
          <cell r="B34" t="str">
            <v>Guidance</v>
          </cell>
          <cell r="C34" t="str">
            <v>1 = interviewee explicitly mentioned this as valuable or relevant. 0 = not mentioned or actively dismissed.</v>
          </cell>
        </row>
        <row r="35">
          <cell r="B35" t="str">
            <v>SV1_PRICING</v>
          </cell>
          <cell r="C35" t="str">
            <v>Pricing</v>
          </cell>
          <cell r="D35" t="str">
            <v>0/1</v>
          </cell>
        </row>
        <row r="36">
          <cell r="B36" t="str">
            <v>↳ QUOTE</v>
          </cell>
          <cell r="C36" t="str">
            <v>[Paste verbatim quote from transcript supporting Value Unlock Areas scoring]</v>
          </cell>
        </row>
        <row r="37">
          <cell r="B37" t="str">
            <v>SV2_PROMOTIONS</v>
          </cell>
          <cell r="C37" t="str">
            <v>Promotions</v>
          </cell>
          <cell r="D37" t="str">
            <v>0/1</v>
          </cell>
        </row>
        <row r="38">
          <cell r="B38" t="str">
            <v>SV3_SUPPLYCHAIN</v>
          </cell>
          <cell r="C38" t="str">
            <v>Supply Chain Management</v>
          </cell>
          <cell r="D38" t="str">
            <v>0/1</v>
          </cell>
        </row>
        <row r="39">
          <cell r="B39" t="str">
            <v>SV4_CATEGORY</v>
          </cell>
          <cell r="C39" t="str">
            <v>Category Planning</v>
          </cell>
          <cell r="D39" t="str">
            <v>0/1</v>
          </cell>
        </row>
        <row r="40">
          <cell r="B40" t="str">
            <v>SV5_DEMAND</v>
          </cell>
          <cell r="C40" t="str">
            <v>Demand Forecasting</v>
          </cell>
          <cell r="D40" t="str">
            <v>0/1</v>
          </cell>
        </row>
        <row r="41">
          <cell r="B41" t="str">
            <v>SV6_ACCOUNT</v>
          </cell>
          <cell r="C41" t="str">
            <v>Accountability</v>
          </cell>
          <cell r="D41" t="str">
            <v>0/1</v>
          </cell>
        </row>
        <row r="42">
          <cell r="B42" t="str">
            <v>SV7_OPS</v>
          </cell>
          <cell r="C42" t="str">
            <v>Operationalization &amp; Workflows</v>
          </cell>
          <cell r="D42" t="str">
            <v>0/1</v>
          </cell>
        </row>
        <row r="43">
          <cell r="B43" t="str">
            <v>── CONCERNS TO RESOLVE (0 = not mentioned / 1 = mentioned) ──</v>
          </cell>
        </row>
        <row r="44">
          <cell r="B44" t="str">
            <v>Guidance</v>
          </cell>
          <cell r="C44" t="str">
            <v>1 = interviewee explicitly mentioned this as valuable or relevant. 0 = not mentioned or actively dismissed.</v>
          </cell>
        </row>
        <row r="45">
          <cell r="B45" t="str">
            <v>SC1_DATASENS</v>
          </cell>
          <cell r="C45" t="str">
            <v>Data Sensitivity</v>
          </cell>
          <cell r="D45" t="str">
            <v>0/1</v>
          </cell>
        </row>
        <row r="46">
          <cell r="B46" t="str">
            <v>SC2_COMPLIANCE</v>
          </cell>
          <cell r="C46" t="str">
            <v>Compliance</v>
          </cell>
          <cell r="D46" t="str">
            <v>0/1</v>
          </cell>
        </row>
        <row r="47">
          <cell r="B47" t="str">
            <v>SC3_TRUST</v>
          </cell>
          <cell r="C47" t="str">
            <v>Trust Issues</v>
          </cell>
          <cell r="D47" t="str">
            <v>0/1</v>
          </cell>
        </row>
        <row r="48">
          <cell r="B48" t="str">
            <v>SC4_DATAPROC</v>
          </cell>
          <cell r="C48" t="str">
            <v>Data Processing</v>
          </cell>
          <cell r="D48" t="str">
            <v>0/1</v>
          </cell>
        </row>
        <row r="49">
          <cell r="B49" t="str">
            <v>── CRITICAL TOOL FEATURES (0 = not mentioned / 1 = mentioned) ──</v>
          </cell>
        </row>
        <row r="50">
          <cell r="B50" t="str">
            <v>Guidance</v>
          </cell>
          <cell r="C50" t="str">
            <v>1 = interviewee explicitly mentioned this as valuable or relevant. 0 = not mentioned or actively dismissed.</v>
          </cell>
        </row>
        <row r="51">
          <cell r="B51" t="str">
            <v>SF1_REALTIME</v>
          </cell>
          <cell r="C51" t="str">
            <v>Dynamic, real-time data exchange</v>
          </cell>
          <cell r="D51" t="str">
            <v>0/1</v>
          </cell>
        </row>
        <row r="52">
          <cell r="B52" t="str">
            <v>↳ QUOTE</v>
          </cell>
          <cell r="C52" t="str">
            <v>[Paste verbatim quote from transcript supporting Critical Tool Features scoring]</v>
          </cell>
        </row>
        <row r="53">
          <cell r="B53" t="str">
            <v>SF2_ACCESS</v>
          </cell>
          <cell r="C53" t="str">
            <v>Equal access to shared datasets</v>
          </cell>
          <cell r="D53" t="str">
            <v>0/1</v>
          </cell>
        </row>
        <row r="54">
          <cell r="B54" t="str">
            <v>SF3_UX</v>
          </cell>
          <cell r="C54" t="str">
            <v>Simple UX/UI</v>
          </cell>
          <cell r="D54" t="str">
            <v>0/1</v>
          </cell>
        </row>
        <row r="55">
          <cell r="B55" t="str">
            <v>SF4_DECISION</v>
          </cell>
          <cell r="C55" t="str">
            <v>Allows joint decision making</v>
          </cell>
        </row>
        <row r="56">
          <cell r="B56" t="str">
            <v>SF5_MASKING</v>
          </cell>
          <cell r="C56" t="str">
            <v>Clear masking rules by supplier/user</v>
          </cell>
        </row>
        <row r="57">
          <cell r="B57" t="str">
            <v>── PREFERRED DATASETS (0 = not mentioned / 1 = mentioned) ──</v>
          </cell>
        </row>
        <row r="58">
          <cell r="B58" t="str">
            <v>Guidance</v>
          </cell>
          <cell r="C58" t="str">
            <v>1 = interviewee explicitly mentioned this as valuable or relevant. 0 = not mentioned or actively dismissed.</v>
          </cell>
        </row>
        <row r="59">
          <cell r="B59" t="str">
            <v>SD1_TRENDS</v>
          </cell>
          <cell r="C59" t="str">
            <v>Global trends and insights</v>
          </cell>
          <cell r="D59" t="str">
            <v>0/1</v>
          </cell>
        </row>
        <row r="60">
          <cell r="B60" t="str">
            <v>SD2_MARKET</v>
          </cell>
          <cell r="C60" t="str">
            <v>Market research</v>
          </cell>
          <cell r="D60" t="str">
            <v>0/1</v>
          </cell>
        </row>
        <row r="61">
          <cell r="B61" t="str">
            <v>SD3_CATEGORY</v>
          </cell>
          <cell r="C61" t="str">
            <v>Category performance</v>
          </cell>
          <cell r="D61" t="str">
            <v>0/1</v>
          </cell>
        </row>
        <row r="62">
          <cell r="B62" t="str">
            <v>SD4_SHIPMENT</v>
          </cell>
          <cell r="C62" t="str">
            <v>Shipment schedules</v>
          </cell>
          <cell r="D62" t="str">
            <v>0/1</v>
          </cell>
        </row>
        <row r="63">
          <cell r="B63" t="str">
            <v>SD5_LEAD</v>
          </cell>
          <cell r="C63" t="str">
            <v>Lead times</v>
          </cell>
          <cell r="D63" t="str">
            <v>0/1</v>
          </cell>
        </row>
        <row r="64">
          <cell r="B64" t="str">
            <v>SD6_CONJOINT</v>
          </cell>
          <cell r="C64" t="str">
            <v>Conjoint names</v>
          </cell>
          <cell r="D64" t="str">
            <v>0/1</v>
          </cell>
        </row>
        <row r="65">
          <cell r="B65" t="str">
            <v>Guidance</v>
          </cell>
          <cell r="C65" t="str">
            <v>1 = interviewee explicitly mentioned this as valuable or relevant. 0 = not mentioned or actively dismissed.</v>
          </cell>
        </row>
        <row r="67">
          <cell r="B67" t="str">
            <v>📌 NOTE</v>
          </cell>
          <cell r="C67" t="str">
            <v>Red cells = score needed (new questions with no old data to migrate from). If a transcript note at the top overrides coding guidance, it takes priority.</v>
          </cell>
        </row>
      </sheetData>
      <sheetData sheetId="26">
        <row r="1">
          <cell r="B1" t="str">
            <v>Company 23 — Interview 1</v>
          </cell>
        </row>
        <row r="2">
          <cell r="B2" t="str">
            <v>Interviewee Details</v>
          </cell>
          <cell r="C2" t="str">
            <v>Response</v>
          </cell>
          <cell r="D2" t="str">
            <v>Coding</v>
          </cell>
        </row>
        <row r="3">
          <cell r="B3" t="str">
            <v>Interviewee Name</v>
          </cell>
        </row>
        <row r="4">
          <cell r="B4" t="str">
            <v>Interviewee Position</v>
          </cell>
        </row>
        <row r="5">
          <cell r="B5" t="str">
            <v>Company (Real)</v>
          </cell>
        </row>
        <row r="6">
          <cell r="B6" t="str">
            <v>Company (Disguised)</v>
          </cell>
        </row>
        <row r="7">
          <cell r="B7" t="str">
            <v>Interview Date</v>
          </cell>
        </row>
        <row r="8">
          <cell r="B8" t="str">
            <v>Interviewer</v>
          </cell>
        </row>
        <row r="9">
          <cell r="B9" t="str">
            <v>Interviewer Support</v>
          </cell>
        </row>
        <row r="10">
          <cell r="B10" t="str">
            <v>Company Industry</v>
          </cell>
        </row>
        <row r="11">
          <cell r="B11" t="str">
            <v>Company Sub-Industry</v>
          </cell>
        </row>
        <row r="12">
          <cell r="B12" t="str">
            <v>Company Size (Turnover)</v>
          </cell>
        </row>
        <row r="13">
          <cell r="B13" t="str">
            <v>Country</v>
          </cell>
        </row>
        <row r="15">
          <cell r="B15" t="str">
            <v>Question ID</v>
          </cell>
          <cell r="C15" t="str">
            <v>Question</v>
          </cell>
        </row>
        <row r="16">
          <cell r="B16" t="str">
            <v>── BASELINE BLOCK ──</v>
          </cell>
        </row>
        <row r="17">
          <cell r="B17" t="str">
            <v>B1_INTEREST</v>
          </cell>
          <cell r="C17" t="str">
            <v>Are you interested in data collaboration?</v>
          </cell>
          <cell r="D17" t="str">
            <v>1-10</v>
          </cell>
        </row>
        <row r="18">
          <cell r="B18" t="str">
            <v>↳ QUOTE</v>
          </cell>
          <cell r="C18" t="str">
            <v>[Paste verbatim quote from transcript that supports this score or adds context]</v>
          </cell>
        </row>
        <row r="19">
          <cell r="B19" t="str">
            <v>B2_SHARING</v>
          </cell>
          <cell r="C19" t="str">
            <v>Do you share data currently?</v>
          </cell>
          <cell r="D19" t="str">
            <v>0/1</v>
          </cell>
        </row>
        <row r="20">
          <cell r="B20" t="str">
            <v>B3_MONETIZE</v>
          </cell>
          <cell r="C20" t="str">
            <v>Do you monetize your data currently?</v>
          </cell>
          <cell r="D20" t="str">
            <v>0/1</v>
          </cell>
        </row>
        <row r="21">
          <cell r="B21" t="str">
            <v>B4_STRATEGIC</v>
          </cell>
          <cell r="C21" t="str">
            <v>Do you not share/monetize due to strategic reasons?</v>
          </cell>
          <cell r="D21" t="str">
            <v>0/1</v>
          </cell>
        </row>
        <row r="22">
          <cell r="B22" t="str">
            <v>── DATA SHARING MATURITY (1–5) ──</v>
          </cell>
        </row>
        <row r="23">
          <cell r="B23" t="str">
            <v>Question ID</v>
          </cell>
          <cell r="C23" t="str">
            <v>Question</v>
          </cell>
          <cell r="D23" t="str">
            <v>Scale</v>
          </cell>
          <cell r="E23" t="str">
            <v>SCORE</v>
          </cell>
        </row>
        <row r="24">
          <cell r="B24" t="str">
            <v>M1_AUTOMATED</v>
          </cell>
          <cell r="C24" t="str">
            <v>Is data sharing automated or manual?</v>
          </cell>
          <cell r="D24" t="str">
            <v>1–5</v>
          </cell>
        </row>
        <row r="25">
          <cell r="B25" t="str">
            <v>M2_REALTIME</v>
          </cell>
          <cell r="C25" t="str">
            <v>Is data sharing in real-time, or lagging?</v>
          </cell>
          <cell r="D25" t="str">
            <v>1–5</v>
          </cell>
        </row>
        <row r="26">
          <cell r="B26" t="str">
            <v>M3_STRATEGIC</v>
          </cell>
          <cell r="C26" t="str">
            <v>Is data sharing focused on operations or strategic planning?</v>
          </cell>
          <cell r="D26" t="str">
            <v>1–5</v>
          </cell>
        </row>
        <row r="27">
          <cell r="B27" t="str">
            <v>M4_BREADTH</v>
          </cell>
          <cell r="C27" t="str">
            <v>Is data sharing available to all clients, or based on strategic importance?</v>
          </cell>
          <cell r="D27" t="str">
            <v>1–5</v>
          </cell>
        </row>
        <row r="28">
          <cell r="B28" t="str">
            <v>M5_DATATYPES</v>
          </cell>
          <cell r="C28" t="str">
            <v>Breadth of data exchanged</v>
          </cell>
          <cell r="D28" t="str">
            <v>1–5</v>
          </cell>
        </row>
        <row r="29">
          <cell r="B29" t="str">
            <v>M6_TRUST</v>
          </cell>
          <cell r="C29" t="str">
            <v>Trust in received data</v>
          </cell>
          <cell r="D29" t="str">
            <v>1–5</v>
          </cell>
        </row>
        <row r="30">
          <cell r="B30" t="str">
            <v>M7_BARRIERS</v>
          </cell>
          <cell r="C30" t="str">
            <v>Readiness / barriers to collaborate</v>
          </cell>
          <cell r="D30" t="str">
            <v>1–5</v>
          </cell>
        </row>
        <row r="31">
          <cell r="B31" t="str">
            <v>M8_IMPACT</v>
          </cell>
          <cell r="C31" t="str">
            <v>Operational impact of data gaps</v>
          </cell>
          <cell r="D31" t="str">
            <v>1–5</v>
          </cell>
        </row>
        <row r="32">
          <cell r="B32" t="str">
            <v>M9_WILLINGNESS</v>
          </cell>
          <cell r="C32" t="str">
            <v>Willingness to collaborate overall</v>
          </cell>
          <cell r="D32" t="str">
            <v>1-10</v>
          </cell>
        </row>
        <row r="33">
          <cell r="B33" t="str">
            <v>── VALUE UNLOCK AREAS (0 = not mentioned / 1 = mentioned) ──</v>
          </cell>
        </row>
        <row r="34">
          <cell r="B34" t="str">
            <v>Guidance</v>
          </cell>
          <cell r="C34" t="str">
            <v>1 = interviewee explicitly mentioned this as valuable or relevant. 0 = not mentioned or actively dismissed.</v>
          </cell>
        </row>
        <row r="35">
          <cell r="B35" t="str">
            <v>SV1_PRICING</v>
          </cell>
          <cell r="C35" t="str">
            <v>Pricing</v>
          </cell>
          <cell r="D35" t="str">
            <v>0/1</v>
          </cell>
        </row>
        <row r="36">
          <cell r="B36" t="str">
            <v>↳ QUOTE</v>
          </cell>
          <cell r="C36" t="str">
            <v>[Paste verbatim quote from transcript supporting Value Unlock Areas scoring]</v>
          </cell>
        </row>
        <row r="37">
          <cell r="B37" t="str">
            <v>SV2_PROMOTIONS</v>
          </cell>
          <cell r="C37" t="str">
            <v>Promotions</v>
          </cell>
          <cell r="D37" t="str">
            <v>0/1</v>
          </cell>
        </row>
        <row r="38">
          <cell r="B38" t="str">
            <v>SV3_SUPPLYCHAIN</v>
          </cell>
          <cell r="C38" t="str">
            <v>Supply Chain Management</v>
          </cell>
          <cell r="D38" t="str">
            <v>0/1</v>
          </cell>
        </row>
        <row r="39">
          <cell r="B39" t="str">
            <v>SV4_CATEGORY</v>
          </cell>
          <cell r="C39" t="str">
            <v>Category Planning</v>
          </cell>
          <cell r="D39" t="str">
            <v>0/1</v>
          </cell>
        </row>
        <row r="40">
          <cell r="B40" t="str">
            <v>SV5_DEMAND</v>
          </cell>
          <cell r="C40" t="str">
            <v>Demand Forecasting</v>
          </cell>
          <cell r="D40" t="str">
            <v>0/1</v>
          </cell>
        </row>
        <row r="41">
          <cell r="B41" t="str">
            <v>SV6_ACCOUNT</v>
          </cell>
          <cell r="C41" t="str">
            <v>Accountability</v>
          </cell>
          <cell r="D41" t="str">
            <v>0/1</v>
          </cell>
        </row>
        <row r="42">
          <cell r="B42" t="str">
            <v>SV7_OPS</v>
          </cell>
          <cell r="C42" t="str">
            <v>Operationalization &amp; Workflows</v>
          </cell>
          <cell r="D42" t="str">
            <v>0/1</v>
          </cell>
        </row>
        <row r="43">
          <cell r="B43" t="str">
            <v>── CONCERNS TO RESOLVE (0 = not mentioned / 1 = mentioned) ──</v>
          </cell>
        </row>
        <row r="44">
          <cell r="B44" t="str">
            <v>Guidance</v>
          </cell>
          <cell r="C44" t="str">
            <v>1 = interviewee explicitly mentioned this as valuable or relevant. 0 = not mentioned or actively dismissed.</v>
          </cell>
        </row>
        <row r="45">
          <cell r="B45" t="str">
            <v>SC1_DATASENS</v>
          </cell>
          <cell r="C45" t="str">
            <v>Data Sensitivity</v>
          </cell>
          <cell r="D45" t="str">
            <v>0/1</v>
          </cell>
        </row>
        <row r="46">
          <cell r="B46" t="str">
            <v>SC2_COMPLIANCE</v>
          </cell>
          <cell r="C46" t="str">
            <v>Compliance</v>
          </cell>
          <cell r="D46" t="str">
            <v>0/1</v>
          </cell>
        </row>
        <row r="47">
          <cell r="B47" t="str">
            <v>SC3_TRUST</v>
          </cell>
          <cell r="C47" t="str">
            <v>Trust Issues</v>
          </cell>
          <cell r="D47" t="str">
            <v>0/1</v>
          </cell>
        </row>
        <row r="48">
          <cell r="B48" t="str">
            <v>SC4_DATAPROC</v>
          </cell>
          <cell r="C48" t="str">
            <v>Data Processing</v>
          </cell>
          <cell r="D48" t="str">
            <v>0/1</v>
          </cell>
        </row>
        <row r="49">
          <cell r="B49" t="str">
            <v>── CRITICAL TOOL FEATURES (0 = not mentioned / 1 = mentioned) ──</v>
          </cell>
        </row>
        <row r="50">
          <cell r="B50" t="str">
            <v>Guidance</v>
          </cell>
          <cell r="C50" t="str">
            <v>1 = interviewee explicitly mentioned this as valuable or relevant. 0 = not mentioned or actively dismissed.</v>
          </cell>
        </row>
        <row r="51">
          <cell r="B51" t="str">
            <v>SF1_REALTIME</v>
          </cell>
          <cell r="C51" t="str">
            <v>Dynamic, real-time data exchange</v>
          </cell>
          <cell r="D51" t="str">
            <v>0/1</v>
          </cell>
        </row>
        <row r="52">
          <cell r="B52" t="str">
            <v>↳ QUOTE</v>
          </cell>
          <cell r="C52" t="str">
            <v>[Paste verbatim quote from transcript supporting Critical Tool Features scoring]</v>
          </cell>
        </row>
        <row r="53">
          <cell r="B53" t="str">
            <v>SF2_ACCESS</v>
          </cell>
          <cell r="C53" t="str">
            <v>Equal access to shared datasets</v>
          </cell>
          <cell r="D53" t="str">
            <v>0/1</v>
          </cell>
        </row>
        <row r="54">
          <cell r="B54" t="str">
            <v>SF3_UX</v>
          </cell>
          <cell r="C54" t="str">
            <v>Simple UX/UI</v>
          </cell>
          <cell r="D54" t="str">
            <v>0/1</v>
          </cell>
        </row>
        <row r="55">
          <cell r="B55" t="str">
            <v>SF4_DECISION</v>
          </cell>
          <cell r="C55" t="str">
            <v>Allows joint decision making</v>
          </cell>
        </row>
        <row r="56">
          <cell r="B56" t="str">
            <v>SF5_MASKING</v>
          </cell>
          <cell r="C56" t="str">
            <v>Clear masking rules by supplier/user</v>
          </cell>
        </row>
        <row r="57">
          <cell r="B57" t="str">
            <v>── PREFERRED DATASETS (0 = not mentioned / 1 = mentioned) ──</v>
          </cell>
        </row>
        <row r="58">
          <cell r="B58" t="str">
            <v>Guidance</v>
          </cell>
          <cell r="C58" t="str">
            <v>1 = interviewee explicitly mentioned this as valuable or relevant. 0 = not mentioned or actively dismissed.</v>
          </cell>
        </row>
        <row r="59">
          <cell r="B59" t="str">
            <v>SD1_TRENDS</v>
          </cell>
          <cell r="C59" t="str">
            <v>Global trends and insights</v>
          </cell>
          <cell r="D59" t="str">
            <v>0/1</v>
          </cell>
        </row>
        <row r="60">
          <cell r="B60" t="str">
            <v>SD2_MARKET</v>
          </cell>
          <cell r="C60" t="str">
            <v>Market research</v>
          </cell>
          <cell r="D60" t="str">
            <v>0/1</v>
          </cell>
        </row>
        <row r="61">
          <cell r="B61" t="str">
            <v>SD3_CATEGORY</v>
          </cell>
          <cell r="C61" t="str">
            <v>Category performance</v>
          </cell>
          <cell r="D61" t="str">
            <v>0/1</v>
          </cell>
        </row>
        <row r="62">
          <cell r="B62" t="str">
            <v>SD4_SHIPMENT</v>
          </cell>
          <cell r="C62" t="str">
            <v>Shipment schedules</v>
          </cell>
          <cell r="D62" t="str">
            <v>0/1</v>
          </cell>
        </row>
        <row r="63">
          <cell r="B63" t="str">
            <v>SD5_LEAD</v>
          </cell>
          <cell r="C63" t="str">
            <v>Lead times</v>
          </cell>
          <cell r="D63" t="str">
            <v>0/1</v>
          </cell>
        </row>
        <row r="64">
          <cell r="B64" t="str">
            <v>SD6_CONJOINT</v>
          </cell>
          <cell r="C64" t="str">
            <v>Conjoint names</v>
          </cell>
          <cell r="D64" t="str">
            <v>0/1</v>
          </cell>
        </row>
        <row r="65">
          <cell r="B65" t="str">
            <v>Guidance</v>
          </cell>
          <cell r="C65" t="str">
            <v>1 = interviewee explicitly mentioned this as valuable or relevant. 0 = not mentioned or actively dismissed.</v>
          </cell>
        </row>
        <row r="67">
          <cell r="B67" t="str">
            <v>📌 NOTE</v>
          </cell>
          <cell r="C67" t="str">
            <v>Red cells = score needed (new questions with no old data to migrate from). If a transcript note at the top overrides coding guidance, it takes priority.</v>
          </cell>
        </row>
      </sheetData>
      <sheetData sheetId="27">
        <row r="1">
          <cell r="B1" t="str">
            <v>Company 24 — Interview 1</v>
          </cell>
        </row>
        <row r="2">
          <cell r="B2" t="str">
            <v>Interviewee Details</v>
          </cell>
          <cell r="C2" t="str">
            <v>Response</v>
          </cell>
          <cell r="D2" t="str">
            <v>Coding</v>
          </cell>
        </row>
        <row r="3">
          <cell r="B3" t="str">
            <v>Interviewee Name</v>
          </cell>
        </row>
        <row r="4">
          <cell r="B4" t="str">
            <v>Interviewee Position</v>
          </cell>
        </row>
        <row r="5">
          <cell r="B5" t="str">
            <v>Company (Real)</v>
          </cell>
        </row>
        <row r="6">
          <cell r="B6" t="str">
            <v>Company (Disguised)</v>
          </cell>
        </row>
        <row r="7">
          <cell r="B7" t="str">
            <v>Interview Date</v>
          </cell>
        </row>
        <row r="8">
          <cell r="B8" t="str">
            <v>Interviewer</v>
          </cell>
        </row>
        <row r="9">
          <cell r="B9" t="str">
            <v>Interviewer Support</v>
          </cell>
        </row>
        <row r="10">
          <cell r="B10" t="str">
            <v>Company Industry</v>
          </cell>
        </row>
        <row r="11">
          <cell r="B11" t="str">
            <v>Company Sub-Industry</v>
          </cell>
        </row>
        <row r="12">
          <cell r="B12" t="str">
            <v>Company Size (Turnover)</v>
          </cell>
        </row>
        <row r="13">
          <cell r="B13" t="str">
            <v>Country</v>
          </cell>
        </row>
        <row r="15">
          <cell r="B15" t="str">
            <v>Question ID</v>
          </cell>
          <cell r="C15" t="str">
            <v>Question</v>
          </cell>
        </row>
        <row r="16">
          <cell r="B16" t="str">
            <v>── BASELINE BLOCK ──</v>
          </cell>
        </row>
        <row r="17">
          <cell r="B17" t="str">
            <v>B1_INTEREST</v>
          </cell>
          <cell r="C17" t="str">
            <v>Are you interested in data collaboration?</v>
          </cell>
          <cell r="D17" t="str">
            <v>1-10</v>
          </cell>
        </row>
        <row r="18">
          <cell r="B18" t="str">
            <v>↳ QUOTE</v>
          </cell>
          <cell r="C18" t="str">
            <v>[Paste verbatim quote from transcript that supports this score or adds context]</v>
          </cell>
        </row>
        <row r="19">
          <cell r="B19" t="str">
            <v>B2_SHARING</v>
          </cell>
          <cell r="C19" t="str">
            <v>Do you share data currently?</v>
          </cell>
          <cell r="D19" t="str">
            <v>0/1</v>
          </cell>
        </row>
        <row r="20">
          <cell r="B20" t="str">
            <v>B3_MONETIZE</v>
          </cell>
          <cell r="C20" t="str">
            <v>Do you monetize your data currently?</v>
          </cell>
          <cell r="D20" t="str">
            <v>0/1</v>
          </cell>
        </row>
        <row r="21">
          <cell r="B21" t="str">
            <v>B4_STRATEGIC</v>
          </cell>
          <cell r="C21" t="str">
            <v>Do you not share/monetize due to strategic reasons?</v>
          </cell>
          <cell r="D21" t="str">
            <v>0/1</v>
          </cell>
        </row>
        <row r="22">
          <cell r="B22" t="str">
            <v>── DATA SHARING MATURITY (1–5) ──</v>
          </cell>
        </row>
        <row r="23">
          <cell r="B23" t="str">
            <v>Question ID</v>
          </cell>
          <cell r="C23" t="str">
            <v>Question</v>
          </cell>
          <cell r="D23" t="str">
            <v>Scale</v>
          </cell>
          <cell r="E23" t="str">
            <v>SCORE</v>
          </cell>
        </row>
        <row r="24">
          <cell r="B24" t="str">
            <v>M1_AUTOMATED</v>
          </cell>
          <cell r="C24" t="str">
            <v>Is data sharing automated or manual?</v>
          </cell>
          <cell r="D24" t="str">
            <v>1–5</v>
          </cell>
        </row>
        <row r="25">
          <cell r="B25" t="str">
            <v>M2_REALTIME</v>
          </cell>
          <cell r="C25" t="str">
            <v>Is data sharing in real-time, or lagging?</v>
          </cell>
          <cell r="D25" t="str">
            <v>1–5</v>
          </cell>
        </row>
        <row r="26">
          <cell r="B26" t="str">
            <v>M3_STRATEGIC</v>
          </cell>
          <cell r="C26" t="str">
            <v>Is data sharing focused on operations or strategic planning?</v>
          </cell>
          <cell r="D26" t="str">
            <v>1–5</v>
          </cell>
        </row>
        <row r="27">
          <cell r="B27" t="str">
            <v>M4_BREADTH</v>
          </cell>
          <cell r="C27" t="str">
            <v>Is data sharing available to all clients, or based on strategic importance?</v>
          </cell>
          <cell r="D27" t="str">
            <v>1–5</v>
          </cell>
        </row>
        <row r="28">
          <cell r="B28" t="str">
            <v>M5_DATATYPES</v>
          </cell>
          <cell r="C28" t="str">
            <v>Breadth of data exchanged</v>
          </cell>
          <cell r="D28" t="str">
            <v>1–5</v>
          </cell>
        </row>
        <row r="29">
          <cell r="B29" t="str">
            <v>M6_TRUST</v>
          </cell>
          <cell r="C29" t="str">
            <v>Trust in received data</v>
          </cell>
          <cell r="D29" t="str">
            <v>1–5</v>
          </cell>
        </row>
        <row r="30">
          <cell r="B30" t="str">
            <v>M7_BARRIERS</v>
          </cell>
          <cell r="C30" t="str">
            <v>Readiness / barriers to collaborate</v>
          </cell>
          <cell r="D30" t="str">
            <v>1–5</v>
          </cell>
        </row>
        <row r="31">
          <cell r="B31" t="str">
            <v>M8_IMPACT</v>
          </cell>
          <cell r="C31" t="str">
            <v>Operational impact of data gaps</v>
          </cell>
          <cell r="D31" t="str">
            <v>1–5</v>
          </cell>
        </row>
        <row r="32">
          <cell r="B32" t="str">
            <v>M9_WILLINGNESS</v>
          </cell>
          <cell r="C32" t="str">
            <v>Willingness to collaborate overall</v>
          </cell>
          <cell r="D32" t="str">
            <v>1-10</v>
          </cell>
        </row>
        <row r="33">
          <cell r="B33" t="str">
            <v>── VALUE UNLOCK AREAS (0 = not mentioned / 1 = mentioned) ──</v>
          </cell>
        </row>
        <row r="34">
          <cell r="B34" t="str">
            <v>Guidance</v>
          </cell>
          <cell r="C34" t="str">
            <v>1 = interviewee explicitly mentioned this as valuable or relevant. 0 = not mentioned or actively dismissed.</v>
          </cell>
        </row>
        <row r="35">
          <cell r="B35" t="str">
            <v>SV1_PRICING</v>
          </cell>
          <cell r="C35" t="str">
            <v>Pricing</v>
          </cell>
          <cell r="D35" t="str">
            <v>0/1</v>
          </cell>
        </row>
        <row r="36">
          <cell r="B36" t="str">
            <v>↳ QUOTE</v>
          </cell>
          <cell r="C36" t="str">
            <v>[Paste verbatim quote from transcript supporting Value Unlock Areas scoring]</v>
          </cell>
        </row>
        <row r="37">
          <cell r="B37" t="str">
            <v>SV2_PROMOTIONS</v>
          </cell>
          <cell r="C37" t="str">
            <v>Promotions</v>
          </cell>
          <cell r="D37" t="str">
            <v>0/1</v>
          </cell>
        </row>
        <row r="38">
          <cell r="B38" t="str">
            <v>SV3_SUPPLYCHAIN</v>
          </cell>
          <cell r="C38" t="str">
            <v>Supply Chain Management</v>
          </cell>
          <cell r="D38" t="str">
            <v>0/1</v>
          </cell>
        </row>
        <row r="39">
          <cell r="B39" t="str">
            <v>SV4_CATEGORY</v>
          </cell>
          <cell r="C39" t="str">
            <v>Category Planning</v>
          </cell>
          <cell r="D39" t="str">
            <v>0/1</v>
          </cell>
        </row>
        <row r="40">
          <cell r="B40" t="str">
            <v>SV5_DEMAND</v>
          </cell>
          <cell r="C40" t="str">
            <v>Demand Forecasting</v>
          </cell>
          <cell r="D40" t="str">
            <v>0/1</v>
          </cell>
        </row>
        <row r="41">
          <cell r="B41" t="str">
            <v>SV6_ACCOUNT</v>
          </cell>
          <cell r="C41" t="str">
            <v>Accountability</v>
          </cell>
          <cell r="D41" t="str">
            <v>0/1</v>
          </cell>
        </row>
        <row r="42">
          <cell r="B42" t="str">
            <v>SV7_OPS</v>
          </cell>
          <cell r="C42" t="str">
            <v>Operationalization &amp; Workflows</v>
          </cell>
          <cell r="D42" t="str">
            <v>0/1</v>
          </cell>
        </row>
        <row r="43">
          <cell r="B43" t="str">
            <v>── CONCERNS TO RESOLVE (0 = not mentioned / 1 = mentioned) ──</v>
          </cell>
        </row>
        <row r="44">
          <cell r="B44" t="str">
            <v>Guidance</v>
          </cell>
          <cell r="C44" t="str">
            <v>1 = interviewee explicitly mentioned this as valuable or relevant. 0 = not mentioned or actively dismissed.</v>
          </cell>
        </row>
        <row r="45">
          <cell r="B45" t="str">
            <v>SC1_DATASENS</v>
          </cell>
          <cell r="C45" t="str">
            <v>Data Sensitivity</v>
          </cell>
          <cell r="D45" t="str">
            <v>0/1</v>
          </cell>
        </row>
        <row r="46">
          <cell r="B46" t="str">
            <v>SC2_COMPLIANCE</v>
          </cell>
          <cell r="C46" t="str">
            <v>Compliance</v>
          </cell>
          <cell r="D46" t="str">
            <v>0/1</v>
          </cell>
        </row>
        <row r="47">
          <cell r="B47" t="str">
            <v>SC3_TRUST</v>
          </cell>
          <cell r="C47" t="str">
            <v>Trust Issues</v>
          </cell>
          <cell r="D47" t="str">
            <v>0/1</v>
          </cell>
        </row>
        <row r="48">
          <cell r="B48" t="str">
            <v>SC4_DATAPROC</v>
          </cell>
          <cell r="C48" t="str">
            <v>Data Processing</v>
          </cell>
          <cell r="D48" t="str">
            <v>0/1</v>
          </cell>
        </row>
        <row r="49">
          <cell r="B49" t="str">
            <v>── CRITICAL TOOL FEATURES (0 = not mentioned / 1 = mentioned) ──</v>
          </cell>
        </row>
        <row r="50">
          <cell r="B50" t="str">
            <v>Guidance</v>
          </cell>
          <cell r="C50" t="str">
            <v>1 = interviewee explicitly mentioned this as valuable or relevant. 0 = not mentioned or actively dismissed.</v>
          </cell>
        </row>
        <row r="51">
          <cell r="B51" t="str">
            <v>SF1_REALTIME</v>
          </cell>
          <cell r="C51" t="str">
            <v>Dynamic, real-time data exchange</v>
          </cell>
          <cell r="D51" t="str">
            <v>0/1</v>
          </cell>
        </row>
        <row r="52">
          <cell r="B52" t="str">
            <v>↳ QUOTE</v>
          </cell>
          <cell r="C52" t="str">
            <v>[Paste verbatim quote from transcript supporting Critical Tool Features scoring]</v>
          </cell>
        </row>
        <row r="53">
          <cell r="B53" t="str">
            <v>SF2_ACCESS</v>
          </cell>
          <cell r="C53" t="str">
            <v>Equal access to shared datasets</v>
          </cell>
          <cell r="D53" t="str">
            <v>0/1</v>
          </cell>
        </row>
        <row r="54">
          <cell r="B54" t="str">
            <v>SF3_UX</v>
          </cell>
          <cell r="C54" t="str">
            <v>Simple UX/UI</v>
          </cell>
          <cell r="D54" t="str">
            <v>0/1</v>
          </cell>
        </row>
        <row r="55">
          <cell r="B55" t="str">
            <v>SF4_DECISION</v>
          </cell>
          <cell r="C55" t="str">
            <v>Allows joint decision making</v>
          </cell>
        </row>
        <row r="56">
          <cell r="B56" t="str">
            <v>SF5_MASKING</v>
          </cell>
          <cell r="C56" t="str">
            <v>Clear masking rules by supplier/user</v>
          </cell>
        </row>
        <row r="57">
          <cell r="B57" t="str">
            <v>── PREFERRED DATASETS (0 = not mentioned / 1 = mentioned) ──</v>
          </cell>
        </row>
        <row r="58">
          <cell r="B58" t="str">
            <v>Guidance</v>
          </cell>
          <cell r="C58" t="str">
            <v>1 = interviewee explicitly mentioned this as valuable or relevant. 0 = not mentioned or actively dismissed.</v>
          </cell>
        </row>
        <row r="59">
          <cell r="B59" t="str">
            <v>SD1_TRENDS</v>
          </cell>
          <cell r="C59" t="str">
            <v>Global trends and insights</v>
          </cell>
          <cell r="D59" t="str">
            <v>0/1</v>
          </cell>
        </row>
        <row r="60">
          <cell r="B60" t="str">
            <v>SD2_MARKET</v>
          </cell>
          <cell r="C60" t="str">
            <v>Market research</v>
          </cell>
          <cell r="D60" t="str">
            <v>0/1</v>
          </cell>
        </row>
        <row r="61">
          <cell r="B61" t="str">
            <v>SD3_CATEGORY</v>
          </cell>
          <cell r="C61" t="str">
            <v>Category performance</v>
          </cell>
          <cell r="D61" t="str">
            <v>0/1</v>
          </cell>
        </row>
        <row r="62">
          <cell r="B62" t="str">
            <v>SD4_SHIPMENT</v>
          </cell>
          <cell r="C62" t="str">
            <v>Shipment schedules</v>
          </cell>
          <cell r="D62" t="str">
            <v>0/1</v>
          </cell>
        </row>
        <row r="63">
          <cell r="B63" t="str">
            <v>SD5_LEAD</v>
          </cell>
          <cell r="C63" t="str">
            <v>Lead times</v>
          </cell>
          <cell r="D63" t="str">
            <v>0/1</v>
          </cell>
        </row>
        <row r="64">
          <cell r="B64" t="str">
            <v>SD6_CONJOINT</v>
          </cell>
          <cell r="C64" t="str">
            <v>Conjoint names</v>
          </cell>
          <cell r="D64" t="str">
            <v>0/1</v>
          </cell>
        </row>
        <row r="65">
          <cell r="B65" t="str">
            <v>Guidance</v>
          </cell>
          <cell r="C65" t="str">
            <v>1 = interviewee explicitly mentioned this as valuable or relevant. 0 = not mentioned or actively dismissed.</v>
          </cell>
        </row>
        <row r="67">
          <cell r="B67" t="str">
            <v>📌 NOTE</v>
          </cell>
          <cell r="C67" t="str">
            <v>Red cells = score needed (new questions with no old data to migrate from). If a transcript note at the top overrides coding guidance, it takes priority.</v>
          </cell>
        </row>
      </sheetData>
      <sheetData sheetId="28">
        <row r="1">
          <cell r="B1" t="str">
            <v>Company 25 — Interview 1</v>
          </cell>
        </row>
        <row r="2">
          <cell r="B2" t="str">
            <v>Interviewee Details</v>
          </cell>
          <cell r="C2" t="str">
            <v>Response</v>
          </cell>
          <cell r="D2" t="str">
            <v>Coding</v>
          </cell>
        </row>
        <row r="3">
          <cell r="B3" t="str">
            <v>Interviewee Name</v>
          </cell>
        </row>
        <row r="4">
          <cell r="B4" t="str">
            <v>Interviewee Position</v>
          </cell>
        </row>
        <row r="5">
          <cell r="B5" t="str">
            <v>Company (Real)</v>
          </cell>
        </row>
        <row r="6">
          <cell r="B6" t="str">
            <v>Company (Disguised)</v>
          </cell>
        </row>
        <row r="7">
          <cell r="B7" t="str">
            <v>Interview Date</v>
          </cell>
        </row>
        <row r="8">
          <cell r="B8" t="str">
            <v>Interviewer</v>
          </cell>
        </row>
        <row r="9">
          <cell r="B9" t="str">
            <v>Interviewer Support</v>
          </cell>
        </row>
        <row r="10">
          <cell r="B10" t="str">
            <v>Company Industry</v>
          </cell>
        </row>
        <row r="11">
          <cell r="B11" t="str">
            <v>Company Sub-Industry</v>
          </cell>
        </row>
        <row r="12">
          <cell r="B12" t="str">
            <v>Company Size (Turnover)</v>
          </cell>
        </row>
        <row r="13">
          <cell r="B13" t="str">
            <v>Country</v>
          </cell>
        </row>
        <row r="15">
          <cell r="B15" t="str">
            <v>Question ID</v>
          </cell>
          <cell r="C15" t="str">
            <v>Question</v>
          </cell>
        </row>
        <row r="16">
          <cell r="B16" t="str">
            <v>── BASELINE BLOCK ──</v>
          </cell>
        </row>
        <row r="17">
          <cell r="B17" t="str">
            <v>B1_INTEREST</v>
          </cell>
          <cell r="C17" t="str">
            <v>Are you interested in data collaboration?</v>
          </cell>
          <cell r="D17" t="str">
            <v>1-10</v>
          </cell>
        </row>
        <row r="18">
          <cell r="B18" t="str">
            <v>↳ QUOTE</v>
          </cell>
          <cell r="C18" t="str">
            <v>[Paste verbatim quote from transcript that supports this score or adds context]</v>
          </cell>
        </row>
        <row r="19">
          <cell r="B19" t="str">
            <v>B2_SHARING</v>
          </cell>
          <cell r="C19" t="str">
            <v>Do you share data currently?</v>
          </cell>
          <cell r="D19" t="str">
            <v>0/1</v>
          </cell>
        </row>
        <row r="20">
          <cell r="B20" t="str">
            <v>B3_MONETIZE</v>
          </cell>
          <cell r="C20" t="str">
            <v>Do you monetize your data currently?</v>
          </cell>
          <cell r="D20" t="str">
            <v>0/1</v>
          </cell>
        </row>
        <row r="21">
          <cell r="B21" t="str">
            <v>B4_STRATEGIC</v>
          </cell>
          <cell r="C21" t="str">
            <v>Do you not share/monetize due to strategic reasons?</v>
          </cell>
          <cell r="D21" t="str">
            <v>0/1</v>
          </cell>
        </row>
        <row r="22">
          <cell r="B22" t="str">
            <v>── DATA SHARING MATURITY (1–5) ──</v>
          </cell>
        </row>
        <row r="23">
          <cell r="B23" t="str">
            <v>Question ID</v>
          </cell>
          <cell r="C23" t="str">
            <v>Question</v>
          </cell>
          <cell r="D23" t="str">
            <v>Scale</v>
          </cell>
          <cell r="E23" t="str">
            <v>SCORE</v>
          </cell>
        </row>
        <row r="24">
          <cell r="B24" t="str">
            <v>M1_AUTOMATED</v>
          </cell>
          <cell r="C24" t="str">
            <v>Is data sharing automated or manual?</v>
          </cell>
          <cell r="D24" t="str">
            <v>1–5</v>
          </cell>
        </row>
        <row r="25">
          <cell r="B25" t="str">
            <v>M2_REALTIME</v>
          </cell>
          <cell r="C25" t="str">
            <v>Is data sharing in real-time, or lagging?</v>
          </cell>
          <cell r="D25" t="str">
            <v>1–5</v>
          </cell>
        </row>
        <row r="26">
          <cell r="B26" t="str">
            <v>M3_STRATEGIC</v>
          </cell>
          <cell r="C26" t="str">
            <v>Is data sharing focused on operations or strategic planning?</v>
          </cell>
          <cell r="D26" t="str">
            <v>1–5</v>
          </cell>
        </row>
        <row r="27">
          <cell r="B27" t="str">
            <v>M4_BREADTH</v>
          </cell>
          <cell r="C27" t="str">
            <v>Is data sharing available to all clients, or based on strategic importance?</v>
          </cell>
          <cell r="D27" t="str">
            <v>1–5</v>
          </cell>
        </row>
        <row r="28">
          <cell r="B28" t="str">
            <v>M5_DATATYPES</v>
          </cell>
          <cell r="C28" t="str">
            <v>Breadth of data exchanged</v>
          </cell>
          <cell r="D28" t="str">
            <v>1–5</v>
          </cell>
        </row>
        <row r="29">
          <cell r="B29" t="str">
            <v>M6_TRUST</v>
          </cell>
          <cell r="C29" t="str">
            <v>Trust in received data</v>
          </cell>
          <cell r="D29" t="str">
            <v>1–5</v>
          </cell>
        </row>
        <row r="30">
          <cell r="B30" t="str">
            <v>M7_BARRIERS</v>
          </cell>
          <cell r="C30" t="str">
            <v>Readiness / barriers to collaborate</v>
          </cell>
          <cell r="D30" t="str">
            <v>1–5</v>
          </cell>
        </row>
        <row r="31">
          <cell r="B31" t="str">
            <v>M8_IMPACT</v>
          </cell>
          <cell r="C31" t="str">
            <v>Operational impact of data gaps</v>
          </cell>
          <cell r="D31" t="str">
            <v>1–5</v>
          </cell>
        </row>
        <row r="32">
          <cell r="B32" t="str">
            <v>M9_WILLINGNESS</v>
          </cell>
          <cell r="C32" t="str">
            <v>Willingness to collaborate overall</v>
          </cell>
          <cell r="D32" t="str">
            <v>1-10</v>
          </cell>
        </row>
        <row r="33">
          <cell r="B33" t="str">
            <v>── VALUE UNLOCK AREAS (0 = not mentioned / 1 = mentioned) ──</v>
          </cell>
        </row>
        <row r="34">
          <cell r="B34" t="str">
            <v>Guidance</v>
          </cell>
          <cell r="C34" t="str">
            <v>1 = interviewee explicitly mentioned this as valuable or relevant. 0 = not mentioned or actively dismissed.</v>
          </cell>
        </row>
        <row r="35">
          <cell r="B35" t="str">
            <v>SV1_PRICING</v>
          </cell>
          <cell r="C35" t="str">
            <v>Pricing</v>
          </cell>
          <cell r="D35" t="str">
            <v>0/1</v>
          </cell>
        </row>
        <row r="36">
          <cell r="B36" t="str">
            <v>↳ QUOTE</v>
          </cell>
          <cell r="C36" t="str">
            <v>[Paste verbatim quote from transcript supporting Value Unlock Areas scoring]</v>
          </cell>
        </row>
        <row r="37">
          <cell r="B37" t="str">
            <v>SV2_PROMOTIONS</v>
          </cell>
          <cell r="C37" t="str">
            <v>Promotions</v>
          </cell>
          <cell r="D37" t="str">
            <v>0/1</v>
          </cell>
        </row>
        <row r="38">
          <cell r="B38" t="str">
            <v>SV3_SUPPLYCHAIN</v>
          </cell>
          <cell r="C38" t="str">
            <v>Supply Chain Management</v>
          </cell>
          <cell r="D38" t="str">
            <v>0/1</v>
          </cell>
        </row>
        <row r="39">
          <cell r="B39" t="str">
            <v>SV4_CATEGORY</v>
          </cell>
          <cell r="C39" t="str">
            <v>Category Planning</v>
          </cell>
          <cell r="D39" t="str">
            <v>0/1</v>
          </cell>
        </row>
        <row r="40">
          <cell r="B40" t="str">
            <v>SV5_DEMAND</v>
          </cell>
          <cell r="C40" t="str">
            <v>Demand Forecasting</v>
          </cell>
          <cell r="D40" t="str">
            <v>0/1</v>
          </cell>
        </row>
        <row r="41">
          <cell r="B41" t="str">
            <v>SV6_ACCOUNT</v>
          </cell>
          <cell r="C41" t="str">
            <v>Accountability</v>
          </cell>
          <cell r="D41" t="str">
            <v>0/1</v>
          </cell>
        </row>
        <row r="42">
          <cell r="B42" t="str">
            <v>SV7_OPS</v>
          </cell>
          <cell r="C42" t="str">
            <v>Operationalization &amp; Workflows</v>
          </cell>
          <cell r="D42" t="str">
            <v>0/1</v>
          </cell>
        </row>
        <row r="43">
          <cell r="B43" t="str">
            <v>── CONCERNS TO RESOLVE (0 = not mentioned / 1 = mentioned) ──</v>
          </cell>
        </row>
        <row r="44">
          <cell r="B44" t="str">
            <v>Guidance</v>
          </cell>
          <cell r="C44" t="str">
            <v>1 = interviewee explicitly mentioned this as valuable or relevant. 0 = not mentioned or actively dismissed.</v>
          </cell>
        </row>
        <row r="45">
          <cell r="B45" t="str">
            <v>SC1_DATASENS</v>
          </cell>
          <cell r="C45" t="str">
            <v>Data Sensitivity</v>
          </cell>
          <cell r="D45" t="str">
            <v>0/1</v>
          </cell>
        </row>
        <row r="46">
          <cell r="B46" t="str">
            <v>SC2_COMPLIANCE</v>
          </cell>
          <cell r="C46" t="str">
            <v>Compliance</v>
          </cell>
          <cell r="D46" t="str">
            <v>0/1</v>
          </cell>
        </row>
        <row r="47">
          <cell r="B47" t="str">
            <v>SC3_TRUST</v>
          </cell>
          <cell r="C47" t="str">
            <v>Trust Issues</v>
          </cell>
          <cell r="D47" t="str">
            <v>0/1</v>
          </cell>
        </row>
        <row r="48">
          <cell r="B48" t="str">
            <v>SC4_DATAPROC</v>
          </cell>
          <cell r="C48" t="str">
            <v>Data Processing</v>
          </cell>
          <cell r="D48" t="str">
            <v>0/1</v>
          </cell>
        </row>
        <row r="49">
          <cell r="B49" t="str">
            <v>── CRITICAL TOOL FEATURES (0 = not mentioned / 1 = mentioned) ──</v>
          </cell>
        </row>
        <row r="50">
          <cell r="B50" t="str">
            <v>Guidance</v>
          </cell>
          <cell r="C50" t="str">
            <v>1 = interviewee explicitly mentioned this as valuable or relevant. 0 = not mentioned or actively dismissed.</v>
          </cell>
        </row>
        <row r="51">
          <cell r="B51" t="str">
            <v>SF1_REALTIME</v>
          </cell>
          <cell r="C51" t="str">
            <v>Dynamic, real-time data exchange</v>
          </cell>
          <cell r="D51" t="str">
            <v>0/1</v>
          </cell>
        </row>
        <row r="52">
          <cell r="B52" t="str">
            <v>↳ QUOTE</v>
          </cell>
          <cell r="C52" t="str">
            <v>[Paste verbatim quote from transcript supporting Critical Tool Features scoring]</v>
          </cell>
        </row>
        <row r="53">
          <cell r="B53" t="str">
            <v>SF2_ACCESS</v>
          </cell>
          <cell r="C53" t="str">
            <v>Equal access to shared datasets</v>
          </cell>
          <cell r="D53" t="str">
            <v>0/1</v>
          </cell>
        </row>
        <row r="54">
          <cell r="B54" t="str">
            <v>SF3_UX</v>
          </cell>
          <cell r="C54" t="str">
            <v>Simple UX/UI</v>
          </cell>
          <cell r="D54" t="str">
            <v>0/1</v>
          </cell>
        </row>
        <row r="55">
          <cell r="B55" t="str">
            <v>SF4_DECISION</v>
          </cell>
          <cell r="C55" t="str">
            <v>Allows joint decision making</v>
          </cell>
        </row>
        <row r="56">
          <cell r="B56" t="str">
            <v>SF5_MASKING</v>
          </cell>
          <cell r="C56" t="str">
            <v>Clear masking rules by supplier/user</v>
          </cell>
        </row>
        <row r="57">
          <cell r="B57" t="str">
            <v>── PREFERRED DATASETS (0 = not mentioned / 1 = mentioned) ──</v>
          </cell>
        </row>
        <row r="58">
          <cell r="B58" t="str">
            <v>Guidance</v>
          </cell>
          <cell r="C58" t="str">
            <v>1 = interviewee explicitly mentioned this as valuable or relevant. 0 = not mentioned or actively dismissed.</v>
          </cell>
        </row>
        <row r="59">
          <cell r="B59" t="str">
            <v>SD1_TRENDS</v>
          </cell>
          <cell r="C59" t="str">
            <v>Global trends and insights</v>
          </cell>
          <cell r="D59" t="str">
            <v>0/1</v>
          </cell>
        </row>
        <row r="60">
          <cell r="B60" t="str">
            <v>SD2_MARKET</v>
          </cell>
          <cell r="C60" t="str">
            <v>Market research</v>
          </cell>
          <cell r="D60" t="str">
            <v>0/1</v>
          </cell>
        </row>
        <row r="61">
          <cell r="B61" t="str">
            <v>SD3_CATEGORY</v>
          </cell>
          <cell r="C61" t="str">
            <v>Category performance</v>
          </cell>
          <cell r="D61" t="str">
            <v>0/1</v>
          </cell>
        </row>
        <row r="62">
          <cell r="B62" t="str">
            <v>SD4_SHIPMENT</v>
          </cell>
          <cell r="C62" t="str">
            <v>Shipment schedules</v>
          </cell>
          <cell r="D62" t="str">
            <v>0/1</v>
          </cell>
        </row>
        <row r="63">
          <cell r="B63" t="str">
            <v>SD5_LEAD</v>
          </cell>
          <cell r="C63" t="str">
            <v>Lead times</v>
          </cell>
          <cell r="D63" t="str">
            <v>0/1</v>
          </cell>
        </row>
        <row r="64">
          <cell r="B64" t="str">
            <v>SD6_CONJOINT</v>
          </cell>
          <cell r="C64" t="str">
            <v>Conjoint names</v>
          </cell>
          <cell r="D64" t="str">
            <v>0/1</v>
          </cell>
        </row>
        <row r="65">
          <cell r="B65" t="str">
            <v>Guidance</v>
          </cell>
          <cell r="C65" t="str">
            <v>1 = interviewee explicitly mentioned this as valuable or relevant. 0 = not mentioned or actively dismissed.</v>
          </cell>
        </row>
        <row r="67">
          <cell r="B67" t="str">
            <v>📌 NOTE</v>
          </cell>
          <cell r="C67" t="str">
            <v>Red cells = score needed (new questions with no old data to migrate from). If a transcript note at the top overrides coding guidance, it takes priority.</v>
          </cell>
        </row>
      </sheetData>
      <sheetData sheetId="29">
        <row r="1">
          <cell r="B1" t="str">
            <v>Company 26 — Interview 1</v>
          </cell>
        </row>
        <row r="2">
          <cell r="B2" t="str">
            <v>Interviewee Details</v>
          </cell>
          <cell r="C2" t="str">
            <v>Response</v>
          </cell>
          <cell r="D2" t="str">
            <v>Coding</v>
          </cell>
        </row>
        <row r="3">
          <cell r="B3" t="str">
            <v>Interviewee Name</v>
          </cell>
        </row>
        <row r="4">
          <cell r="B4" t="str">
            <v>Interviewee Position</v>
          </cell>
        </row>
        <row r="5">
          <cell r="B5" t="str">
            <v>Company (Real)</v>
          </cell>
        </row>
        <row r="6">
          <cell r="B6" t="str">
            <v>Company (Disguised)</v>
          </cell>
        </row>
        <row r="7">
          <cell r="B7" t="str">
            <v>Interview Date</v>
          </cell>
        </row>
        <row r="8">
          <cell r="B8" t="str">
            <v>Interviewer</v>
          </cell>
        </row>
        <row r="9">
          <cell r="B9" t="str">
            <v>Interviewer Support</v>
          </cell>
        </row>
        <row r="10">
          <cell r="B10" t="str">
            <v>Company Industry</v>
          </cell>
        </row>
        <row r="11">
          <cell r="B11" t="str">
            <v>Company Sub-Industry</v>
          </cell>
        </row>
        <row r="12">
          <cell r="B12" t="str">
            <v>Company Size (Turnover)</v>
          </cell>
        </row>
        <row r="13">
          <cell r="B13" t="str">
            <v>Country</v>
          </cell>
        </row>
        <row r="15">
          <cell r="B15" t="str">
            <v>Question ID</v>
          </cell>
          <cell r="C15" t="str">
            <v>Question</v>
          </cell>
        </row>
        <row r="16">
          <cell r="B16" t="str">
            <v>── BASELINE BLOCK ──</v>
          </cell>
        </row>
        <row r="17">
          <cell r="B17" t="str">
            <v>B1_INTEREST</v>
          </cell>
          <cell r="C17" t="str">
            <v>Are you interested in data collaboration?</v>
          </cell>
          <cell r="D17" t="str">
            <v>1-10</v>
          </cell>
        </row>
        <row r="18">
          <cell r="B18" t="str">
            <v>↳ QUOTE</v>
          </cell>
          <cell r="C18" t="str">
            <v>[Paste verbatim quote from transcript that supports this score or adds context]</v>
          </cell>
        </row>
        <row r="19">
          <cell r="B19" t="str">
            <v>B2_SHARING</v>
          </cell>
          <cell r="C19" t="str">
            <v>Do you share data currently?</v>
          </cell>
          <cell r="D19" t="str">
            <v>0/1</v>
          </cell>
        </row>
        <row r="20">
          <cell r="B20" t="str">
            <v>B3_MONETIZE</v>
          </cell>
          <cell r="C20" t="str">
            <v>Do you monetize your data currently?</v>
          </cell>
          <cell r="D20" t="str">
            <v>0/1</v>
          </cell>
        </row>
        <row r="21">
          <cell r="B21" t="str">
            <v>B4_STRATEGIC</v>
          </cell>
          <cell r="C21" t="str">
            <v>Do you not share/monetize due to strategic reasons?</v>
          </cell>
          <cell r="D21" t="str">
            <v>0/1</v>
          </cell>
        </row>
        <row r="22">
          <cell r="B22" t="str">
            <v>── DATA SHARING MATURITY (1–5) ──</v>
          </cell>
        </row>
        <row r="23">
          <cell r="B23" t="str">
            <v>Question ID</v>
          </cell>
          <cell r="C23" t="str">
            <v>Question</v>
          </cell>
          <cell r="D23" t="str">
            <v>Scale</v>
          </cell>
          <cell r="E23" t="str">
            <v>SCORE</v>
          </cell>
        </row>
        <row r="24">
          <cell r="B24" t="str">
            <v>M1_AUTOMATED</v>
          </cell>
          <cell r="C24" t="str">
            <v>Is data sharing automated or manual?</v>
          </cell>
          <cell r="D24" t="str">
            <v>1–5</v>
          </cell>
        </row>
        <row r="25">
          <cell r="B25" t="str">
            <v>M2_REALTIME</v>
          </cell>
          <cell r="C25" t="str">
            <v>Is data sharing in real-time, or lagging?</v>
          </cell>
          <cell r="D25" t="str">
            <v>1–5</v>
          </cell>
        </row>
        <row r="26">
          <cell r="B26" t="str">
            <v>M3_STRATEGIC</v>
          </cell>
          <cell r="C26" t="str">
            <v>Is data sharing focused on operations or strategic planning?</v>
          </cell>
          <cell r="D26" t="str">
            <v>1–5</v>
          </cell>
        </row>
        <row r="27">
          <cell r="B27" t="str">
            <v>M4_BREADTH</v>
          </cell>
          <cell r="C27" t="str">
            <v>Is data sharing available to all clients, or based on strategic importance?</v>
          </cell>
          <cell r="D27" t="str">
            <v>1–5</v>
          </cell>
        </row>
        <row r="28">
          <cell r="B28" t="str">
            <v>M5_DATATYPES</v>
          </cell>
          <cell r="C28" t="str">
            <v>Breadth of data exchanged</v>
          </cell>
          <cell r="D28" t="str">
            <v>1–5</v>
          </cell>
        </row>
        <row r="29">
          <cell r="B29" t="str">
            <v>M6_TRUST</v>
          </cell>
          <cell r="C29" t="str">
            <v>Trust in received data</v>
          </cell>
          <cell r="D29" t="str">
            <v>1–5</v>
          </cell>
        </row>
        <row r="30">
          <cell r="B30" t="str">
            <v>M7_BARRIERS</v>
          </cell>
          <cell r="C30" t="str">
            <v>Readiness / barriers to collaborate</v>
          </cell>
          <cell r="D30" t="str">
            <v>1–5</v>
          </cell>
        </row>
        <row r="31">
          <cell r="B31" t="str">
            <v>M8_IMPACT</v>
          </cell>
          <cell r="C31" t="str">
            <v>Operational impact of data gaps</v>
          </cell>
          <cell r="D31" t="str">
            <v>1–5</v>
          </cell>
        </row>
        <row r="32">
          <cell r="B32" t="str">
            <v>M9_WILLINGNESS</v>
          </cell>
          <cell r="C32" t="str">
            <v>Willingness to collaborate overall</v>
          </cell>
          <cell r="D32" t="str">
            <v>1-10</v>
          </cell>
        </row>
        <row r="33">
          <cell r="B33" t="str">
            <v>── VALUE UNLOCK AREAS (0 = not mentioned / 1 = mentioned) ──</v>
          </cell>
        </row>
        <row r="34">
          <cell r="B34" t="str">
            <v>Guidance</v>
          </cell>
          <cell r="C34" t="str">
            <v>1 = interviewee explicitly mentioned this as valuable or relevant. 0 = not mentioned or actively dismissed.</v>
          </cell>
        </row>
        <row r="35">
          <cell r="B35" t="str">
            <v>SV1_PRICING</v>
          </cell>
          <cell r="C35" t="str">
            <v>Pricing</v>
          </cell>
          <cell r="D35" t="str">
            <v>0/1</v>
          </cell>
        </row>
        <row r="36">
          <cell r="B36" t="str">
            <v>↳ QUOTE</v>
          </cell>
          <cell r="C36" t="str">
            <v>[Paste verbatim quote from transcript supporting Value Unlock Areas scoring]</v>
          </cell>
        </row>
        <row r="37">
          <cell r="B37" t="str">
            <v>SV2_PROMOTIONS</v>
          </cell>
          <cell r="C37" t="str">
            <v>Promotions</v>
          </cell>
          <cell r="D37" t="str">
            <v>0/1</v>
          </cell>
        </row>
        <row r="38">
          <cell r="B38" t="str">
            <v>SV3_SUPPLYCHAIN</v>
          </cell>
          <cell r="C38" t="str">
            <v>Supply Chain Management</v>
          </cell>
          <cell r="D38" t="str">
            <v>0/1</v>
          </cell>
        </row>
        <row r="39">
          <cell r="B39" t="str">
            <v>SV4_CATEGORY</v>
          </cell>
          <cell r="C39" t="str">
            <v>Category Planning</v>
          </cell>
          <cell r="D39" t="str">
            <v>0/1</v>
          </cell>
        </row>
        <row r="40">
          <cell r="B40" t="str">
            <v>SV5_DEMAND</v>
          </cell>
          <cell r="C40" t="str">
            <v>Demand Forecasting</v>
          </cell>
          <cell r="D40" t="str">
            <v>0/1</v>
          </cell>
        </row>
        <row r="41">
          <cell r="B41" t="str">
            <v>SV6_ACCOUNT</v>
          </cell>
          <cell r="C41" t="str">
            <v>Accountability</v>
          </cell>
          <cell r="D41" t="str">
            <v>0/1</v>
          </cell>
        </row>
        <row r="42">
          <cell r="B42" t="str">
            <v>SV7_OPS</v>
          </cell>
          <cell r="C42" t="str">
            <v>Operationalization &amp; Workflows</v>
          </cell>
          <cell r="D42" t="str">
            <v>0/1</v>
          </cell>
        </row>
        <row r="43">
          <cell r="B43" t="str">
            <v>── CONCERNS TO RESOLVE (0 = not mentioned / 1 = mentioned) ──</v>
          </cell>
        </row>
        <row r="44">
          <cell r="B44" t="str">
            <v>Guidance</v>
          </cell>
          <cell r="C44" t="str">
            <v>1 = interviewee explicitly mentioned this as valuable or relevant. 0 = not mentioned or actively dismissed.</v>
          </cell>
        </row>
        <row r="45">
          <cell r="B45" t="str">
            <v>SC1_DATASENS</v>
          </cell>
          <cell r="C45" t="str">
            <v>Data Sensitivity</v>
          </cell>
          <cell r="D45" t="str">
            <v>0/1</v>
          </cell>
        </row>
        <row r="46">
          <cell r="B46" t="str">
            <v>SC2_COMPLIANCE</v>
          </cell>
          <cell r="C46" t="str">
            <v>Compliance</v>
          </cell>
          <cell r="D46" t="str">
            <v>0/1</v>
          </cell>
        </row>
        <row r="47">
          <cell r="B47" t="str">
            <v>SC3_TRUST</v>
          </cell>
          <cell r="C47" t="str">
            <v>Trust Issues</v>
          </cell>
          <cell r="D47" t="str">
            <v>0/1</v>
          </cell>
        </row>
        <row r="48">
          <cell r="B48" t="str">
            <v>SC4_DATAPROC</v>
          </cell>
          <cell r="C48" t="str">
            <v>Data Processing</v>
          </cell>
          <cell r="D48" t="str">
            <v>0/1</v>
          </cell>
        </row>
        <row r="49">
          <cell r="B49" t="str">
            <v>── CRITICAL TOOL FEATURES (0 = not mentioned / 1 = mentioned) ──</v>
          </cell>
        </row>
        <row r="50">
          <cell r="B50" t="str">
            <v>Guidance</v>
          </cell>
          <cell r="C50" t="str">
            <v>1 = interviewee explicitly mentioned this as valuable or relevant. 0 = not mentioned or actively dismissed.</v>
          </cell>
        </row>
        <row r="51">
          <cell r="B51" t="str">
            <v>SF1_REALTIME</v>
          </cell>
          <cell r="C51" t="str">
            <v>Dynamic, real-time data exchange</v>
          </cell>
          <cell r="D51" t="str">
            <v>0/1</v>
          </cell>
        </row>
        <row r="52">
          <cell r="B52" t="str">
            <v>↳ QUOTE</v>
          </cell>
          <cell r="C52" t="str">
            <v>[Paste verbatim quote from transcript supporting Critical Tool Features scoring]</v>
          </cell>
        </row>
        <row r="53">
          <cell r="B53" t="str">
            <v>SF2_ACCESS</v>
          </cell>
          <cell r="C53" t="str">
            <v>Equal access to shared datasets</v>
          </cell>
          <cell r="D53" t="str">
            <v>0/1</v>
          </cell>
        </row>
        <row r="54">
          <cell r="B54" t="str">
            <v>SF3_UX</v>
          </cell>
          <cell r="C54" t="str">
            <v>Simple UX/UI</v>
          </cell>
          <cell r="D54" t="str">
            <v>0/1</v>
          </cell>
        </row>
        <row r="55">
          <cell r="B55" t="str">
            <v>SF4_DECISION</v>
          </cell>
          <cell r="C55" t="str">
            <v>Allows joint decision making</v>
          </cell>
        </row>
        <row r="56">
          <cell r="B56" t="str">
            <v>SF5_MASKING</v>
          </cell>
          <cell r="C56" t="str">
            <v>Clear masking rules by supplier/user</v>
          </cell>
        </row>
        <row r="57">
          <cell r="B57" t="str">
            <v>── PREFERRED DATASETS (0 = not mentioned / 1 = mentioned) ──</v>
          </cell>
        </row>
        <row r="58">
          <cell r="B58" t="str">
            <v>Guidance</v>
          </cell>
          <cell r="C58" t="str">
            <v>1 = interviewee explicitly mentioned this as valuable or relevant. 0 = not mentioned or actively dismissed.</v>
          </cell>
        </row>
        <row r="59">
          <cell r="B59" t="str">
            <v>SD1_TRENDS</v>
          </cell>
          <cell r="C59" t="str">
            <v>Global trends and insights</v>
          </cell>
          <cell r="D59" t="str">
            <v>0/1</v>
          </cell>
        </row>
        <row r="60">
          <cell r="B60" t="str">
            <v>SD2_MARKET</v>
          </cell>
          <cell r="C60" t="str">
            <v>Market research</v>
          </cell>
          <cell r="D60" t="str">
            <v>0/1</v>
          </cell>
        </row>
        <row r="61">
          <cell r="B61" t="str">
            <v>SD3_CATEGORY</v>
          </cell>
          <cell r="C61" t="str">
            <v>Category performance</v>
          </cell>
          <cell r="D61" t="str">
            <v>0/1</v>
          </cell>
        </row>
        <row r="62">
          <cell r="B62" t="str">
            <v>SD4_SHIPMENT</v>
          </cell>
          <cell r="C62" t="str">
            <v>Shipment schedules</v>
          </cell>
          <cell r="D62" t="str">
            <v>0/1</v>
          </cell>
        </row>
        <row r="63">
          <cell r="B63" t="str">
            <v>SD5_LEAD</v>
          </cell>
          <cell r="C63" t="str">
            <v>Lead times</v>
          </cell>
          <cell r="D63" t="str">
            <v>0/1</v>
          </cell>
        </row>
        <row r="64">
          <cell r="B64" t="str">
            <v>SD6_CONJOINT</v>
          </cell>
          <cell r="C64" t="str">
            <v>Conjoint names</v>
          </cell>
          <cell r="D64" t="str">
            <v>0/1</v>
          </cell>
        </row>
        <row r="65">
          <cell r="B65" t="str">
            <v>Guidance</v>
          </cell>
          <cell r="C65" t="str">
            <v>1 = interviewee explicitly mentioned this as valuable or relevant. 0 = not mentioned or actively dismissed.</v>
          </cell>
        </row>
        <row r="67">
          <cell r="B67" t="str">
            <v>📌 NOTE</v>
          </cell>
          <cell r="C67" t="str">
            <v>Red cells = score needed (new questions with no old data to migrate from). If a transcript note at the top overrides coding guidance, it takes priority.</v>
          </cell>
        </row>
      </sheetData>
      <sheetData sheetId="30">
        <row r="1">
          <cell r="B1" t="str">
            <v>Company 27 — Interview 1</v>
          </cell>
        </row>
        <row r="2">
          <cell r="B2" t="str">
            <v>Interviewee Details</v>
          </cell>
          <cell r="C2" t="str">
            <v>Response</v>
          </cell>
          <cell r="D2" t="str">
            <v>Coding</v>
          </cell>
        </row>
        <row r="3">
          <cell r="B3" t="str">
            <v>Interviewee Name</v>
          </cell>
        </row>
        <row r="4">
          <cell r="B4" t="str">
            <v>Interviewee Position</v>
          </cell>
        </row>
        <row r="5">
          <cell r="B5" t="str">
            <v>Company (Real)</v>
          </cell>
        </row>
        <row r="6">
          <cell r="B6" t="str">
            <v>Company (Disguised)</v>
          </cell>
        </row>
        <row r="7">
          <cell r="B7" t="str">
            <v>Interview Date</v>
          </cell>
        </row>
        <row r="8">
          <cell r="B8" t="str">
            <v>Interviewer</v>
          </cell>
        </row>
        <row r="9">
          <cell r="B9" t="str">
            <v>Interviewer Support</v>
          </cell>
        </row>
        <row r="10">
          <cell r="B10" t="str">
            <v>Company Industry</v>
          </cell>
        </row>
        <row r="11">
          <cell r="B11" t="str">
            <v>Company Sub-Industry</v>
          </cell>
        </row>
        <row r="12">
          <cell r="B12" t="str">
            <v>Company Size (Turnover)</v>
          </cell>
        </row>
        <row r="13">
          <cell r="B13" t="str">
            <v>Country</v>
          </cell>
        </row>
        <row r="15">
          <cell r="B15" t="str">
            <v>Question ID</v>
          </cell>
          <cell r="C15" t="str">
            <v>Question</v>
          </cell>
        </row>
        <row r="16">
          <cell r="B16" t="str">
            <v>── BASELINE BLOCK ──</v>
          </cell>
        </row>
        <row r="17">
          <cell r="B17" t="str">
            <v>B1_INTEREST</v>
          </cell>
          <cell r="C17" t="str">
            <v>Are you interested in data collaboration?</v>
          </cell>
          <cell r="D17" t="str">
            <v>1-10</v>
          </cell>
        </row>
        <row r="18">
          <cell r="B18" t="str">
            <v>↳ QUOTE</v>
          </cell>
          <cell r="C18" t="str">
            <v>[Paste verbatim quote from transcript that supports this score or adds context]</v>
          </cell>
        </row>
        <row r="19">
          <cell r="B19" t="str">
            <v>B2_SHARING</v>
          </cell>
          <cell r="C19" t="str">
            <v>Do you share data currently?</v>
          </cell>
          <cell r="D19" t="str">
            <v>0/1</v>
          </cell>
        </row>
        <row r="20">
          <cell r="B20" t="str">
            <v>B3_MONETIZE</v>
          </cell>
          <cell r="C20" t="str">
            <v>Do you monetize your data currently?</v>
          </cell>
          <cell r="D20" t="str">
            <v>0/1</v>
          </cell>
        </row>
        <row r="21">
          <cell r="B21" t="str">
            <v>B4_STRATEGIC</v>
          </cell>
          <cell r="C21" t="str">
            <v>Do you not share/monetize due to strategic reasons?</v>
          </cell>
          <cell r="D21" t="str">
            <v>0/1</v>
          </cell>
        </row>
        <row r="22">
          <cell r="B22" t="str">
            <v>── DATA SHARING MATURITY (1–5) ──</v>
          </cell>
        </row>
        <row r="23">
          <cell r="B23" t="str">
            <v>Question ID</v>
          </cell>
          <cell r="C23" t="str">
            <v>Question</v>
          </cell>
          <cell r="D23" t="str">
            <v>Scale</v>
          </cell>
          <cell r="E23" t="str">
            <v>SCORE</v>
          </cell>
        </row>
        <row r="24">
          <cell r="B24" t="str">
            <v>M1_AUTOMATED</v>
          </cell>
          <cell r="C24" t="str">
            <v>Is data sharing automated or manual?</v>
          </cell>
          <cell r="D24" t="str">
            <v>1–5</v>
          </cell>
        </row>
        <row r="25">
          <cell r="B25" t="str">
            <v>M2_REALTIME</v>
          </cell>
          <cell r="C25" t="str">
            <v>Is data sharing in real-time, or lagging?</v>
          </cell>
          <cell r="D25" t="str">
            <v>1–5</v>
          </cell>
        </row>
        <row r="26">
          <cell r="B26" t="str">
            <v>M3_STRATEGIC</v>
          </cell>
          <cell r="C26" t="str">
            <v>Is data sharing focused on operations or strategic planning?</v>
          </cell>
          <cell r="D26" t="str">
            <v>1–5</v>
          </cell>
        </row>
        <row r="27">
          <cell r="B27" t="str">
            <v>M4_BREADTH</v>
          </cell>
          <cell r="C27" t="str">
            <v>Is data sharing available to all clients, or based on strategic importance?</v>
          </cell>
          <cell r="D27" t="str">
            <v>1–5</v>
          </cell>
        </row>
        <row r="28">
          <cell r="B28" t="str">
            <v>M5_DATATYPES</v>
          </cell>
          <cell r="C28" t="str">
            <v>Breadth of data exchanged</v>
          </cell>
          <cell r="D28" t="str">
            <v>1–5</v>
          </cell>
        </row>
        <row r="29">
          <cell r="B29" t="str">
            <v>M6_TRUST</v>
          </cell>
          <cell r="C29" t="str">
            <v>Trust in received data</v>
          </cell>
          <cell r="D29" t="str">
            <v>1–5</v>
          </cell>
        </row>
        <row r="30">
          <cell r="B30" t="str">
            <v>M7_BARRIERS</v>
          </cell>
          <cell r="C30" t="str">
            <v>Readiness / barriers to collaborate</v>
          </cell>
          <cell r="D30" t="str">
            <v>1–5</v>
          </cell>
        </row>
        <row r="31">
          <cell r="B31" t="str">
            <v>M8_IMPACT</v>
          </cell>
          <cell r="C31" t="str">
            <v>Operational impact of data gaps</v>
          </cell>
          <cell r="D31" t="str">
            <v>1–5</v>
          </cell>
        </row>
        <row r="32">
          <cell r="B32" t="str">
            <v>M9_WILLINGNESS</v>
          </cell>
          <cell r="C32" t="str">
            <v>Willingness to collaborate overall</v>
          </cell>
          <cell r="D32" t="str">
            <v>1-10</v>
          </cell>
        </row>
        <row r="33">
          <cell r="B33" t="str">
            <v>── VALUE UNLOCK AREAS (0 = not mentioned / 1 = mentioned) ──</v>
          </cell>
        </row>
        <row r="34">
          <cell r="B34" t="str">
            <v>Guidance</v>
          </cell>
          <cell r="C34" t="str">
            <v>1 = interviewee explicitly mentioned this as valuable or relevant. 0 = not mentioned or actively dismissed.</v>
          </cell>
        </row>
        <row r="35">
          <cell r="B35" t="str">
            <v>SV1_PRICING</v>
          </cell>
          <cell r="C35" t="str">
            <v>Pricing</v>
          </cell>
          <cell r="D35" t="str">
            <v>0/1</v>
          </cell>
        </row>
        <row r="36">
          <cell r="B36" t="str">
            <v>↳ QUOTE</v>
          </cell>
          <cell r="C36" t="str">
            <v>[Paste verbatim quote from transcript supporting Value Unlock Areas scoring]</v>
          </cell>
        </row>
        <row r="37">
          <cell r="B37" t="str">
            <v>SV2_PROMOTIONS</v>
          </cell>
          <cell r="C37" t="str">
            <v>Promotions</v>
          </cell>
          <cell r="D37" t="str">
            <v>0/1</v>
          </cell>
        </row>
        <row r="38">
          <cell r="B38" t="str">
            <v>SV3_SUPPLYCHAIN</v>
          </cell>
          <cell r="C38" t="str">
            <v>Supply Chain Management</v>
          </cell>
          <cell r="D38" t="str">
            <v>0/1</v>
          </cell>
        </row>
        <row r="39">
          <cell r="B39" t="str">
            <v>SV4_CATEGORY</v>
          </cell>
          <cell r="C39" t="str">
            <v>Category Planning</v>
          </cell>
          <cell r="D39" t="str">
            <v>0/1</v>
          </cell>
        </row>
        <row r="40">
          <cell r="B40" t="str">
            <v>SV5_DEMAND</v>
          </cell>
          <cell r="C40" t="str">
            <v>Demand Forecasting</v>
          </cell>
          <cell r="D40" t="str">
            <v>0/1</v>
          </cell>
        </row>
        <row r="41">
          <cell r="B41" t="str">
            <v>SV6_ACCOUNT</v>
          </cell>
          <cell r="C41" t="str">
            <v>Accountability</v>
          </cell>
          <cell r="D41" t="str">
            <v>0/1</v>
          </cell>
        </row>
        <row r="42">
          <cell r="B42" t="str">
            <v>SV7_OPS</v>
          </cell>
          <cell r="C42" t="str">
            <v>Operationalization &amp; Workflows</v>
          </cell>
          <cell r="D42" t="str">
            <v>0/1</v>
          </cell>
        </row>
        <row r="43">
          <cell r="B43" t="str">
            <v>── CONCERNS TO RESOLVE (0 = not mentioned / 1 = mentioned) ──</v>
          </cell>
        </row>
        <row r="44">
          <cell r="B44" t="str">
            <v>Guidance</v>
          </cell>
          <cell r="C44" t="str">
            <v>1 = interviewee explicitly mentioned this as valuable or relevant. 0 = not mentioned or actively dismissed.</v>
          </cell>
        </row>
        <row r="45">
          <cell r="B45" t="str">
            <v>SC1_DATASENS</v>
          </cell>
          <cell r="C45" t="str">
            <v>Data Sensitivity</v>
          </cell>
          <cell r="D45" t="str">
            <v>0/1</v>
          </cell>
        </row>
        <row r="46">
          <cell r="B46" t="str">
            <v>SC2_COMPLIANCE</v>
          </cell>
          <cell r="C46" t="str">
            <v>Compliance</v>
          </cell>
          <cell r="D46" t="str">
            <v>0/1</v>
          </cell>
        </row>
        <row r="47">
          <cell r="B47" t="str">
            <v>SC3_TRUST</v>
          </cell>
          <cell r="C47" t="str">
            <v>Trust Issues</v>
          </cell>
          <cell r="D47" t="str">
            <v>0/1</v>
          </cell>
        </row>
        <row r="48">
          <cell r="B48" t="str">
            <v>SC4_DATAPROC</v>
          </cell>
          <cell r="C48" t="str">
            <v>Data Processing</v>
          </cell>
          <cell r="D48" t="str">
            <v>0/1</v>
          </cell>
        </row>
        <row r="49">
          <cell r="B49" t="str">
            <v>── CRITICAL TOOL FEATURES (0 = not mentioned / 1 = mentioned) ──</v>
          </cell>
        </row>
        <row r="50">
          <cell r="B50" t="str">
            <v>Guidance</v>
          </cell>
          <cell r="C50" t="str">
            <v>1 = interviewee explicitly mentioned this as valuable or relevant. 0 = not mentioned or actively dismissed.</v>
          </cell>
        </row>
        <row r="51">
          <cell r="B51" t="str">
            <v>SF1_REALTIME</v>
          </cell>
          <cell r="C51" t="str">
            <v>Dynamic, real-time data exchange</v>
          </cell>
          <cell r="D51" t="str">
            <v>0/1</v>
          </cell>
        </row>
        <row r="52">
          <cell r="B52" t="str">
            <v>↳ QUOTE</v>
          </cell>
          <cell r="C52" t="str">
            <v>[Paste verbatim quote from transcript supporting Critical Tool Features scoring]</v>
          </cell>
        </row>
        <row r="53">
          <cell r="B53" t="str">
            <v>SF2_ACCESS</v>
          </cell>
          <cell r="C53" t="str">
            <v>Equal access to shared datasets</v>
          </cell>
          <cell r="D53" t="str">
            <v>0/1</v>
          </cell>
        </row>
        <row r="54">
          <cell r="B54" t="str">
            <v>SF3_UX</v>
          </cell>
          <cell r="C54" t="str">
            <v>Simple UX/UI</v>
          </cell>
          <cell r="D54" t="str">
            <v>0/1</v>
          </cell>
        </row>
        <row r="55">
          <cell r="B55" t="str">
            <v>SF4_DECISION</v>
          </cell>
          <cell r="C55" t="str">
            <v>Allows joint decision making</v>
          </cell>
        </row>
        <row r="56">
          <cell r="B56" t="str">
            <v>SF5_MASKING</v>
          </cell>
          <cell r="C56" t="str">
            <v>Clear masking rules by supplier/user</v>
          </cell>
        </row>
        <row r="57">
          <cell r="B57" t="str">
            <v>── PREFERRED DATASETS (0 = not mentioned / 1 = mentioned) ──</v>
          </cell>
        </row>
        <row r="58">
          <cell r="B58" t="str">
            <v>Guidance</v>
          </cell>
          <cell r="C58" t="str">
            <v>1 = interviewee explicitly mentioned this as valuable or relevant. 0 = not mentioned or actively dismissed.</v>
          </cell>
        </row>
        <row r="59">
          <cell r="B59" t="str">
            <v>SD1_TRENDS</v>
          </cell>
          <cell r="C59" t="str">
            <v>Global trends and insights</v>
          </cell>
          <cell r="D59" t="str">
            <v>0/1</v>
          </cell>
        </row>
        <row r="60">
          <cell r="B60" t="str">
            <v>SD2_MARKET</v>
          </cell>
          <cell r="C60" t="str">
            <v>Market research</v>
          </cell>
          <cell r="D60" t="str">
            <v>0/1</v>
          </cell>
        </row>
        <row r="61">
          <cell r="B61" t="str">
            <v>SD3_CATEGORY</v>
          </cell>
          <cell r="C61" t="str">
            <v>Category performance</v>
          </cell>
          <cell r="D61" t="str">
            <v>0/1</v>
          </cell>
        </row>
        <row r="62">
          <cell r="B62" t="str">
            <v>SD4_SHIPMENT</v>
          </cell>
          <cell r="C62" t="str">
            <v>Shipment schedules</v>
          </cell>
          <cell r="D62" t="str">
            <v>0/1</v>
          </cell>
        </row>
        <row r="63">
          <cell r="B63" t="str">
            <v>SD5_LEAD</v>
          </cell>
          <cell r="C63" t="str">
            <v>Lead times</v>
          </cell>
          <cell r="D63" t="str">
            <v>0/1</v>
          </cell>
        </row>
        <row r="64">
          <cell r="B64" t="str">
            <v>SD6_CONJOINT</v>
          </cell>
          <cell r="C64" t="str">
            <v>Conjoint names</v>
          </cell>
          <cell r="D64" t="str">
            <v>0/1</v>
          </cell>
        </row>
        <row r="65">
          <cell r="B65" t="str">
            <v>Guidance</v>
          </cell>
          <cell r="C65" t="str">
            <v>1 = interviewee explicitly mentioned this as valuable or relevant. 0 = not mentioned or actively dismissed.</v>
          </cell>
        </row>
        <row r="67">
          <cell r="B67" t="str">
            <v>📌 NOTE</v>
          </cell>
          <cell r="C67" t="str">
            <v>Red cells = score needed (new questions with no old data to migrate from). If a transcript note at the top overrides coding guidance, it takes priority.</v>
          </cell>
        </row>
      </sheetData>
      <sheetData sheetId="31">
        <row r="1">
          <cell r="B1" t="str">
            <v>Company 28 — Interview 1</v>
          </cell>
        </row>
        <row r="2">
          <cell r="B2" t="str">
            <v>Interviewee Details</v>
          </cell>
          <cell r="C2" t="str">
            <v>Response</v>
          </cell>
          <cell r="D2" t="str">
            <v>Coding</v>
          </cell>
        </row>
        <row r="3">
          <cell r="B3" t="str">
            <v>Interviewee Name</v>
          </cell>
        </row>
        <row r="4">
          <cell r="B4" t="str">
            <v>Interviewee Position</v>
          </cell>
        </row>
        <row r="5">
          <cell r="B5" t="str">
            <v>Company (Real)</v>
          </cell>
        </row>
        <row r="6">
          <cell r="B6" t="str">
            <v>Company (Disguised)</v>
          </cell>
        </row>
        <row r="7">
          <cell r="B7" t="str">
            <v>Interview Date</v>
          </cell>
        </row>
        <row r="8">
          <cell r="B8" t="str">
            <v>Interviewer</v>
          </cell>
        </row>
        <row r="9">
          <cell r="B9" t="str">
            <v>Interviewer Support</v>
          </cell>
        </row>
        <row r="10">
          <cell r="B10" t="str">
            <v>Company Industry</v>
          </cell>
        </row>
        <row r="11">
          <cell r="B11" t="str">
            <v>Company Sub-Industry</v>
          </cell>
        </row>
        <row r="12">
          <cell r="B12" t="str">
            <v>Company Size (Turnover)</v>
          </cell>
        </row>
        <row r="13">
          <cell r="B13" t="str">
            <v>Country</v>
          </cell>
        </row>
        <row r="15">
          <cell r="B15" t="str">
            <v>Question ID</v>
          </cell>
          <cell r="C15" t="str">
            <v>Question</v>
          </cell>
        </row>
        <row r="16">
          <cell r="B16" t="str">
            <v>── BASELINE BLOCK ──</v>
          </cell>
        </row>
        <row r="17">
          <cell r="B17" t="str">
            <v>B1_INTEREST</v>
          </cell>
          <cell r="C17" t="str">
            <v>Are you interested in data collaboration?</v>
          </cell>
          <cell r="D17" t="str">
            <v>1-10</v>
          </cell>
        </row>
        <row r="18">
          <cell r="B18" t="str">
            <v>↳ QUOTE</v>
          </cell>
          <cell r="C18" t="str">
            <v>[Paste verbatim quote from transcript that supports this score or adds context]</v>
          </cell>
        </row>
        <row r="19">
          <cell r="B19" t="str">
            <v>B2_SHARING</v>
          </cell>
          <cell r="C19" t="str">
            <v>Do you share data currently?</v>
          </cell>
          <cell r="D19" t="str">
            <v>0/1</v>
          </cell>
        </row>
        <row r="20">
          <cell r="B20" t="str">
            <v>B3_MONETIZE</v>
          </cell>
          <cell r="C20" t="str">
            <v>Do you monetize your data currently?</v>
          </cell>
          <cell r="D20" t="str">
            <v>0/1</v>
          </cell>
        </row>
        <row r="21">
          <cell r="B21" t="str">
            <v>B4_STRATEGIC</v>
          </cell>
          <cell r="C21" t="str">
            <v>Do you not share/monetize due to strategic reasons?</v>
          </cell>
          <cell r="D21" t="str">
            <v>0/1</v>
          </cell>
        </row>
        <row r="22">
          <cell r="B22" t="str">
            <v>── DATA SHARING MATURITY (1–5) ──</v>
          </cell>
        </row>
        <row r="23">
          <cell r="B23" t="str">
            <v>Question ID</v>
          </cell>
          <cell r="C23" t="str">
            <v>Question</v>
          </cell>
          <cell r="D23" t="str">
            <v>Scale</v>
          </cell>
          <cell r="E23" t="str">
            <v>SCORE</v>
          </cell>
        </row>
        <row r="24">
          <cell r="B24" t="str">
            <v>M1_AUTOMATED</v>
          </cell>
          <cell r="C24" t="str">
            <v>Is data sharing automated or manual?</v>
          </cell>
          <cell r="D24" t="str">
            <v>1–5</v>
          </cell>
        </row>
        <row r="25">
          <cell r="B25" t="str">
            <v>M2_REALTIME</v>
          </cell>
          <cell r="C25" t="str">
            <v>Is data sharing in real-time, or lagging?</v>
          </cell>
          <cell r="D25" t="str">
            <v>1–5</v>
          </cell>
        </row>
        <row r="26">
          <cell r="B26" t="str">
            <v>M3_STRATEGIC</v>
          </cell>
          <cell r="C26" t="str">
            <v>Is data sharing focused on operations or strategic planning?</v>
          </cell>
          <cell r="D26" t="str">
            <v>1–5</v>
          </cell>
        </row>
        <row r="27">
          <cell r="B27" t="str">
            <v>M4_BREADTH</v>
          </cell>
          <cell r="C27" t="str">
            <v>Is data sharing available to all clients, or based on strategic importance?</v>
          </cell>
          <cell r="D27" t="str">
            <v>1–5</v>
          </cell>
        </row>
        <row r="28">
          <cell r="B28" t="str">
            <v>M5_DATATYPES</v>
          </cell>
          <cell r="C28" t="str">
            <v>Breadth of data exchanged</v>
          </cell>
          <cell r="D28" t="str">
            <v>1–5</v>
          </cell>
        </row>
        <row r="29">
          <cell r="B29" t="str">
            <v>M6_TRUST</v>
          </cell>
          <cell r="C29" t="str">
            <v>Trust in received data</v>
          </cell>
          <cell r="D29" t="str">
            <v>1–5</v>
          </cell>
        </row>
        <row r="30">
          <cell r="B30" t="str">
            <v>M7_BARRIERS</v>
          </cell>
          <cell r="C30" t="str">
            <v>Readiness / barriers to collaborate</v>
          </cell>
          <cell r="D30" t="str">
            <v>1–5</v>
          </cell>
        </row>
        <row r="31">
          <cell r="B31" t="str">
            <v>M8_IMPACT</v>
          </cell>
          <cell r="C31" t="str">
            <v>Operational impact of data gaps</v>
          </cell>
          <cell r="D31" t="str">
            <v>1–5</v>
          </cell>
        </row>
        <row r="32">
          <cell r="B32" t="str">
            <v>M9_WILLINGNESS</v>
          </cell>
          <cell r="C32" t="str">
            <v>Willingness to collaborate overall</v>
          </cell>
          <cell r="D32" t="str">
            <v>1-10</v>
          </cell>
        </row>
        <row r="33">
          <cell r="B33" t="str">
            <v>── VALUE UNLOCK AREAS (0 = not mentioned / 1 = mentioned) ──</v>
          </cell>
        </row>
        <row r="34">
          <cell r="B34" t="str">
            <v>Guidance</v>
          </cell>
          <cell r="C34" t="str">
            <v>1 = interviewee explicitly mentioned this as valuable or relevant. 0 = not mentioned or actively dismissed.</v>
          </cell>
        </row>
        <row r="35">
          <cell r="B35" t="str">
            <v>SV1_PRICING</v>
          </cell>
          <cell r="C35" t="str">
            <v>Pricing</v>
          </cell>
          <cell r="D35" t="str">
            <v>0/1</v>
          </cell>
        </row>
        <row r="36">
          <cell r="B36" t="str">
            <v>↳ QUOTE</v>
          </cell>
          <cell r="C36" t="str">
            <v>[Paste verbatim quote from transcript supporting Value Unlock Areas scoring]</v>
          </cell>
        </row>
        <row r="37">
          <cell r="B37" t="str">
            <v>SV2_PROMOTIONS</v>
          </cell>
          <cell r="C37" t="str">
            <v>Promotions</v>
          </cell>
          <cell r="D37" t="str">
            <v>0/1</v>
          </cell>
        </row>
        <row r="38">
          <cell r="B38" t="str">
            <v>SV3_SUPPLYCHAIN</v>
          </cell>
          <cell r="C38" t="str">
            <v>Supply Chain Management</v>
          </cell>
          <cell r="D38" t="str">
            <v>0/1</v>
          </cell>
        </row>
        <row r="39">
          <cell r="B39" t="str">
            <v>SV4_CATEGORY</v>
          </cell>
          <cell r="C39" t="str">
            <v>Category Planning</v>
          </cell>
          <cell r="D39" t="str">
            <v>0/1</v>
          </cell>
        </row>
        <row r="40">
          <cell r="B40" t="str">
            <v>SV5_DEMAND</v>
          </cell>
          <cell r="C40" t="str">
            <v>Demand Forecasting</v>
          </cell>
          <cell r="D40" t="str">
            <v>0/1</v>
          </cell>
        </row>
        <row r="41">
          <cell r="B41" t="str">
            <v>SV6_ACCOUNT</v>
          </cell>
          <cell r="C41" t="str">
            <v>Accountability</v>
          </cell>
          <cell r="D41" t="str">
            <v>0/1</v>
          </cell>
        </row>
        <row r="42">
          <cell r="B42" t="str">
            <v>SV7_OPS</v>
          </cell>
          <cell r="C42" t="str">
            <v>Operationalization &amp; Workflows</v>
          </cell>
          <cell r="D42" t="str">
            <v>0/1</v>
          </cell>
        </row>
        <row r="43">
          <cell r="B43" t="str">
            <v>── CONCERNS TO RESOLVE (0 = not mentioned / 1 = mentioned) ──</v>
          </cell>
        </row>
        <row r="44">
          <cell r="B44" t="str">
            <v>Guidance</v>
          </cell>
          <cell r="C44" t="str">
            <v>1 = interviewee explicitly mentioned this as valuable or relevant. 0 = not mentioned or actively dismissed.</v>
          </cell>
        </row>
        <row r="45">
          <cell r="B45" t="str">
            <v>SC1_DATASENS</v>
          </cell>
          <cell r="C45" t="str">
            <v>Data Sensitivity</v>
          </cell>
          <cell r="D45" t="str">
            <v>0/1</v>
          </cell>
        </row>
        <row r="46">
          <cell r="B46" t="str">
            <v>SC2_COMPLIANCE</v>
          </cell>
          <cell r="C46" t="str">
            <v>Compliance</v>
          </cell>
          <cell r="D46" t="str">
            <v>0/1</v>
          </cell>
        </row>
        <row r="47">
          <cell r="B47" t="str">
            <v>SC3_TRUST</v>
          </cell>
          <cell r="C47" t="str">
            <v>Trust Issues</v>
          </cell>
          <cell r="D47" t="str">
            <v>0/1</v>
          </cell>
        </row>
        <row r="48">
          <cell r="B48" t="str">
            <v>SC4_DATAPROC</v>
          </cell>
          <cell r="C48" t="str">
            <v>Data Processing</v>
          </cell>
          <cell r="D48" t="str">
            <v>0/1</v>
          </cell>
        </row>
        <row r="49">
          <cell r="B49" t="str">
            <v>── CRITICAL TOOL FEATURES (0 = not mentioned / 1 = mentioned) ──</v>
          </cell>
        </row>
        <row r="50">
          <cell r="B50" t="str">
            <v>Guidance</v>
          </cell>
          <cell r="C50" t="str">
            <v>1 = interviewee explicitly mentioned this as valuable or relevant. 0 = not mentioned or actively dismissed.</v>
          </cell>
        </row>
        <row r="51">
          <cell r="B51" t="str">
            <v>SF1_REALTIME</v>
          </cell>
          <cell r="C51" t="str">
            <v>Dynamic, real-time data exchange</v>
          </cell>
          <cell r="D51" t="str">
            <v>0/1</v>
          </cell>
        </row>
        <row r="52">
          <cell r="B52" t="str">
            <v>↳ QUOTE</v>
          </cell>
          <cell r="C52" t="str">
            <v>[Paste verbatim quote from transcript supporting Critical Tool Features scoring]</v>
          </cell>
        </row>
        <row r="53">
          <cell r="B53" t="str">
            <v>SF2_ACCESS</v>
          </cell>
          <cell r="C53" t="str">
            <v>Equal access to shared datasets</v>
          </cell>
          <cell r="D53" t="str">
            <v>0/1</v>
          </cell>
        </row>
        <row r="54">
          <cell r="B54" t="str">
            <v>SF3_UX</v>
          </cell>
          <cell r="C54" t="str">
            <v>Simple UX/UI</v>
          </cell>
          <cell r="D54" t="str">
            <v>0/1</v>
          </cell>
        </row>
        <row r="55">
          <cell r="B55" t="str">
            <v>SF4_DECISION</v>
          </cell>
          <cell r="C55" t="str">
            <v>Allows joint decision making</v>
          </cell>
        </row>
        <row r="56">
          <cell r="B56" t="str">
            <v>SF5_MASKING</v>
          </cell>
          <cell r="C56" t="str">
            <v>Clear masking rules by supplier/user</v>
          </cell>
        </row>
        <row r="57">
          <cell r="B57" t="str">
            <v>── PREFERRED DATASETS (0 = not mentioned / 1 = mentioned) ──</v>
          </cell>
        </row>
        <row r="58">
          <cell r="B58" t="str">
            <v>Guidance</v>
          </cell>
          <cell r="C58" t="str">
            <v>1 = interviewee explicitly mentioned this as valuable or relevant. 0 = not mentioned or actively dismissed.</v>
          </cell>
        </row>
        <row r="59">
          <cell r="B59" t="str">
            <v>SD1_TRENDS</v>
          </cell>
          <cell r="C59" t="str">
            <v>Global trends and insights</v>
          </cell>
          <cell r="D59" t="str">
            <v>0/1</v>
          </cell>
        </row>
        <row r="60">
          <cell r="B60" t="str">
            <v>SD2_MARKET</v>
          </cell>
          <cell r="C60" t="str">
            <v>Market research</v>
          </cell>
          <cell r="D60" t="str">
            <v>0/1</v>
          </cell>
        </row>
        <row r="61">
          <cell r="B61" t="str">
            <v>SD3_CATEGORY</v>
          </cell>
          <cell r="C61" t="str">
            <v>Category performance</v>
          </cell>
          <cell r="D61" t="str">
            <v>0/1</v>
          </cell>
        </row>
        <row r="62">
          <cell r="B62" t="str">
            <v>SD4_SHIPMENT</v>
          </cell>
          <cell r="C62" t="str">
            <v>Shipment schedules</v>
          </cell>
          <cell r="D62" t="str">
            <v>0/1</v>
          </cell>
        </row>
        <row r="63">
          <cell r="B63" t="str">
            <v>SD5_LEAD</v>
          </cell>
          <cell r="C63" t="str">
            <v>Lead times</v>
          </cell>
          <cell r="D63" t="str">
            <v>0/1</v>
          </cell>
        </row>
        <row r="64">
          <cell r="B64" t="str">
            <v>SD6_CONJOINT</v>
          </cell>
          <cell r="C64" t="str">
            <v>Conjoint names</v>
          </cell>
          <cell r="D64" t="str">
            <v>0/1</v>
          </cell>
        </row>
        <row r="65">
          <cell r="B65" t="str">
            <v>Guidance</v>
          </cell>
          <cell r="C65" t="str">
            <v>1 = interviewee explicitly mentioned this as valuable or relevant. 0 = not mentioned or actively dismissed.</v>
          </cell>
        </row>
        <row r="67">
          <cell r="B67" t="str">
            <v>📌 NOTE</v>
          </cell>
          <cell r="C67" t="str">
            <v>Red cells = score needed (new questions with no old data to migrate from). If a transcript note at the top overrides coding guidance, it takes priority.</v>
          </cell>
        </row>
      </sheetData>
      <sheetData sheetId="32">
        <row r="1">
          <cell r="B1" t="str">
            <v>Company 29 — Interview 1</v>
          </cell>
        </row>
        <row r="2">
          <cell r="B2" t="str">
            <v>Interviewee Details</v>
          </cell>
          <cell r="C2" t="str">
            <v>Response</v>
          </cell>
          <cell r="D2" t="str">
            <v>Coding</v>
          </cell>
        </row>
        <row r="3">
          <cell r="B3" t="str">
            <v>Interviewee Name</v>
          </cell>
        </row>
        <row r="4">
          <cell r="B4" t="str">
            <v>Interviewee Position</v>
          </cell>
        </row>
        <row r="5">
          <cell r="B5" t="str">
            <v>Company (Real)</v>
          </cell>
        </row>
        <row r="6">
          <cell r="B6" t="str">
            <v>Company (Disguised)</v>
          </cell>
        </row>
        <row r="7">
          <cell r="B7" t="str">
            <v>Interview Date</v>
          </cell>
        </row>
        <row r="8">
          <cell r="B8" t="str">
            <v>Interviewer</v>
          </cell>
        </row>
        <row r="9">
          <cell r="B9" t="str">
            <v>Interviewer Support</v>
          </cell>
        </row>
        <row r="10">
          <cell r="B10" t="str">
            <v>Company Industry</v>
          </cell>
        </row>
        <row r="11">
          <cell r="B11" t="str">
            <v>Company Sub-Industry</v>
          </cell>
        </row>
        <row r="12">
          <cell r="B12" t="str">
            <v>Company Size (Turnover)</v>
          </cell>
        </row>
        <row r="13">
          <cell r="B13" t="str">
            <v>Country</v>
          </cell>
        </row>
        <row r="15">
          <cell r="B15" t="str">
            <v>Question ID</v>
          </cell>
          <cell r="C15" t="str">
            <v>Question</v>
          </cell>
        </row>
        <row r="16">
          <cell r="B16" t="str">
            <v>── BASELINE BLOCK ──</v>
          </cell>
        </row>
        <row r="17">
          <cell r="B17" t="str">
            <v>B1_INTEREST</v>
          </cell>
          <cell r="C17" t="str">
            <v>Are you interested in data collaboration?</v>
          </cell>
          <cell r="D17" t="str">
            <v>1-10</v>
          </cell>
        </row>
        <row r="18">
          <cell r="B18" t="str">
            <v>↳ QUOTE</v>
          </cell>
          <cell r="C18" t="str">
            <v>[Paste verbatim quote from transcript that supports this score or adds context]</v>
          </cell>
        </row>
        <row r="19">
          <cell r="B19" t="str">
            <v>B2_SHARING</v>
          </cell>
          <cell r="C19" t="str">
            <v>Do you share data currently?</v>
          </cell>
          <cell r="D19" t="str">
            <v>0/1</v>
          </cell>
        </row>
        <row r="20">
          <cell r="B20" t="str">
            <v>B3_MONETIZE</v>
          </cell>
          <cell r="C20" t="str">
            <v>Do you monetize your data currently?</v>
          </cell>
          <cell r="D20" t="str">
            <v>0/1</v>
          </cell>
        </row>
        <row r="21">
          <cell r="B21" t="str">
            <v>B4_STRATEGIC</v>
          </cell>
          <cell r="C21" t="str">
            <v>Do you not share/monetize due to strategic reasons?</v>
          </cell>
          <cell r="D21" t="str">
            <v>0/1</v>
          </cell>
        </row>
        <row r="22">
          <cell r="B22" t="str">
            <v>── DATA SHARING MATURITY (1–5) ──</v>
          </cell>
        </row>
        <row r="23">
          <cell r="B23" t="str">
            <v>Question ID</v>
          </cell>
          <cell r="C23" t="str">
            <v>Question</v>
          </cell>
          <cell r="D23" t="str">
            <v>Scale</v>
          </cell>
          <cell r="E23" t="str">
            <v>SCORE</v>
          </cell>
        </row>
        <row r="24">
          <cell r="B24" t="str">
            <v>M1_AUTOMATED</v>
          </cell>
          <cell r="C24" t="str">
            <v>Is data sharing automated or manual?</v>
          </cell>
          <cell r="D24" t="str">
            <v>1–5</v>
          </cell>
        </row>
        <row r="25">
          <cell r="B25" t="str">
            <v>M2_REALTIME</v>
          </cell>
          <cell r="C25" t="str">
            <v>Is data sharing in real-time, or lagging?</v>
          </cell>
          <cell r="D25" t="str">
            <v>1–5</v>
          </cell>
        </row>
        <row r="26">
          <cell r="B26" t="str">
            <v>M3_STRATEGIC</v>
          </cell>
          <cell r="C26" t="str">
            <v>Is data sharing focused on operations or strategic planning?</v>
          </cell>
          <cell r="D26" t="str">
            <v>1–5</v>
          </cell>
        </row>
        <row r="27">
          <cell r="B27" t="str">
            <v>M4_BREADTH</v>
          </cell>
          <cell r="C27" t="str">
            <v>Is data sharing available to all clients, or based on strategic importance?</v>
          </cell>
          <cell r="D27" t="str">
            <v>1–5</v>
          </cell>
        </row>
        <row r="28">
          <cell r="B28" t="str">
            <v>M5_DATATYPES</v>
          </cell>
          <cell r="C28" t="str">
            <v>Breadth of data exchanged</v>
          </cell>
          <cell r="D28" t="str">
            <v>1–5</v>
          </cell>
        </row>
        <row r="29">
          <cell r="B29" t="str">
            <v>M6_TRUST</v>
          </cell>
          <cell r="C29" t="str">
            <v>Trust in received data</v>
          </cell>
          <cell r="D29" t="str">
            <v>1–5</v>
          </cell>
        </row>
        <row r="30">
          <cell r="B30" t="str">
            <v>M7_BARRIERS</v>
          </cell>
          <cell r="C30" t="str">
            <v>Readiness / barriers to collaborate</v>
          </cell>
          <cell r="D30" t="str">
            <v>1–5</v>
          </cell>
        </row>
        <row r="31">
          <cell r="B31" t="str">
            <v>M8_IMPACT</v>
          </cell>
          <cell r="C31" t="str">
            <v>Operational impact of data gaps</v>
          </cell>
          <cell r="D31" t="str">
            <v>1–5</v>
          </cell>
        </row>
        <row r="32">
          <cell r="B32" t="str">
            <v>M9_WILLINGNESS</v>
          </cell>
          <cell r="C32" t="str">
            <v>Willingness to collaborate overall</v>
          </cell>
          <cell r="D32" t="str">
            <v>1-10</v>
          </cell>
        </row>
        <row r="33">
          <cell r="B33" t="str">
            <v>── VALUE UNLOCK AREAS (0 = not mentioned / 1 = mentioned) ──</v>
          </cell>
        </row>
        <row r="34">
          <cell r="B34" t="str">
            <v>Guidance</v>
          </cell>
          <cell r="C34" t="str">
            <v>1 = interviewee explicitly mentioned this as valuable or relevant. 0 = not mentioned or actively dismissed.</v>
          </cell>
        </row>
        <row r="35">
          <cell r="B35" t="str">
            <v>SV1_PRICING</v>
          </cell>
          <cell r="C35" t="str">
            <v>Pricing</v>
          </cell>
          <cell r="D35" t="str">
            <v>0/1</v>
          </cell>
        </row>
        <row r="36">
          <cell r="B36" t="str">
            <v>↳ QUOTE</v>
          </cell>
          <cell r="C36" t="str">
            <v>[Paste verbatim quote from transcript supporting Value Unlock Areas scoring]</v>
          </cell>
        </row>
        <row r="37">
          <cell r="B37" t="str">
            <v>SV2_PROMOTIONS</v>
          </cell>
          <cell r="C37" t="str">
            <v>Promotions</v>
          </cell>
          <cell r="D37" t="str">
            <v>0/1</v>
          </cell>
        </row>
        <row r="38">
          <cell r="B38" t="str">
            <v>SV3_SUPPLYCHAIN</v>
          </cell>
          <cell r="C38" t="str">
            <v>Supply Chain Management</v>
          </cell>
          <cell r="D38" t="str">
            <v>0/1</v>
          </cell>
        </row>
        <row r="39">
          <cell r="B39" t="str">
            <v>SV4_CATEGORY</v>
          </cell>
          <cell r="C39" t="str">
            <v>Category Planning</v>
          </cell>
          <cell r="D39" t="str">
            <v>0/1</v>
          </cell>
        </row>
        <row r="40">
          <cell r="B40" t="str">
            <v>SV5_DEMAND</v>
          </cell>
          <cell r="C40" t="str">
            <v>Demand Forecasting</v>
          </cell>
          <cell r="D40" t="str">
            <v>0/1</v>
          </cell>
        </row>
        <row r="41">
          <cell r="B41" t="str">
            <v>SV6_ACCOUNT</v>
          </cell>
          <cell r="C41" t="str">
            <v>Accountability</v>
          </cell>
          <cell r="D41" t="str">
            <v>0/1</v>
          </cell>
        </row>
        <row r="42">
          <cell r="B42" t="str">
            <v>SV7_OPS</v>
          </cell>
          <cell r="C42" t="str">
            <v>Operationalization &amp; Workflows</v>
          </cell>
          <cell r="D42" t="str">
            <v>0/1</v>
          </cell>
        </row>
        <row r="43">
          <cell r="B43" t="str">
            <v>── CONCERNS TO RESOLVE (0 = not mentioned / 1 = mentioned) ──</v>
          </cell>
        </row>
        <row r="44">
          <cell r="B44" t="str">
            <v>Guidance</v>
          </cell>
          <cell r="C44" t="str">
            <v>1 = interviewee explicitly mentioned this as valuable or relevant. 0 = not mentioned or actively dismissed.</v>
          </cell>
        </row>
        <row r="45">
          <cell r="B45" t="str">
            <v>SC1_DATASENS</v>
          </cell>
          <cell r="C45" t="str">
            <v>Data Sensitivity</v>
          </cell>
          <cell r="D45" t="str">
            <v>0/1</v>
          </cell>
        </row>
        <row r="46">
          <cell r="B46" t="str">
            <v>SC2_COMPLIANCE</v>
          </cell>
          <cell r="C46" t="str">
            <v>Compliance</v>
          </cell>
          <cell r="D46" t="str">
            <v>0/1</v>
          </cell>
        </row>
        <row r="47">
          <cell r="B47" t="str">
            <v>SC3_TRUST</v>
          </cell>
          <cell r="C47" t="str">
            <v>Trust Issues</v>
          </cell>
          <cell r="D47" t="str">
            <v>0/1</v>
          </cell>
        </row>
        <row r="48">
          <cell r="B48" t="str">
            <v>SC4_DATAPROC</v>
          </cell>
          <cell r="C48" t="str">
            <v>Data Processing</v>
          </cell>
          <cell r="D48" t="str">
            <v>0/1</v>
          </cell>
        </row>
        <row r="49">
          <cell r="B49" t="str">
            <v>── CRITICAL TOOL FEATURES (0 = not mentioned / 1 = mentioned) ──</v>
          </cell>
        </row>
        <row r="50">
          <cell r="B50" t="str">
            <v>Guidance</v>
          </cell>
          <cell r="C50" t="str">
            <v>1 = interviewee explicitly mentioned this as valuable or relevant. 0 = not mentioned or actively dismissed.</v>
          </cell>
        </row>
        <row r="51">
          <cell r="B51" t="str">
            <v>SF1_REALTIME</v>
          </cell>
          <cell r="C51" t="str">
            <v>Dynamic, real-time data exchange</v>
          </cell>
          <cell r="D51" t="str">
            <v>0/1</v>
          </cell>
        </row>
        <row r="52">
          <cell r="B52" t="str">
            <v>↳ QUOTE</v>
          </cell>
          <cell r="C52" t="str">
            <v>[Paste verbatim quote from transcript supporting Critical Tool Features scoring]</v>
          </cell>
        </row>
        <row r="53">
          <cell r="B53" t="str">
            <v>SF2_ACCESS</v>
          </cell>
          <cell r="C53" t="str">
            <v>Equal access to shared datasets</v>
          </cell>
          <cell r="D53" t="str">
            <v>0/1</v>
          </cell>
        </row>
        <row r="54">
          <cell r="B54" t="str">
            <v>SF3_UX</v>
          </cell>
          <cell r="C54" t="str">
            <v>Simple UX/UI</v>
          </cell>
          <cell r="D54" t="str">
            <v>0/1</v>
          </cell>
        </row>
        <row r="55">
          <cell r="B55" t="str">
            <v>SF4_DECISION</v>
          </cell>
          <cell r="C55" t="str">
            <v>Allows joint decision making</v>
          </cell>
        </row>
        <row r="56">
          <cell r="B56" t="str">
            <v>SF5_MASKING</v>
          </cell>
          <cell r="C56" t="str">
            <v>Clear masking rules by supplier/user</v>
          </cell>
        </row>
        <row r="57">
          <cell r="B57" t="str">
            <v>── PREFERRED DATASETS (0 = not mentioned / 1 = mentioned) ──</v>
          </cell>
        </row>
        <row r="58">
          <cell r="B58" t="str">
            <v>Guidance</v>
          </cell>
          <cell r="C58" t="str">
            <v>1 = interviewee explicitly mentioned this as valuable or relevant. 0 = not mentioned or actively dismissed.</v>
          </cell>
        </row>
        <row r="59">
          <cell r="B59" t="str">
            <v>SD1_TRENDS</v>
          </cell>
          <cell r="C59" t="str">
            <v>Global trends and insights</v>
          </cell>
          <cell r="D59" t="str">
            <v>0/1</v>
          </cell>
        </row>
        <row r="60">
          <cell r="B60" t="str">
            <v>SD2_MARKET</v>
          </cell>
          <cell r="C60" t="str">
            <v>Market research</v>
          </cell>
          <cell r="D60" t="str">
            <v>0/1</v>
          </cell>
        </row>
        <row r="61">
          <cell r="B61" t="str">
            <v>SD3_CATEGORY</v>
          </cell>
          <cell r="C61" t="str">
            <v>Category performance</v>
          </cell>
          <cell r="D61" t="str">
            <v>0/1</v>
          </cell>
        </row>
        <row r="62">
          <cell r="B62" t="str">
            <v>SD4_SHIPMENT</v>
          </cell>
          <cell r="C62" t="str">
            <v>Shipment schedules</v>
          </cell>
          <cell r="D62" t="str">
            <v>0/1</v>
          </cell>
        </row>
        <row r="63">
          <cell r="B63" t="str">
            <v>SD5_LEAD</v>
          </cell>
          <cell r="C63" t="str">
            <v>Lead times</v>
          </cell>
          <cell r="D63" t="str">
            <v>0/1</v>
          </cell>
        </row>
        <row r="64">
          <cell r="B64" t="str">
            <v>SD6_CONJOINT</v>
          </cell>
          <cell r="C64" t="str">
            <v>Conjoint names</v>
          </cell>
          <cell r="D64" t="str">
            <v>0/1</v>
          </cell>
        </row>
        <row r="65">
          <cell r="B65" t="str">
            <v>Guidance</v>
          </cell>
          <cell r="C65" t="str">
            <v>1 = interviewee explicitly mentioned this as valuable or relevant. 0 = not mentioned or actively dismissed.</v>
          </cell>
        </row>
        <row r="67">
          <cell r="B67" t="str">
            <v>📌 NOTE</v>
          </cell>
          <cell r="C67" t="str">
            <v>Red cells = score needed (new questions with no old data to migrate from). If a transcript note at the top overrides coding guidance, it takes priority.</v>
          </cell>
        </row>
      </sheetData>
      <sheetData sheetId="33">
        <row r="1">
          <cell r="B1" t="str">
            <v>Company 30 — Interview 1</v>
          </cell>
        </row>
        <row r="2">
          <cell r="B2" t="str">
            <v>Interviewee Details</v>
          </cell>
          <cell r="C2" t="str">
            <v>Response</v>
          </cell>
          <cell r="D2" t="str">
            <v>Coding</v>
          </cell>
        </row>
        <row r="3">
          <cell r="B3" t="str">
            <v>Interviewee Name</v>
          </cell>
        </row>
        <row r="4">
          <cell r="B4" t="str">
            <v>Interviewee Position</v>
          </cell>
        </row>
        <row r="5">
          <cell r="B5" t="str">
            <v>Company (Real)</v>
          </cell>
        </row>
        <row r="6">
          <cell r="B6" t="str">
            <v>Company (Disguised)</v>
          </cell>
        </row>
        <row r="7">
          <cell r="B7" t="str">
            <v>Interview Date</v>
          </cell>
        </row>
        <row r="8">
          <cell r="B8" t="str">
            <v>Interviewer</v>
          </cell>
        </row>
        <row r="9">
          <cell r="B9" t="str">
            <v>Interviewer Support</v>
          </cell>
        </row>
        <row r="10">
          <cell r="B10" t="str">
            <v>Company Industry</v>
          </cell>
        </row>
        <row r="11">
          <cell r="B11" t="str">
            <v>Company Sub-Industry</v>
          </cell>
        </row>
        <row r="12">
          <cell r="B12" t="str">
            <v>Company Size (Turnover)</v>
          </cell>
        </row>
        <row r="13">
          <cell r="B13" t="str">
            <v>Country</v>
          </cell>
        </row>
        <row r="15">
          <cell r="B15" t="str">
            <v>Question ID</v>
          </cell>
          <cell r="C15" t="str">
            <v>Question</v>
          </cell>
        </row>
        <row r="16">
          <cell r="B16" t="str">
            <v>── BASELINE BLOCK ──</v>
          </cell>
        </row>
        <row r="17">
          <cell r="B17" t="str">
            <v>B1_INTEREST</v>
          </cell>
          <cell r="C17" t="str">
            <v>Are you interested in data collaboration?</v>
          </cell>
          <cell r="D17" t="str">
            <v>1-10</v>
          </cell>
        </row>
        <row r="18">
          <cell r="B18" t="str">
            <v>↳ QUOTE</v>
          </cell>
          <cell r="C18" t="str">
            <v>[Paste verbatim quote from transcript that supports this score or adds context]</v>
          </cell>
        </row>
        <row r="19">
          <cell r="B19" t="str">
            <v>B2_SHARING</v>
          </cell>
          <cell r="C19" t="str">
            <v>Do you share data currently?</v>
          </cell>
          <cell r="D19" t="str">
            <v>0/1</v>
          </cell>
        </row>
        <row r="20">
          <cell r="B20" t="str">
            <v>B3_MONETIZE</v>
          </cell>
          <cell r="C20" t="str">
            <v>Do you monetize your data currently?</v>
          </cell>
          <cell r="D20" t="str">
            <v>0/1</v>
          </cell>
        </row>
        <row r="21">
          <cell r="B21" t="str">
            <v>B4_STRATEGIC</v>
          </cell>
          <cell r="C21" t="str">
            <v>Do you not share/monetize due to strategic reasons?</v>
          </cell>
          <cell r="D21" t="str">
            <v>0/1</v>
          </cell>
        </row>
        <row r="22">
          <cell r="B22" t="str">
            <v>── DATA SHARING MATURITY (1–5) ──</v>
          </cell>
        </row>
        <row r="23">
          <cell r="B23" t="str">
            <v>Question ID</v>
          </cell>
          <cell r="C23" t="str">
            <v>Question</v>
          </cell>
          <cell r="D23" t="str">
            <v>Scale</v>
          </cell>
          <cell r="E23" t="str">
            <v>SCORE</v>
          </cell>
        </row>
        <row r="24">
          <cell r="B24" t="str">
            <v>M1_AUTOMATED</v>
          </cell>
          <cell r="C24" t="str">
            <v>Is data sharing automated or manual?</v>
          </cell>
          <cell r="D24" t="str">
            <v>1–5</v>
          </cell>
        </row>
        <row r="25">
          <cell r="B25" t="str">
            <v>M2_REALTIME</v>
          </cell>
          <cell r="C25" t="str">
            <v>Is data sharing in real-time, or lagging?</v>
          </cell>
          <cell r="D25" t="str">
            <v>1–5</v>
          </cell>
        </row>
        <row r="26">
          <cell r="B26" t="str">
            <v>M3_STRATEGIC</v>
          </cell>
          <cell r="C26" t="str">
            <v>Is data sharing focused on operations or strategic planning?</v>
          </cell>
          <cell r="D26" t="str">
            <v>1–5</v>
          </cell>
        </row>
        <row r="27">
          <cell r="B27" t="str">
            <v>M4_BREADTH</v>
          </cell>
          <cell r="C27" t="str">
            <v>Is data sharing available to all clients, or based on strategic importance?</v>
          </cell>
          <cell r="D27" t="str">
            <v>1–5</v>
          </cell>
        </row>
        <row r="28">
          <cell r="B28" t="str">
            <v>M5_DATATYPES</v>
          </cell>
          <cell r="C28" t="str">
            <v>Breadth of data exchanged</v>
          </cell>
          <cell r="D28" t="str">
            <v>1–5</v>
          </cell>
        </row>
        <row r="29">
          <cell r="B29" t="str">
            <v>M6_TRUST</v>
          </cell>
          <cell r="C29" t="str">
            <v>Trust in received data</v>
          </cell>
          <cell r="D29" t="str">
            <v>1–5</v>
          </cell>
        </row>
        <row r="30">
          <cell r="B30" t="str">
            <v>M7_BARRIERS</v>
          </cell>
          <cell r="C30" t="str">
            <v>Readiness / barriers to collaborate</v>
          </cell>
          <cell r="D30" t="str">
            <v>1–5</v>
          </cell>
        </row>
        <row r="31">
          <cell r="B31" t="str">
            <v>M8_IMPACT</v>
          </cell>
          <cell r="C31" t="str">
            <v>Operational impact of data gaps</v>
          </cell>
          <cell r="D31" t="str">
            <v>1–5</v>
          </cell>
        </row>
        <row r="32">
          <cell r="B32" t="str">
            <v>M9_WILLINGNESS</v>
          </cell>
          <cell r="C32" t="str">
            <v>Willingness to collaborate overall</v>
          </cell>
          <cell r="D32" t="str">
            <v>1-10</v>
          </cell>
        </row>
        <row r="33">
          <cell r="B33" t="str">
            <v>── VALUE UNLOCK AREAS (0 = not mentioned / 1 = mentioned) ──</v>
          </cell>
        </row>
        <row r="34">
          <cell r="B34" t="str">
            <v>Guidance</v>
          </cell>
          <cell r="C34" t="str">
            <v>1 = interviewee explicitly mentioned this as valuable or relevant. 0 = not mentioned or actively dismissed.</v>
          </cell>
        </row>
        <row r="35">
          <cell r="B35" t="str">
            <v>SV1_PRICING</v>
          </cell>
          <cell r="C35" t="str">
            <v>Pricing</v>
          </cell>
          <cell r="D35" t="str">
            <v>0/1</v>
          </cell>
        </row>
        <row r="36">
          <cell r="B36" t="str">
            <v>↳ QUOTE</v>
          </cell>
          <cell r="C36" t="str">
            <v>[Paste verbatim quote from transcript supporting Value Unlock Areas scoring]</v>
          </cell>
        </row>
        <row r="37">
          <cell r="B37" t="str">
            <v>SV2_PROMOTIONS</v>
          </cell>
          <cell r="C37" t="str">
            <v>Promotions</v>
          </cell>
          <cell r="D37" t="str">
            <v>0/1</v>
          </cell>
        </row>
        <row r="38">
          <cell r="B38" t="str">
            <v>SV3_SUPPLYCHAIN</v>
          </cell>
          <cell r="C38" t="str">
            <v>Supply Chain Management</v>
          </cell>
          <cell r="D38" t="str">
            <v>0/1</v>
          </cell>
        </row>
        <row r="39">
          <cell r="B39" t="str">
            <v>SV4_CATEGORY</v>
          </cell>
          <cell r="C39" t="str">
            <v>Category Planning</v>
          </cell>
          <cell r="D39" t="str">
            <v>0/1</v>
          </cell>
        </row>
        <row r="40">
          <cell r="B40" t="str">
            <v>SV5_DEMAND</v>
          </cell>
          <cell r="C40" t="str">
            <v>Demand Forecasting</v>
          </cell>
          <cell r="D40" t="str">
            <v>0/1</v>
          </cell>
        </row>
        <row r="41">
          <cell r="B41" t="str">
            <v>SV6_ACCOUNT</v>
          </cell>
          <cell r="C41" t="str">
            <v>Accountability</v>
          </cell>
          <cell r="D41" t="str">
            <v>0/1</v>
          </cell>
        </row>
        <row r="42">
          <cell r="B42" t="str">
            <v>SV7_OPS</v>
          </cell>
          <cell r="C42" t="str">
            <v>Operationalization &amp; Workflows</v>
          </cell>
          <cell r="D42" t="str">
            <v>0/1</v>
          </cell>
        </row>
        <row r="43">
          <cell r="B43" t="str">
            <v>── CONCERNS TO RESOLVE (0 = not mentioned / 1 = mentioned) ──</v>
          </cell>
        </row>
        <row r="44">
          <cell r="B44" t="str">
            <v>Guidance</v>
          </cell>
          <cell r="C44" t="str">
            <v>1 = interviewee explicitly mentioned this as valuable or relevant. 0 = not mentioned or actively dismissed.</v>
          </cell>
        </row>
        <row r="45">
          <cell r="B45" t="str">
            <v>SC1_DATASENS</v>
          </cell>
          <cell r="C45" t="str">
            <v>Data Sensitivity</v>
          </cell>
          <cell r="D45" t="str">
            <v>0/1</v>
          </cell>
        </row>
        <row r="46">
          <cell r="B46" t="str">
            <v>SC2_COMPLIANCE</v>
          </cell>
          <cell r="C46" t="str">
            <v>Compliance</v>
          </cell>
          <cell r="D46" t="str">
            <v>0/1</v>
          </cell>
        </row>
        <row r="47">
          <cell r="B47" t="str">
            <v>SC3_TRUST</v>
          </cell>
          <cell r="C47" t="str">
            <v>Trust Issues</v>
          </cell>
          <cell r="D47" t="str">
            <v>0/1</v>
          </cell>
        </row>
        <row r="48">
          <cell r="B48" t="str">
            <v>SC4_DATAPROC</v>
          </cell>
          <cell r="C48" t="str">
            <v>Data Processing</v>
          </cell>
          <cell r="D48" t="str">
            <v>0/1</v>
          </cell>
        </row>
        <row r="49">
          <cell r="B49" t="str">
            <v>── CRITICAL TOOL FEATURES (0 = not mentioned / 1 = mentioned) ──</v>
          </cell>
        </row>
        <row r="50">
          <cell r="B50" t="str">
            <v>Guidance</v>
          </cell>
          <cell r="C50" t="str">
            <v>1 = interviewee explicitly mentioned this as valuable or relevant. 0 = not mentioned or actively dismissed.</v>
          </cell>
        </row>
        <row r="51">
          <cell r="B51" t="str">
            <v>SF1_REALTIME</v>
          </cell>
          <cell r="C51" t="str">
            <v>Dynamic, real-time data exchange</v>
          </cell>
          <cell r="D51" t="str">
            <v>0/1</v>
          </cell>
        </row>
        <row r="52">
          <cell r="B52" t="str">
            <v>↳ QUOTE</v>
          </cell>
          <cell r="C52" t="str">
            <v>[Paste verbatim quote from transcript supporting Critical Tool Features scoring]</v>
          </cell>
        </row>
        <row r="53">
          <cell r="B53" t="str">
            <v>SF2_ACCESS</v>
          </cell>
          <cell r="C53" t="str">
            <v>Equal access to shared datasets</v>
          </cell>
          <cell r="D53" t="str">
            <v>0/1</v>
          </cell>
        </row>
        <row r="54">
          <cell r="B54" t="str">
            <v>SF3_UX</v>
          </cell>
          <cell r="C54" t="str">
            <v>Simple UX/UI</v>
          </cell>
          <cell r="D54" t="str">
            <v>0/1</v>
          </cell>
        </row>
        <row r="55">
          <cell r="B55" t="str">
            <v>SF4_DECISION</v>
          </cell>
          <cell r="C55" t="str">
            <v>Allows joint decision making</v>
          </cell>
        </row>
        <row r="56">
          <cell r="B56" t="str">
            <v>SF5_MASKING</v>
          </cell>
          <cell r="C56" t="str">
            <v>Clear masking rules by supplier/user</v>
          </cell>
        </row>
        <row r="57">
          <cell r="B57" t="str">
            <v>── PREFERRED DATASETS (0 = not mentioned / 1 = mentioned) ──</v>
          </cell>
        </row>
        <row r="58">
          <cell r="B58" t="str">
            <v>Guidance</v>
          </cell>
          <cell r="C58" t="str">
            <v>1 = interviewee explicitly mentioned this as valuable or relevant. 0 = not mentioned or actively dismissed.</v>
          </cell>
        </row>
        <row r="59">
          <cell r="B59" t="str">
            <v>SD1_TRENDS</v>
          </cell>
          <cell r="C59" t="str">
            <v>Global trends and insights</v>
          </cell>
          <cell r="D59" t="str">
            <v>0/1</v>
          </cell>
        </row>
        <row r="60">
          <cell r="B60" t="str">
            <v>SD2_MARKET</v>
          </cell>
          <cell r="C60" t="str">
            <v>Market research</v>
          </cell>
          <cell r="D60" t="str">
            <v>0/1</v>
          </cell>
        </row>
        <row r="61">
          <cell r="B61" t="str">
            <v>SD3_CATEGORY</v>
          </cell>
          <cell r="C61" t="str">
            <v>Category performance</v>
          </cell>
          <cell r="D61" t="str">
            <v>0/1</v>
          </cell>
        </row>
        <row r="62">
          <cell r="B62" t="str">
            <v>SD4_SHIPMENT</v>
          </cell>
          <cell r="C62" t="str">
            <v>Shipment schedules</v>
          </cell>
          <cell r="D62" t="str">
            <v>0/1</v>
          </cell>
        </row>
        <row r="63">
          <cell r="B63" t="str">
            <v>SD5_LEAD</v>
          </cell>
          <cell r="C63" t="str">
            <v>Lead times</v>
          </cell>
          <cell r="D63" t="str">
            <v>0/1</v>
          </cell>
        </row>
        <row r="64">
          <cell r="B64" t="str">
            <v>SD6_CONJOINT</v>
          </cell>
          <cell r="C64" t="str">
            <v>Conjoint names</v>
          </cell>
          <cell r="D64" t="str">
            <v>0/1</v>
          </cell>
        </row>
        <row r="65">
          <cell r="B65" t="str">
            <v>Guidance</v>
          </cell>
          <cell r="C65" t="str">
            <v>1 = interviewee explicitly mentioned this as valuable or relevant. 0 = not mentioned or actively dismissed.</v>
          </cell>
        </row>
        <row r="67">
          <cell r="B67" t="str">
            <v>📌 NOTE</v>
          </cell>
          <cell r="C67" t="str">
            <v>Red cells = score needed (new questions with no old data to migrate from). If a transcript note at the top overrides coding guidance, it takes priority.</v>
          </cell>
        </row>
      </sheetData>
      <sheetData sheetId="34"/>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vAc0eBLS0UqvPHNmGOfR5r2bZO1WU7VHjCd67e1MEiRnUT4dCyZbRo3Kxe2laClJ" itemId="01HKFUW4TWHTBFMFXVN5D242XZUCX3U372">
      <xxl21:relativeUrl r:id="rId2"/>
    </xxl21:alternateUrls>
    <sheetNames>
      <sheetName val="Company 15"/>
      <sheetName val="Company 16"/>
      <sheetName val="Company 17"/>
      <sheetName val="Prioritization"/>
      <sheetName val="Quotes"/>
      <sheetName val="Scorecard Planning"/>
      <sheetName val="Analysis — Filter View"/>
      <sheetName val="Analysis — Individual"/>
      <sheetName val="Company 1"/>
      <sheetName val="Company 2"/>
      <sheetName val="Company 3"/>
      <sheetName val="Company 4"/>
      <sheetName val="Company 5"/>
      <sheetName val="Company 6"/>
      <sheetName val="Company 7"/>
      <sheetName val="Company 8"/>
      <sheetName val="Company 9"/>
      <sheetName val="Company 10"/>
      <sheetName val="Company 11"/>
      <sheetName val="Company 12"/>
      <sheetName val="Company 13"/>
      <sheetName val="Company 14"/>
      <sheetName val="Company 18"/>
      <sheetName val="Company 19"/>
      <sheetName val="Company 20"/>
      <sheetName val="Company 21"/>
      <sheetName val="Company 22"/>
      <sheetName val="Company 23"/>
      <sheetName val="Company 24"/>
      <sheetName val="Company 25"/>
      <sheetName val="Company 26"/>
      <sheetName val="Company 27"/>
      <sheetName val="Company 28"/>
      <sheetName val="Company 29"/>
      <sheetName val="Company 30"/>
      <sheetName val="Template"/>
      <sheetName val="Learnings Summary"/>
    </sheetNames>
    <sheetDataSet>
      <sheetData sheetId="0">
        <row r="1">
          <cell r="B1" t="str">
            <v>Ginger Jack — Jan (CEO/Founder) — Int. 1</v>
          </cell>
        </row>
        <row r="2">
          <cell r="B2" t="str">
            <v>Interviewee Details</v>
          </cell>
          <cell r="C2" t="str">
            <v>Response</v>
          </cell>
          <cell r="D2" t="str">
            <v>Coding</v>
          </cell>
        </row>
        <row r="3">
          <cell r="B3" t="str">
            <v>Interviewee Name</v>
          </cell>
          <cell r="C3" t="str">
            <v>Jan (surname not given)</v>
          </cell>
        </row>
        <row r="4">
          <cell r="B4" t="str">
            <v>Interviewee Position</v>
          </cell>
          <cell r="C4" t="str">
            <v>CEO / Founder</v>
          </cell>
        </row>
        <row r="5">
          <cell r="B5" t="str">
            <v>Company (Real)</v>
          </cell>
          <cell r="C5" t="str">
            <v>Ginger Jack</v>
          </cell>
        </row>
        <row r="6">
          <cell r="B6" t="str">
            <v>Company (Disguised)</v>
          </cell>
          <cell r="C6" t="str">
            <v>Company 15</v>
          </cell>
        </row>
        <row r="7">
          <cell r="B7" t="str">
            <v>Interview Date</v>
          </cell>
          <cell r="C7" t="str">
            <v>08/06/2026</v>
          </cell>
        </row>
        <row r="8">
          <cell r="B8" t="str">
            <v>Interviewer</v>
          </cell>
          <cell r="C8" t="str">
            <v>Aysegul Yamak Eveno &amp; Lore Verhoeven</v>
          </cell>
        </row>
        <row r="9">
          <cell r="B9" t="str">
            <v>Interviewer Support</v>
          </cell>
        </row>
        <row r="10">
          <cell r="B10" t="str">
            <v>Company Industry</v>
          </cell>
          <cell r="C10" t="str">
            <v>Beverage Manufacturing</v>
          </cell>
        </row>
        <row r="11">
          <cell r="B11" t="str">
            <v>Company Sub-Industry</v>
          </cell>
          <cell r="C11" t="str">
            <v>Manufacturer</v>
          </cell>
        </row>
        <row r="12">
          <cell r="B12" t="str">
            <v>Company Size (Turnover)</v>
          </cell>
          <cell r="C12">
            <v>3000000</v>
          </cell>
        </row>
        <row r="13">
          <cell r="B13" t="str">
            <v>Country</v>
          </cell>
          <cell r="C13" t="str">
            <v>Belgium</v>
          </cell>
        </row>
        <row r="15">
          <cell r="B15" t="str">
            <v>Question ID</v>
          </cell>
          <cell r="C15" t="str">
            <v>Question</v>
          </cell>
        </row>
        <row r="16">
          <cell r="B16" t="str">
            <v>── BASELINE BLOCK ──</v>
          </cell>
        </row>
        <row r="17">
          <cell r="B17" t="str">
            <v>B1_INTEREST</v>
          </cell>
          <cell r="C17" t="str">
            <v>Are you interested in data collaboration?</v>
          </cell>
          <cell r="D17" t="str">
            <v>1-10</v>
          </cell>
          <cell r="E17">
            <v>10</v>
          </cell>
        </row>
        <row r="18">
          <cell r="B18" t="str">
            <v>↳ QUOTE</v>
          </cell>
          <cell r="C18" t="str">
            <v>"Our willingness would be 10. I believe in the impact of data, the usefulness of data, and that it can impact in a good way your business processes, it can impact sales, it can impact customer intimacy."</v>
          </cell>
        </row>
        <row r="19">
          <cell r="B19" t="str">
            <v>B2_SHARING</v>
          </cell>
          <cell r="C19" t="str">
            <v>Do you share data currently?</v>
          </cell>
          <cell r="D19" t="str">
            <v>0/1</v>
          </cell>
          <cell r="E19">
            <v>1</v>
          </cell>
        </row>
        <row r="20">
          <cell r="B20" t="str">
            <v>B3_MONETIZE</v>
          </cell>
          <cell r="C20" t="str">
            <v>Do you monetize your data currently?</v>
          </cell>
          <cell r="D20" t="str">
            <v>0/1</v>
          </cell>
          <cell r="E20">
            <v>0</v>
          </cell>
        </row>
        <row r="21">
          <cell r="B21" t="str">
            <v>B4_STRATEGIC</v>
          </cell>
          <cell r="C21" t="str">
            <v>Do you not share/monetize due to strategic reasons?</v>
          </cell>
          <cell r="D21" t="str">
            <v>0/1</v>
          </cell>
          <cell r="E21">
            <v>0</v>
          </cell>
        </row>
        <row r="22">
          <cell r="B22" t="str">
            <v>── DATA SHARING MATURITY (1–5) ──</v>
          </cell>
        </row>
        <row r="23">
          <cell r="B23" t="str">
            <v>Question ID</v>
          </cell>
          <cell r="C23" t="str">
            <v>Question</v>
          </cell>
          <cell r="D23" t="str">
            <v>Scale</v>
          </cell>
          <cell r="E23" t="str">
            <v>SCORE</v>
          </cell>
        </row>
        <row r="24">
          <cell r="B24" t="str">
            <v>M1_AUTOMATED</v>
          </cell>
          <cell r="C24" t="str">
            <v>Is data sharing automated or manual?</v>
          </cell>
          <cell r="D24" t="str">
            <v>1–5</v>
          </cell>
          <cell r="E24">
            <v>3</v>
          </cell>
        </row>
        <row r="25">
          <cell r="B25" t="str">
            <v>M2_REALTIME</v>
          </cell>
          <cell r="C25" t="str">
            <v>Is data sharing in real-time, or lagging?</v>
          </cell>
          <cell r="D25" t="str">
            <v>1–5</v>
          </cell>
          <cell r="E25">
            <v>3</v>
          </cell>
        </row>
        <row r="26">
          <cell r="B26" t="str">
            <v>M3_STRATEGIC</v>
          </cell>
          <cell r="C26" t="str">
            <v>Is data sharing focused on operations or strategic planning?</v>
          </cell>
          <cell r="D26" t="str">
            <v>1–5</v>
          </cell>
          <cell r="E26">
            <v>3</v>
          </cell>
        </row>
        <row r="27">
          <cell r="B27" t="str">
            <v>M4_BREADTH</v>
          </cell>
          <cell r="C27" t="str">
            <v>Is data sharing available to all clients, or based on strategic importance?</v>
          </cell>
          <cell r="D27" t="str">
            <v>1–5</v>
          </cell>
          <cell r="E27">
            <v>2</v>
          </cell>
        </row>
        <row r="28">
          <cell r="B28" t="str">
            <v>M5_DATATYPES</v>
          </cell>
          <cell r="C28" t="str">
            <v>Breadth of data exchanged</v>
          </cell>
          <cell r="D28" t="str">
            <v>1–5</v>
          </cell>
          <cell r="E28">
            <v>2</v>
          </cell>
        </row>
        <row r="29">
          <cell r="B29" t="str">
            <v>M6_TRUST</v>
          </cell>
          <cell r="C29" t="str">
            <v>Trust in received data</v>
          </cell>
          <cell r="D29" t="str">
            <v>1–5</v>
          </cell>
        </row>
        <row r="30">
          <cell r="B30" t="str">
            <v>M7_BARRIERS</v>
          </cell>
          <cell r="C30" t="str">
            <v>Readiness / barriers to collaborate</v>
          </cell>
          <cell r="D30" t="str">
            <v>1–5</v>
          </cell>
          <cell r="E30">
            <v>3</v>
          </cell>
        </row>
        <row r="31">
          <cell r="B31" t="str">
            <v>M8_IMPACT</v>
          </cell>
          <cell r="C31" t="str">
            <v>Operational impact of data gaps</v>
          </cell>
          <cell r="D31" t="str">
            <v>1–5</v>
          </cell>
          <cell r="E31">
            <v>2</v>
          </cell>
        </row>
        <row r="32">
          <cell r="B32" t="str">
            <v>M9_WILLINGNESS</v>
          </cell>
          <cell r="C32" t="str">
            <v>Willingness to collaborate overall</v>
          </cell>
          <cell r="D32" t="str">
            <v>1-10</v>
          </cell>
          <cell r="E32">
            <v>10</v>
          </cell>
        </row>
        <row r="33">
          <cell r="B33" t="str">
            <v>── VALUE UNLOCK AREAS (0 = not mentioned / 1 = mentioned) ──</v>
          </cell>
        </row>
        <row r="34">
          <cell r="B34" t="str">
            <v>Guidance</v>
          </cell>
          <cell r="C34" t="str">
            <v>1 = interviewee explicitly mentioned this as valuable or relevant. 0 = not mentioned or actively dismissed.</v>
          </cell>
        </row>
        <row r="35">
          <cell r="B35" t="str">
            <v>SV1_PRICING</v>
          </cell>
          <cell r="C35" t="str">
            <v>Pricing</v>
          </cell>
          <cell r="D35" t="str">
            <v>0/1</v>
          </cell>
          <cell r="E35">
            <v>0</v>
          </cell>
        </row>
        <row r="36">
          <cell r="B36" t="str">
            <v>↳ QUOTE</v>
          </cell>
          <cell r="C36" t="str">
            <v>[Paste verbatim quote from transcript supporting Value Unlock Areas scoring]</v>
          </cell>
        </row>
        <row r="37">
          <cell r="B37" t="str">
            <v>SV2_PROMOTIONS</v>
          </cell>
          <cell r="C37" t="str">
            <v>Promotions</v>
          </cell>
          <cell r="D37" t="str">
            <v>0/1</v>
          </cell>
          <cell r="E37">
            <v>0</v>
          </cell>
        </row>
        <row r="38">
          <cell r="B38" t="str">
            <v>SV3_SUPPLYCHAIN</v>
          </cell>
          <cell r="C38" t="str">
            <v>Supply Chain Management</v>
          </cell>
          <cell r="D38" t="str">
            <v>0/1</v>
          </cell>
          <cell r="E38">
            <v>1</v>
          </cell>
        </row>
        <row r="39">
          <cell r="B39" t="str">
            <v>SV4_CATEGORY</v>
          </cell>
          <cell r="C39" t="str">
            <v>Category Planning</v>
          </cell>
          <cell r="D39" t="str">
            <v>0/1</v>
          </cell>
          <cell r="E39">
            <v>0</v>
          </cell>
        </row>
        <row r="40">
          <cell r="B40" t="str">
            <v>SV5_DEMAND</v>
          </cell>
          <cell r="C40" t="str">
            <v>Demand Forecasting</v>
          </cell>
          <cell r="D40" t="str">
            <v>0/1</v>
          </cell>
          <cell r="E40">
            <v>1</v>
          </cell>
        </row>
        <row r="41">
          <cell r="B41" t="str">
            <v>SV6_ACCOUNT</v>
          </cell>
          <cell r="C41" t="str">
            <v>Accountability</v>
          </cell>
          <cell r="D41" t="str">
            <v>0/1</v>
          </cell>
          <cell r="E41">
            <v>0</v>
          </cell>
        </row>
        <row r="42">
          <cell r="B42" t="str">
            <v>SV7_OPS</v>
          </cell>
          <cell r="C42" t="str">
            <v>Operationalization &amp; Workflows</v>
          </cell>
          <cell r="D42" t="str">
            <v>0/1</v>
          </cell>
          <cell r="E42">
            <v>1</v>
          </cell>
        </row>
        <row r="43">
          <cell r="B43" t="str">
            <v>── CONCERNS TO RESOLVE (0 = not mentioned / 1 = mentioned) ──</v>
          </cell>
        </row>
        <row r="44">
          <cell r="B44" t="str">
            <v>Guidance</v>
          </cell>
          <cell r="C44" t="str">
            <v>1 = interviewee explicitly mentioned this as valuable or relevant. 0 = not mentioned or actively dismissed.</v>
          </cell>
        </row>
        <row r="45">
          <cell r="B45" t="str">
            <v>SC1_DATASENS</v>
          </cell>
          <cell r="C45" t="str">
            <v>Data Sensitivity</v>
          </cell>
          <cell r="D45" t="str">
            <v>0/1</v>
          </cell>
          <cell r="E45">
            <v>0</v>
          </cell>
        </row>
        <row r="46">
          <cell r="B46" t="str">
            <v>SC2_COMPLIANCE</v>
          </cell>
          <cell r="C46" t="str">
            <v>Compliance</v>
          </cell>
          <cell r="D46" t="str">
            <v>0/1</v>
          </cell>
          <cell r="E46">
            <v>0</v>
          </cell>
        </row>
        <row r="47">
          <cell r="B47" t="str">
            <v>SC3_TRUST</v>
          </cell>
          <cell r="C47" t="str">
            <v>Trust Issues</v>
          </cell>
          <cell r="D47" t="str">
            <v>0/1</v>
          </cell>
          <cell r="E47">
            <v>0</v>
          </cell>
        </row>
        <row r="48">
          <cell r="B48" t="str">
            <v>SC4_DATAPROC</v>
          </cell>
          <cell r="C48" t="str">
            <v>Data Processing</v>
          </cell>
          <cell r="D48" t="str">
            <v>0/1</v>
          </cell>
          <cell r="E48">
            <v>0</v>
          </cell>
        </row>
        <row r="49">
          <cell r="B49" t="str">
            <v>── CRITICAL TOOL FEATURES (0 = not mentioned / 1 = mentioned) ──</v>
          </cell>
        </row>
        <row r="50">
          <cell r="B50" t="str">
            <v>Guidance</v>
          </cell>
          <cell r="C50" t="str">
            <v>1 = interviewee explicitly mentioned this as valuable or relevant. 0 = not mentioned or actively dismissed.</v>
          </cell>
        </row>
        <row r="51">
          <cell r="B51" t="str">
            <v>SF1_REALTIME</v>
          </cell>
          <cell r="C51" t="str">
            <v>Dynamic, real-time data exchange</v>
          </cell>
          <cell r="D51" t="str">
            <v>0/1</v>
          </cell>
          <cell r="E51">
            <v>1</v>
          </cell>
        </row>
        <row r="52">
          <cell r="B52" t="str">
            <v>↳ QUOTE</v>
          </cell>
          <cell r="C52" t="str">
            <v>"It would be very helpful to have a data sharing platform for those type of customers — it would be awesome if you just arrive there without them calling you. Here are already your bottles."</v>
          </cell>
        </row>
        <row r="53">
          <cell r="B53" t="str">
            <v>SF2_ACCESS</v>
          </cell>
          <cell r="C53" t="str">
            <v>Equal access to shared datasets</v>
          </cell>
          <cell r="D53" t="str">
            <v>0/1</v>
          </cell>
          <cell r="E53">
            <v>0</v>
          </cell>
        </row>
        <row r="54">
          <cell r="B54" t="str">
            <v>SF3_UX</v>
          </cell>
          <cell r="C54" t="str">
            <v>Simple UX/UI</v>
          </cell>
          <cell r="D54" t="str">
            <v>0/1</v>
          </cell>
          <cell r="E54">
            <v>1</v>
          </cell>
        </row>
        <row r="55">
          <cell r="B55" t="str">
            <v>SF4_DECISION</v>
          </cell>
          <cell r="C55" t="str">
            <v>Allows joint decision making</v>
          </cell>
          <cell r="E55">
            <v>0</v>
          </cell>
        </row>
        <row r="56">
          <cell r="B56" t="str">
            <v>SF5_MASKING</v>
          </cell>
          <cell r="C56" t="str">
            <v>Clear masking rules by supplier/user</v>
          </cell>
          <cell r="E56">
            <v>0</v>
          </cell>
        </row>
        <row r="57">
          <cell r="B57" t="str">
            <v>── PREFERRED DATASETS (0 = not mentioned / 1 = mentioned) ──</v>
          </cell>
        </row>
        <row r="58">
          <cell r="B58" t="str">
            <v>Guidance</v>
          </cell>
          <cell r="C58" t="str">
            <v>1 = interviewee explicitly mentioned this as valuable or relevant. 0 = not mentioned or actively dismissed.</v>
          </cell>
        </row>
        <row r="59">
          <cell r="B59" t="str">
            <v>SD1_TRENDS</v>
          </cell>
          <cell r="C59" t="str">
            <v>Global trends and insights</v>
          </cell>
          <cell r="D59" t="str">
            <v>0/1</v>
          </cell>
          <cell r="E59">
            <v>0</v>
          </cell>
        </row>
        <row r="60">
          <cell r="B60" t="str">
            <v>SD2_MARKET</v>
          </cell>
          <cell r="C60" t="str">
            <v>Market research</v>
          </cell>
          <cell r="D60" t="str">
            <v>0/1</v>
          </cell>
          <cell r="E60">
            <v>0</v>
          </cell>
        </row>
        <row r="61">
          <cell r="B61" t="str">
            <v>SD3_CATEGORY</v>
          </cell>
          <cell r="C61" t="str">
            <v>Category performance</v>
          </cell>
          <cell r="D61" t="str">
            <v>0/1</v>
          </cell>
          <cell r="E61">
            <v>0</v>
          </cell>
        </row>
        <row r="62">
          <cell r="B62" t="str">
            <v>SD4_SHIPMENT</v>
          </cell>
          <cell r="C62" t="str">
            <v>Shipment schedules</v>
          </cell>
          <cell r="D62" t="str">
            <v>0/1</v>
          </cell>
          <cell r="E62">
            <v>1</v>
          </cell>
        </row>
        <row r="63">
          <cell r="B63" t="str">
            <v>SD5_LEAD</v>
          </cell>
          <cell r="C63" t="str">
            <v>Lead times</v>
          </cell>
          <cell r="D63" t="str">
            <v>0/1</v>
          </cell>
          <cell r="E63">
            <v>1</v>
          </cell>
        </row>
        <row r="64">
          <cell r="B64" t="str">
            <v>SD6_CONJOINT</v>
          </cell>
          <cell r="C64" t="str">
            <v>Conjoint names</v>
          </cell>
          <cell r="D64" t="str">
            <v>0/1</v>
          </cell>
          <cell r="E64">
            <v>0</v>
          </cell>
        </row>
        <row r="65">
          <cell r="B65" t="str">
            <v>Guidance</v>
          </cell>
          <cell r="C65" t="str">
            <v>1 = interviewee explicitly mentioned this as valuable or relevant. 0 = not mentioned or actively dismissed.</v>
          </cell>
        </row>
        <row r="67">
          <cell r="B67" t="str">
            <v>📌 NOTE</v>
          </cell>
          <cell r="C67" t="str">
            <v>Red cells = score needed (new questions with no old data to migrate from). If a transcript note at the top overrides coding guidance, it takes priority.</v>
          </cell>
        </row>
      </sheetData>
      <sheetData sheetId="1">
        <row r="1">
          <cell r="B1" t="str">
            <v>Hanos Belgium — Katharina (Commercial Manager BE) — Int. 1</v>
          </cell>
        </row>
        <row r="2">
          <cell r="B2" t="str">
            <v>Interviewee Details</v>
          </cell>
          <cell r="C2" t="str">
            <v>Response</v>
          </cell>
          <cell r="D2" t="str">
            <v>Coding</v>
          </cell>
        </row>
        <row r="3">
          <cell r="B3" t="str">
            <v>Interviewee Name</v>
          </cell>
          <cell r="C3" t="str">
            <v>Katharina (surname not given)</v>
          </cell>
        </row>
        <row r="4">
          <cell r="B4" t="str">
            <v>Interviewee Position</v>
          </cell>
          <cell r="C4" t="str">
            <v>Commercial Manager Belgium</v>
          </cell>
        </row>
        <row r="5">
          <cell r="B5" t="str">
            <v>Company (Real)</v>
          </cell>
          <cell r="C5" t="str">
            <v>Hanos Belgium</v>
          </cell>
        </row>
        <row r="6">
          <cell r="B6" t="str">
            <v>Company (Disguised)</v>
          </cell>
          <cell r="C6" t="str">
            <v>Company 16</v>
          </cell>
        </row>
        <row r="7">
          <cell r="B7" t="str">
            <v>Interview Date</v>
          </cell>
          <cell r="C7" t="str">
            <v>19/05/2026</v>
          </cell>
        </row>
        <row r="8">
          <cell r="B8" t="str">
            <v>Interviewer</v>
          </cell>
          <cell r="C8" t="str">
            <v>Lore Verhoeven</v>
          </cell>
        </row>
        <row r="9">
          <cell r="B9" t="str">
            <v>Interviewer Support</v>
          </cell>
        </row>
        <row r="10">
          <cell r="B10" t="str">
            <v>Company Industry</v>
          </cell>
          <cell r="C10" t="str">
            <v>Food Wholesale</v>
          </cell>
        </row>
        <row r="11">
          <cell r="B11" t="str">
            <v>Company Sub-Industry</v>
          </cell>
          <cell r="C11" t="str">
            <v>Wholesaler</v>
          </cell>
        </row>
        <row r="12">
          <cell r="B12" t="str">
            <v>Company Size (Turnover)</v>
          </cell>
          <cell r="C12">
            <v>104000000</v>
          </cell>
        </row>
        <row r="13">
          <cell r="B13" t="str">
            <v>Country</v>
          </cell>
          <cell r="C13" t="str">
            <v>Belgium</v>
          </cell>
        </row>
        <row r="15">
          <cell r="B15" t="str">
            <v>Question ID</v>
          </cell>
          <cell r="C15" t="str">
            <v>Question</v>
          </cell>
        </row>
        <row r="16">
          <cell r="B16" t="str">
            <v>── BASELINE BLOCK ──</v>
          </cell>
        </row>
        <row r="17">
          <cell r="B17" t="str">
            <v>B1_INTEREST</v>
          </cell>
          <cell r="C17" t="str">
            <v>Are you interested in data collaboration?</v>
          </cell>
          <cell r="D17" t="str">
            <v>1-10</v>
          </cell>
          <cell r="E17">
            <v>2</v>
          </cell>
        </row>
        <row r="18">
          <cell r="B18" t="str">
            <v>↳ QUOTE</v>
          </cell>
          <cell r="C18" t="str">
            <v>"Zero. Yes, I think so. You would actually have to ask Toon. Hanos believes very strongly in their own strength. They are financially very strong and very cautious, risk-aware, every euro is turned over."</v>
          </cell>
        </row>
        <row r="19">
          <cell r="B19" t="str">
            <v>B2_SHARING</v>
          </cell>
          <cell r="C19" t="str">
            <v>Do you share data currently?</v>
          </cell>
          <cell r="D19" t="str">
            <v>0/1</v>
          </cell>
          <cell r="E19">
            <v>1</v>
          </cell>
        </row>
        <row r="20">
          <cell r="B20" t="str">
            <v>B3_MONETIZE</v>
          </cell>
          <cell r="C20" t="str">
            <v>Do you monetize your data currently?</v>
          </cell>
          <cell r="D20" t="str">
            <v>0/1</v>
          </cell>
          <cell r="E20">
            <v>0</v>
          </cell>
        </row>
        <row r="21">
          <cell r="B21" t="str">
            <v>B4_STRATEGIC</v>
          </cell>
          <cell r="C21" t="str">
            <v>Do you not share/monetize due to strategic reasons?</v>
          </cell>
          <cell r="D21" t="str">
            <v>0/1</v>
          </cell>
          <cell r="E21">
            <v>1</v>
          </cell>
        </row>
        <row r="22">
          <cell r="B22" t="str">
            <v>── DATA SHARING MATURITY (1–5) ──</v>
          </cell>
        </row>
        <row r="23">
          <cell r="B23" t="str">
            <v>Question ID</v>
          </cell>
          <cell r="C23" t="str">
            <v>Question</v>
          </cell>
          <cell r="D23" t="str">
            <v>Scale</v>
          </cell>
          <cell r="E23" t="str">
            <v>SCORE</v>
          </cell>
        </row>
        <row r="24">
          <cell r="B24" t="str">
            <v>M1_AUTOMATED</v>
          </cell>
          <cell r="C24" t="str">
            <v>Is data sharing automated or manual?</v>
          </cell>
          <cell r="D24" t="str">
            <v>1–5</v>
          </cell>
          <cell r="E24">
            <v>2</v>
          </cell>
        </row>
        <row r="25">
          <cell r="B25" t="str">
            <v>M2_REALTIME</v>
          </cell>
          <cell r="C25" t="str">
            <v>Is data sharing in real-time, or lagging?</v>
          </cell>
          <cell r="D25" t="str">
            <v>1–5</v>
          </cell>
          <cell r="E25">
            <v>2</v>
          </cell>
        </row>
        <row r="26">
          <cell r="B26" t="str">
            <v>M3_STRATEGIC</v>
          </cell>
          <cell r="C26" t="str">
            <v>Is data sharing focused on operations or strategic planning?</v>
          </cell>
          <cell r="D26" t="str">
            <v>1–5</v>
          </cell>
          <cell r="E26">
            <v>2</v>
          </cell>
        </row>
        <row r="27">
          <cell r="B27" t="str">
            <v>M4_BREADTH</v>
          </cell>
          <cell r="C27" t="str">
            <v>Is data sharing available to all clients, or based on strategic importance?</v>
          </cell>
          <cell r="D27" t="str">
            <v>1–5</v>
          </cell>
          <cell r="E27">
            <v>2</v>
          </cell>
        </row>
        <row r="28">
          <cell r="B28" t="str">
            <v>M5_DATATYPES</v>
          </cell>
          <cell r="C28" t="str">
            <v>Breadth of data exchanged</v>
          </cell>
          <cell r="D28" t="str">
            <v>1–5</v>
          </cell>
          <cell r="E28">
            <v>2</v>
          </cell>
        </row>
        <row r="29">
          <cell r="B29" t="str">
            <v>M6_TRUST</v>
          </cell>
          <cell r="C29" t="str">
            <v>Trust in received data</v>
          </cell>
          <cell r="D29" t="str">
            <v>1–5</v>
          </cell>
          <cell r="E29">
            <v>2</v>
          </cell>
        </row>
        <row r="30">
          <cell r="B30" t="str">
            <v>M7_BARRIERS</v>
          </cell>
          <cell r="C30" t="str">
            <v>Readiness / barriers to collaborate</v>
          </cell>
          <cell r="D30" t="str">
            <v>1–5</v>
          </cell>
          <cell r="E30">
            <v>2</v>
          </cell>
        </row>
        <row r="31">
          <cell r="B31" t="str">
            <v>M8_IMPACT</v>
          </cell>
          <cell r="C31" t="str">
            <v>Operational impact of data gaps</v>
          </cell>
          <cell r="D31" t="str">
            <v>1–5</v>
          </cell>
          <cell r="E31">
            <v>2</v>
          </cell>
        </row>
        <row r="32">
          <cell r="B32" t="str">
            <v>M9_WILLINGNESS</v>
          </cell>
          <cell r="C32" t="str">
            <v>Willingness to collaborate overall</v>
          </cell>
          <cell r="D32" t="str">
            <v>1-10</v>
          </cell>
          <cell r="E32">
            <v>2</v>
          </cell>
        </row>
        <row r="33">
          <cell r="B33" t="str">
            <v>── VALUE UNLOCK AREAS (0 = not mentioned / 1 = mentioned) ──</v>
          </cell>
        </row>
        <row r="34">
          <cell r="B34" t="str">
            <v>Guidance</v>
          </cell>
          <cell r="C34" t="str">
            <v>1 = interviewee explicitly mentioned this as valuable or relevant. 0 = not mentioned or actively dismissed.</v>
          </cell>
        </row>
        <row r="35">
          <cell r="B35" t="str">
            <v>SV1_PRICING</v>
          </cell>
          <cell r="C35" t="str">
            <v>Pricing</v>
          </cell>
          <cell r="D35" t="str">
            <v>0/1</v>
          </cell>
          <cell r="E35">
            <v>1</v>
          </cell>
        </row>
        <row r="36">
          <cell r="B36" t="str">
            <v>↳ QUOTE</v>
          </cell>
          <cell r="C36" t="str">
            <v>"I think there should be much more transparency and that there is actually a maximum... that we can also say to those retailers... we simply cannot keep up with those margins."</v>
          </cell>
        </row>
        <row r="37">
          <cell r="B37" t="str">
            <v>SV2_PROMOTIONS</v>
          </cell>
          <cell r="C37" t="str">
            <v>Promotions</v>
          </cell>
          <cell r="D37" t="str">
            <v>0/1</v>
          </cell>
          <cell r="E37">
            <v>1</v>
          </cell>
        </row>
        <row r="38">
          <cell r="B38" t="str">
            <v>SV3_SUPPLYCHAIN</v>
          </cell>
          <cell r="C38" t="str">
            <v>Supply Chain Management</v>
          </cell>
          <cell r="D38" t="str">
            <v>0/1</v>
          </cell>
          <cell r="E38">
            <v>1</v>
          </cell>
        </row>
        <row r="39">
          <cell r="B39" t="str">
            <v>SV4_CATEGORY</v>
          </cell>
          <cell r="C39" t="str">
            <v>Category Planning</v>
          </cell>
          <cell r="D39" t="str">
            <v>0/1</v>
          </cell>
          <cell r="E39">
            <v>1</v>
          </cell>
        </row>
        <row r="40">
          <cell r="B40" t="str">
            <v>SV5_DEMAND</v>
          </cell>
          <cell r="C40" t="str">
            <v>Demand Forecasting</v>
          </cell>
          <cell r="D40" t="str">
            <v>0/1</v>
          </cell>
          <cell r="E40">
            <v>1</v>
          </cell>
        </row>
        <row r="41">
          <cell r="B41" t="str">
            <v>SV6_ACCOUNT</v>
          </cell>
          <cell r="C41" t="str">
            <v>Accountability</v>
          </cell>
          <cell r="D41" t="str">
            <v>0/1</v>
          </cell>
          <cell r="E41">
            <v>0</v>
          </cell>
        </row>
        <row r="42">
          <cell r="B42" t="str">
            <v>SV7_OPS</v>
          </cell>
          <cell r="C42" t="str">
            <v>Operationalization &amp; Workflows</v>
          </cell>
          <cell r="D42" t="str">
            <v>0/1</v>
          </cell>
          <cell r="E42">
            <v>0</v>
          </cell>
        </row>
        <row r="43">
          <cell r="B43" t="str">
            <v>── CONCERNS TO RESOLVE (0 = not mentioned / 1 = mentioned) ──</v>
          </cell>
        </row>
        <row r="44">
          <cell r="B44" t="str">
            <v>Guidance</v>
          </cell>
          <cell r="C44" t="str">
            <v>1 = interviewee explicitly mentioned this as valuable or relevant. 0 = not mentioned or actively dismissed.</v>
          </cell>
        </row>
        <row r="45">
          <cell r="B45" t="str">
            <v>SC1_DATASENS</v>
          </cell>
          <cell r="C45" t="str">
            <v>Data Sensitivity</v>
          </cell>
          <cell r="D45" t="str">
            <v>0/1</v>
          </cell>
          <cell r="E45">
            <v>1</v>
          </cell>
        </row>
        <row r="46">
          <cell r="B46" t="str">
            <v>SC2_COMPLIANCE</v>
          </cell>
          <cell r="C46" t="str">
            <v>Compliance</v>
          </cell>
          <cell r="D46" t="str">
            <v>0/1</v>
          </cell>
          <cell r="E46">
            <v>0</v>
          </cell>
        </row>
        <row r="47">
          <cell r="B47" t="str">
            <v>SC3_TRUST</v>
          </cell>
          <cell r="C47" t="str">
            <v>Trust Issues</v>
          </cell>
          <cell r="D47" t="str">
            <v>0/1</v>
          </cell>
          <cell r="E47">
            <v>1</v>
          </cell>
        </row>
        <row r="48">
          <cell r="B48" t="str">
            <v>SC4_DATAPROC</v>
          </cell>
          <cell r="C48" t="str">
            <v>Data Processing</v>
          </cell>
          <cell r="D48" t="str">
            <v>0/1</v>
          </cell>
          <cell r="E48">
            <v>0</v>
          </cell>
        </row>
        <row r="49">
          <cell r="B49" t="str">
            <v>── CRITICAL TOOL FEATURES (0 = not mentioned / 1 = mentioned) ──</v>
          </cell>
        </row>
        <row r="50">
          <cell r="B50" t="str">
            <v>Guidance</v>
          </cell>
          <cell r="C50" t="str">
            <v>1 = interviewee explicitly mentioned this as valuable or relevant. 0 = not mentioned or actively dismissed.</v>
          </cell>
        </row>
        <row r="51">
          <cell r="B51" t="str">
            <v>SF1_REALTIME</v>
          </cell>
          <cell r="C51" t="str">
            <v>Dynamic, real-time data exchange</v>
          </cell>
          <cell r="D51" t="str">
            <v>0/1</v>
          </cell>
          <cell r="E51">
            <v>0</v>
          </cell>
        </row>
        <row r="52">
          <cell r="B52" t="str">
            <v>↳ QUOTE</v>
          </cell>
          <cell r="C52" t="str">
            <v>[Paste verbatim quote from transcript supporting Critical Tool Features scoring]</v>
          </cell>
        </row>
        <row r="53">
          <cell r="B53" t="str">
            <v>SF2_ACCESS</v>
          </cell>
          <cell r="C53" t="str">
            <v>Equal access to shared datasets</v>
          </cell>
          <cell r="D53" t="str">
            <v>0/1</v>
          </cell>
          <cell r="E53">
            <v>0</v>
          </cell>
        </row>
        <row r="54">
          <cell r="B54" t="str">
            <v>SF3_UX</v>
          </cell>
          <cell r="C54" t="str">
            <v>Simple UX/UI</v>
          </cell>
          <cell r="D54" t="str">
            <v>0/1</v>
          </cell>
          <cell r="E54">
            <v>0</v>
          </cell>
        </row>
        <row r="55">
          <cell r="B55" t="str">
            <v>SF4_DECISION</v>
          </cell>
          <cell r="C55" t="str">
            <v>Allows joint decision making</v>
          </cell>
          <cell r="E55">
            <v>0</v>
          </cell>
        </row>
        <row r="56">
          <cell r="B56" t="str">
            <v>SF5_MASKING</v>
          </cell>
          <cell r="C56" t="str">
            <v>Clear masking rules by supplier/user</v>
          </cell>
          <cell r="E56">
            <v>0</v>
          </cell>
        </row>
        <row r="57">
          <cell r="B57" t="str">
            <v>── PREFERRED DATASETS (0 = not mentioned / 1 = mentioned) ──</v>
          </cell>
        </row>
        <row r="58">
          <cell r="B58" t="str">
            <v>Guidance</v>
          </cell>
          <cell r="C58" t="str">
            <v>1 = interviewee explicitly mentioned this as valuable or relevant. 0 = not mentioned or actively dismissed.</v>
          </cell>
        </row>
        <row r="59">
          <cell r="B59" t="str">
            <v>SD1_TRENDS</v>
          </cell>
          <cell r="C59" t="str">
            <v>Global trends and insights</v>
          </cell>
          <cell r="D59" t="str">
            <v>0/1</v>
          </cell>
          <cell r="E59">
            <v>1</v>
          </cell>
        </row>
        <row r="60">
          <cell r="B60" t="str">
            <v>SD2_MARKET</v>
          </cell>
          <cell r="C60" t="str">
            <v>Market research</v>
          </cell>
          <cell r="D60" t="str">
            <v>0/1</v>
          </cell>
          <cell r="E60">
            <v>1</v>
          </cell>
        </row>
        <row r="61">
          <cell r="B61" t="str">
            <v>SD3_CATEGORY</v>
          </cell>
          <cell r="C61" t="str">
            <v>Category performance</v>
          </cell>
          <cell r="D61" t="str">
            <v>0/1</v>
          </cell>
          <cell r="E61">
            <v>1</v>
          </cell>
        </row>
        <row r="62">
          <cell r="B62" t="str">
            <v>SD4_SHIPMENT</v>
          </cell>
          <cell r="C62" t="str">
            <v>Shipment schedules</v>
          </cell>
          <cell r="D62" t="str">
            <v>0/1</v>
          </cell>
          <cell r="E62">
            <v>0</v>
          </cell>
        </row>
        <row r="63">
          <cell r="B63" t="str">
            <v>SD5_LEAD</v>
          </cell>
          <cell r="C63" t="str">
            <v>Lead times</v>
          </cell>
          <cell r="D63" t="str">
            <v>0/1</v>
          </cell>
          <cell r="E63">
            <v>0</v>
          </cell>
        </row>
        <row r="64">
          <cell r="B64" t="str">
            <v>SD6_CONJOINT</v>
          </cell>
          <cell r="C64" t="str">
            <v>Conjoint names</v>
          </cell>
          <cell r="D64" t="str">
            <v>0/1</v>
          </cell>
          <cell r="E64">
            <v>0</v>
          </cell>
        </row>
        <row r="65">
          <cell r="B65" t="str">
            <v>Guidance</v>
          </cell>
          <cell r="C65" t="str">
            <v>1 = interviewee explicitly mentioned this as valuable or relevant. 0 = not mentioned or actively dismissed.</v>
          </cell>
        </row>
        <row r="67">
          <cell r="B67" t="str">
            <v>📌 NOTE</v>
          </cell>
          <cell r="C67" t="str">
            <v>Red cells = score needed (new questions with no old data to migrate from). If a transcript note at the top overrides coding guidance, it takes priority.</v>
          </cell>
        </row>
      </sheetData>
      <sheetData sheetId="2">
        <row r="1">
          <cell r="B1" t="str">
            <v>SPAR International — Sena (Category Buyer PL) — Int. 1</v>
          </cell>
        </row>
        <row r="2">
          <cell r="B2" t="str">
            <v>Interviewee Details</v>
          </cell>
          <cell r="C2" t="str">
            <v>Response</v>
          </cell>
          <cell r="D2" t="str">
            <v>Coding</v>
          </cell>
        </row>
        <row r="3">
          <cell r="B3" t="str">
            <v>Interviewee Name</v>
          </cell>
          <cell r="C3" t="str">
            <v>Sena Yersu Ozturk</v>
          </cell>
        </row>
        <row r="4">
          <cell r="B4" t="str">
            <v>Interviewee Position</v>
          </cell>
          <cell r="C4" t="str">
            <v>Category Buyer — Private Label</v>
          </cell>
        </row>
        <row r="5">
          <cell r="B5" t="str">
            <v>Company (Real)</v>
          </cell>
          <cell r="C5" t="str">
            <v>SPAR International</v>
          </cell>
        </row>
        <row r="6">
          <cell r="B6" t="str">
            <v>Company (Disguised)</v>
          </cell>
          <cell r="C6" t="str">
            <v>Company 17</v>
          </cell>
        </row>
        <row r="7">
          <cell r="B7" t="str">
            <v>Interview Date</v>
          </cell>
          <cell r="C7" t="str">
            <v>09/06/2026</v>
          </cell>
        </row>
        <row r="8">
          <cell r="B8" t="str">
            <v>Interviewer</v>
          </cell>
          <cell r="C8" t="str">
            <v>Aysegul Yamak Eveno</v>
          </cell>
        </row>
        <row r="9">
          <cell r="B9" t="str">
            <v>Interviewer Support</v>
          </cell>
        </row>
        <row r="10">
          <cell r="B10" t="str">
            <v>Company Industry</v>
          </cell>
          <cell r="C10" t="str">
            <v>Grocery Retail</v>
          </cell>
        </row>
        <row r="11">
          <cell r="B11" t="str">
            <v>Company Sub-Industry</v>
          </cell>
          <cell r="C11" t="str">
            <v>Retailer</v>
          </cell>
        </row>
        <row r="12">
          <cell r="B12" t="str">
            <v>Company Size (Turnover)</v>
          </cell>
          <cell r="C12">
            <v>150000000</v>
          </cell>
        </row>
        <row r="13">
          <cell r="B13" t="str">
            <v>Country</v>
          </cell>
          <cell r="C13" t="str">
            <v>Austria</v>
          </cell>
        </row>
        <row r="15">
          <cell r="B15" t="str">
            <v>Question ID</v>
          </cell>
          <cell r="C15" t="str">
            <v>Question</v>
          </cell>
        </row>
        <row r="16">
          <cell r="B16" t="str">
            <v>── BASELINE BLOCK ──</v>
          </cell>
        </row>
        <row r="17">
          <cell r="B17" t="str">
            <v>B1_INTEREST</v>
          </cell>
          <cell r="C17" t="str">
            <v>Are you interested in data collaboration?</v>
          </cell>
          <cell r="D17" t="str">
            <v>1-10</v>
          </cell>
          <cell r="E17">
            <v>6</v>
          </cell>
        </row>
        <row r="18">
          <cell r="B18" t="str">
            <v>↳ QUOTE</v>
          </cell>
          <cell r="C18" t="str">
            <v>[Paste verbatim quote from transcript that supports this score or adds context]</v>
          </cell>
        </row>
        <row r="19">
          <cell r="B19" t="str">
            <v>B2_SHARING</v>
          </cell>
          <cell r="C19" t="str">
            <v>Do you share data currently?</v>
          </cell>
          <cell r="D19" t="str">
            <v>0/1</v>
          </cell>
          <cell r="E19">
            <v>1</v>
          </cell>
        </row>
        <row r="20">
          <cell r="B20" t="str">
            <v>B3_MONETIZE</v>
          </cell>
          <cell r="C20" t="str">
            <v>Do you monetize your data currently?</v>
          </cell>
          <cell r="D20" t="str">
            <v>0/1</v>
          </cell>
          <cell r="E20">
            <v>0</v>
          </cell>
        </row>
        <row r="21">
          <cell r="B21" t="str">
            <v>B4_STRATEGIC</v>
          </cell>
          <cell r="C21" t="str">
            <v>Do you not share/monetize due to strategic reasons?</v>
          </cell>
          <cell r="D21" t="str">
            <v>0/1</v>
          </cell>
          <cell r="E21">
            <v>0</v>
          </cell>
        </row>
        <row r="22">
          <cell r="B22" t="str">
            <v>── DATA SHARING MATURITY (1–5) ──</v>
          </cell>
        </row>
        <row r="23">
          <cell r="B23" t="str">
            <v>Question ID</v>
          </cell>
          <cell r="C23" t="str">
            <v>Question</v>
          </cell>
          <cell r="D23" t="str">
            <v>Scale</v>
          </cell>
          <cell r="E23" t="str">
            <v>SCORE</v>
          </cell>
        </row>
        <row r="24">
          <cell r="B24" t="str">
            <v>M1_AUTOMATED</v>
          </cell>
          <cell r="C24" t="str">
            <v>Is data sharing automated or manual?</v>
          </cell>
          <cell r="D24" t="str">
            <v>1–5</v>
          </cell>
          <cell r="E24">
            <v>2</v>
          </cell>
        </row>
        <row r="25">
          <cell r="B25" t="str">
            <v>M2_REALTIME</v>
          </cell>
          <cell r="C25" t="str">
            <v>Is data sharing in real-time, or lagging?</v>
          </cell>
          <cell r="D25" t="str">
            <v>1–5</v>
          </cell>
          <cell r="E25">
            <v>2</v>
          </cell>
        </row>
        <row r="26">
          <cell r="B26" t="str">
            <v>M3_STRATEGIC</v>
          </cell>
          <cell r="C26" t="str">
            <v>Is data sharing focused on operations or strategic planning?</v>
          </cell>
          <cell r="D26" t="str">
            <v>1–5</v>
          </cell>
          <cell r="E26">
            <v>4</v>
          </cell>
        </row>
        <row r="27">
          <cell r="B27" t="str">
            <v>M4_BREADTH</v>
          </cell>
          <cell r="C27" t="str">
            <v>Is data sharing available to all clients, or based on strategic importance?</v>
          </cell>
          <cell r="D27" t="str">
            <v>1–5</v>
          </cell>
          <cell r="E27">
            <v>3</v>
          </cell>
        </row>
        <row r="28">
          <cell r="B28" t="str">
            <v>M5_DATATYPES</v>
          </cell>
          <cell r="C28" t="str">
            <v>Breadth of data exchanged</v>
          </cell>
          <cell r="D28" t="str">
            <v>1–5</v>
          </cell>
          <cell r="E28">
            <v>3</v>
          </cell>
        </row>
        <row r="29">
          <cell r="B29" t="str">
            <v>M6_TRUST</v>
          </cell>
          <cell r="C29" t="str">
            <v>Trust in received data</v>
          </cell>
          <cell r="D29" t="str">
            <v>1–5</v>
          </cell>
          <cell r="E29">
            <v>4</v>
          </cell>
        </row>
        <row r="30">
          <cell r="B30" t="str">
            <v>M7_BARRIERS</v>
          </cell>
          <cell r="C30" t="str">
            <v>Readiness / barriers to collaborate</v>
          </cell>
          <cell r="D30" t="str">
            <v>1–5</v>
          </cell>
          <cell r="E30">
            <v>3</v>
          </cell>
        </row>
        <row r="31">
          <cell r="B31" t="str">
            <v>M8_IMPACT</v>
          </cell>
          <cell r="C31" t="str">
            <v>Operational impact of data gaps</v>
          </cell>
          <cell r="D31" t="str">
            <v>1–5</v>
          </cell>
          <cell r="E31">
            <v>3</v>
          </cell>
        </row>
        <row r="32">
          <cell r="B32" t="str">
            <v>M9_WILLINGNESS</v>
          </cell>
          <cell r="C32" t="str">
            <v>Willingness to collaborate overall</v>
          </cell>
          <cell r="D32" t="str">
            <v>1-10</v>
          </cell>
          <cell r="E32">
            <v>6</v>
          </cell>
        </row>
        <row r="33">
          <cell r="B33" t="str">
            <v>── VALUE UNLOCK AREAS (0 = not mentioned / 1 = mentioned) ──</v>
          </cell>
        </row>
        <row r="34">
          <cell r="B34" t="str">
            <v>Guidance</v>
          </cell>
          <cell r="C34" t="str">
            <v>1 = interviewee explicitly mentioned this as valuable or relevant. 0 = not mentioned or actively dismissed.</v>
          </cell>
        </row>
        <row r="35">
          <cell r="B35" t="str">
            <v>SV1_PRICING</v>
          </cell>
          <cell r="C35" t="str">
            <v>Pricing</v>
          </cell>
          <cell r="D35" t="str">
            <v>0/1</v>
          </cell>
          <cell r="E35">
            <v>1</v>
          </cell>
        </row>
        <row r="36">
          <cell r="B36" t="str">
            <v>↳ QUOTE</v>
          </cell>
          <cell r="C36" t="str">
            <v>[Paste verbatim quote from transcript supporting Value Unlock Areas scoring]</v>
          </cell>
        </row>
        <row r="37">
          <cell r="B37" t="str">
            <v>SV2_PROMOTIONS</v>
          </cell>
          <cell r="C37" t="str">
            <v>Promotions</v>
          </cell>
          <cell r="D37" t="str">
            <v>0/1</v>
          </cell>
          <cell r="E37">
            <v>0</v>
          </cell>
        </row>
        <row r="38">
          <cell r="B38" t="str">
            <v>SV3_SUPPLYCHAIN</v>
          </cell>
          <cell r="C38" t="str">
            <v>Supply Chain Management</v>
          </cell>
          <cell r="D38" t="str">
            <v>0/1</v>
          </cell>
          <cell r="E38">
            <v>1</v>
          </cell>
        </row>
        <row r="39">
          <cell r="B39" t="str">
            <v>SV4_CATEGORY</v>
          </cell>
          <cell r="C39" t="str">
            <v>Category Planning</v>
          </cell>
          <cell r="D39" t="str">
            <v>0/1</v>
          </cell>
          <cell r="E39">
            <v>0</v>
          </cell>
        </row>
        <row r="40">
          <cell r="B40" t="str">
            <v>SV5_DEMAND</v>
          </cell>
          <cell r="C40" t="str">
            <v>Demand Forecasting</v>
          </cell>
          <cell r="D40" t="str">
            <v>0/1</v>
          </cell>
          <cell r="E40">
            <v>0</v>
          </cell>
        </row>
        <row r="41">
          <cell r="B41" t="str">
            <v>SV6_ACCOUNT</v>
          </cell>
          <cell r="C41" t="str">
            <v>Accountability</v>
          </cell>
          <cell r="D41" t="str">
            <v>0/1</v>
          </cell>
          <cell r="E41">
            <v>0</v>
          </cell>
        </row>
        <row r="42">
          <cell r="B42" t="str">
            <v>SV7_OPS</v>
          </cell>
          <cell r="C42" t="str">
            <v>Operationalization &amp; Workflows</v>
          </cell>
          <cell r="D42" t="str">
            <v>0/1</v>
          </cell>
          <cell r="E42">
            <v>0</v>
          </cell>
        </row>
        <row r="43">
          <cell r="B43" t="str">
            <v>── CONCERNS TO RESOLVE (0 = not mentioned / 1 = mentioned) ──</v>
          </cell>
        </row>
        <row r="44">
          <cell r="B44" t="str">
            <v>Guidance</v>
          </cell>
          <cell r="C44" t="str">
            <v>1 = interviewee explicitly mentioned this as valuable or relevant. 0 = not mentioned or actively dismissed.</v>
          </cell>
        </row>
        <row r="45">
          <cell r="B45" t="str">
            <v>SC1_DATASENS</v>
          </cell>
          <cell r="C45" t="str">
            <v>Data Sensitivity</v>
          </cell>
          <cell r="D45" t="str">
            <v>0/1</v>
          </cell>
          <cell r="E45">
            <v>1</v>
          </cell>
        </row>
        <row r="46">
          <cell r="B46" t="str">
            <v>SC2_COMPLIANCE</v>
          </cell>
          <cell r="C46" t="str">
            <v>Compliance</v>
          </cell>
          <cell r="D46" t="str">
            <v>0/1</v>
          </cell>
          <cell r="E46">
            <v>1</v>
          </cell>
        </row>
        <row r="47">
          <cell r="B47" t="str">
            <v>SC3_TRUST</v>
          </cell>
          <cell r="C47" t="str">
            <v>Trust Issues</v>
          </cell>
          <cell r="D47" t="str">
            <v>0/1</v>
          </cell>
          <cell r="E47">
            <v>1</v>
          </cell>
        </row>
        <row r="48">
          <cell r="B48" t="str">
            <v>SC4_DATAPROC</v>
          </cell>
          <cell r="C48" t="str">
            <v>Data Processing</v>
          </cell>
          <cell r="D48" t="str">
            <v>0/1</v>
          </cell>
          <cell r="E48">
            <v>1</v>
          </cell>
        </row>
        <row r="49">
          <cell r="B49" t="str">
            <v>── CRITICAL TOOL FEATURES (0 = not mentioned / 1 = mentioned) ──</v>
          </cell>
        </row>
        <row r="50">
          <cell r="B50" t="str">
            <v>Guidance</v>
          </cell>
          <cell r="C50" t="str">
            <v>1 = interviewee explicitly mentioned this as valuable or relevant. 0 = not mentioned or actively dismissed.</v>
          </cell>
        </row>
        <row r="51">
          <cell r="B51" t="str">
            <v>SF1_REALTIME</v>
          </cell>
          <cell r="C51" t="str">
            <v>Dynamic, real-time data exchange</v>
          </cell>
          <cell r="D51" t="str">
            <v>0/1</v>
          </cell>
          <cell r="E51">
            <v>0</v>
          </cell>
        </row>
        <row r="52">
          <cell r="B52" t="str">
            <v>↳ QUOTE</v>
          </cell>
          <cell r="C52" t="str">
            <v>[Paste verbatim quote from transcript supporting Critical Tool Features scoring]</v>
          </cell>
        </row>
        <row r="53">
          <cell r="B53" t="str">
            <v>SF2_ACCESS</v>
          </cell>
          <cell r="C53" t="str">
            <v>Equal access to shared datasets</v>
          </cell>
          <cell r="D53" t="str">
            <v>0/1</v>
          </cell>
          <cell r="E53">
            <v>1</v>
          </cell>
        </row>
        <row r="54">
          <cell r="B54" t="str">
            <v>SF3_UX</v>
          </cell>
          <cell r="C54" t="str">
            <v>Simple UX/UI</v>
          </cell>
          <cell r="D54" t="str">
            <v>0/1</v>
          </cell>
          <cell r="E54">
            <v>0</v>
          </cell>
        </row>
        <row r="55">
          <cell r="B55" t="str">
            <v>SF4_DECISION</v>
          </cell>
          <cell r="C55" t="str">
            <v>Allows joint decision making</v>
          </cell>
          <cell r="E55">
            <v>0</v>
          </cell>
        </row>
        <row r="56">
          <cell r="B56" t="str">
            <v>SF5_MASKING</v>
          </cell>
          <cell r="C56" t="str">
            <v>Clear masking rules by supplier/user</v>
          </cell>
          <cell r="E56">
            <v>0</v>
          </cell>
        </row>
        <row r="57">
          <cell r="B57" t="str">
            <v>── PREFERRED DATASETS (0 = not mentioned / 1 = mentioned) ──</v>
          </cell>
        </row>
        <row r="58">
          <cell r="B58" t="str">
            <v>Guidance</v>
          </cell>
          <cell r="C58" t="str">
            <v>1 = interviewee explicitly mentioned this as valuable or relevant. 0 = not mentioned or actively dismissed.</v>
          </cell>
        </row>
        <row r="59">
          <cell r="B59" t="str">
            <v>SD1_TRENDS</v>
          </cell>
          <cell r="C59" t="str">
            <v>Global trends and insights</v>
          </cell>
          <cell r="D59" t="str">
            <v>0/1</v>
          </cell>
          <cell r="E59">
            <v>1</v>
          </cell>
        </row>
        <row r="60">
          <cell r="B60" t="str">
            <v>SD2_MARKET</v>
          </cell>
          <cell r="C60" t="str">
            <v>Market research</v>
          </cell>
          <cell r="D60" t="str">
            <v>0/1</v>
          </cell>
          <cell r="E60">
            <v>1</v>
          </cell>
        </row>
        <row r="61">
          <cell r="B61" t="str">
            <v>SD3_CATEGORY</v>
          </cell>
          <cell r="C61" t="str">
            <v>Category performance</v>
          </cell>
          <cell r="D61" t="str">
            <v>0/1</v>
          </cell>
          <cell r="E61">
            <v>0</v>
          </cell>
        </row>
        <row r="62">
          <cell r="B62" t="str">
            <v>SD4_SHIPMENT</v>
          </cell>
          <cell r="C62" t="str">
            <v>Shipment schedules</v>
          </cell>
          <cell r="D62" t="str">
            <v>0/1</v>
          </cell>
          <cell r="E62">
            <v>0</v>
          </cell>
        </row>
        <row r="63">
          <cell r="B63" t="str">
            <v>SD5_LEAD</v>
          </cell>
          <cell r="C63" t="str">
            <v>Lead times</v>
          </cell>
          <cell r="D63" t="str">
            <v>0/1</v>
          </cell>
          <cell r="E63">
            <v>0</v>
          </cell>
        </row>
        <row r="64">
          <cell r="B64" t="str">
            <v>SD6_CONJOINT</v>
          </cell>
          <cell r="C64" t="str">
            <v>Conjoint names</v>
          </cell>
          <cell r="D64" t="str">
            <v>0/1</v>
          </cell>
          <cell r="E64">
            <v>0</v>
          </cell>
        </row>
        <row r="65">
          <cell r="B65" t="str">
            <v>Guidance</v>
          </cell>
          <cell r="C65" t="str">
            <v>1 = interviewee explicitly mentioned this as valuable or relevant. 0 = not mentioned or actively dismissed.</v>
          </cell>
        </row>
        <row r="67">
          <cell r="B67" t="str">
            <v>📌 NOTE</v>
          </cell>
          <cell r="C67" t="str">
            <v>Red cells = score needed (new questions with no old data to migrate from). If a transcript note at the top overrides coding guidance, it takes priority.</v>
          </cell>
        </row>
      </sheetData>
      <sheetData sheetId="3">
        <row r="18">
          <cell r="N18">
            <v>0.66666666666666696</v>
          </cell>
          <cell r="O18">
            <v>0.25</v>
          </cell>
          <cell r="P18">
            <v>0.6</v>
          </cell>
          <cell r="Q18">
            <v>0.5</v>
          </cell>
        </row>
        <row r="19">
          <cell r="N19">
            <v>0.66666666666666696</v>
          </cell>
          <cell r="O19">
            <v>0.25</v>
          </cell>
          <cell r="P19">
            <v>0.6</v>
          </cell>
          <cell r="Q19">
            <v>0.5</v>
          </cell>
        </row>
        <row r="20">
          <cell r="N20">
            <v>0.83333333333333304</v>
          </cell>
          <cell r="O20">
            <v>0.75</v>
          </cell>
          <cell r="P20">
            <v>0.6</v>
          </cell>
          <cell r="Q20">
            <v>1</v>
          </cell>
        </row>
        <row r="21">
          <cell r="N21">
            <v>0.85</v>
          </cell>
          <cell r="O21">
            <v>0.5</v>
          </cell>
          <cell r="P21">
            <v>1</v>
          </cell>
          <cell r="Q21">
            <v>0</v>
          </cell>
        </row>
        <row r="22">
          <cell r="N22">
            <v>0.5</v>
          </cell>
          <cell r="O22">
            <v>0.25</v>
          </cell>
          <cell r="P22">
            <v>0.4</v>
          </cell>
          <cell r="Q22">
            <v>0.5</v>
          </cell>
        </row>
        <row r="23">
          <cell r="N23">
            <v>0.33333333333333298</v>
          </cell>
          <cell r="O23">
            <v>0</v>
          </cell>
          <cell r="P23">
            <v>0.2</v>
          </cell>
          <cell r="Q23">
            <v>0</v>
          </cell>
        </row>
        <row r="24">
          <cell r="N24">
            <v>0.66666666666666696</v>
          </cell>
          <cell r="O24">
            <v>0</v>
          </cell>
          <cell r="P24">
            <v>0.6</v>
          </cell>
          <cell r="Q24">
            <v>0</v>
          </cell>
        </row>
      </sheetData>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Company 18"/>
      <sheetName val="Prioritization"/>
      <sheetName val="Quotes"/>
      <sheetName val="Overview of Interviews"/>
      <sheetName val="Hypothesis Confirmation"/>
      <sheetName val="Bubble Chart"/>
      <sheetName val="Scorecard Planning"/>
      <sheetName val="Learnings Summary"/>
      <sheetName val="Analysis — Individual"/>
      <sheetName val="Regression Analysis"/>
      <sheetName val="Analysis — Filter View"/>
      <sheetName val="Company 1"/>
      <sheetName val="Company 2"/>
      <sheetName val="Company 3"/>
      <sheetName val="Company 4"/>
      <sheetName val="Company 5"/>
      <sheetName val="Company 6"/>
      <sheetName val="Company 7"/>
      <sheetName val="Company 8"/>
      <sheetName val="Company 9"/>
      <sheetName val="Company 10"/>
      <sheetName val="Company 11"/>
      <sheetName val="Company 12"/>
      <sheetName val="Company 13"/>
      <sheetName val="Company 14"/>
      <sheetName val="Company 15"/>
      <sheetName val="Company 16"/>
      <sheetName val="Company 17"/>
      <sheetName val="Company 19"/>
      <sheetName val="Company 20"/>
      <sheetName val="Company 21"/>
      <sheetName val="Company 22"/>
      <sheetName val="Company 23"/>
      <sheetName val="Company 24"/>
      <sheetName val="Company 25"/>
      <sheetName val="Company 26"/>
      <sheetName val="Company 27"/>
      <sheetName val="Company 28"/>
      <sheetName val="Company 29"/>
      <sheetName val="Company 30"/>
      <sheetName val="Template"/>
    </sheetNames>
    <sheetDataSet>
      <sheetData sheetId="0">
        <row r="1">
          <cell r="B1" t="str">
            <v>Mars Benelux — Nathan Huybrechts (Food Business Lead) — Int. 1</v>
          </cell>
        </row>
        <row r="2">
          <cell r="B2" t="str">
            <v>Interviewee Details</v>
          </cell>
          <cell r="C2" t="str">
            <v>Response</v>
          </cell>
          <cell r="D2" t="str">
            <v>Coding</v>
          </cell>
        </row>
        <row r="3">
          <cell r="B3" t="str">
            <v>Interviewee Name</v>
          </cell>
          <cell r="C3" t="str">
            <v>Nathan Huybrechts</v>
          </cell>
        </row>
        <row r="4">
          <cell r="B4" t="str">
            <v>Interviewee Position</v>
          </cell>
          <cell r="C4" t="str">
            <v>Food Business Lead — Rice &amp; Sauces (Benelux)</v>
          </cell>
        </row>
        <row r="5">
          <cell r="B5" t="str">
            <v>Company (Real)</v>
          </cell>
          <cell r="C5" t="str">
            <v>Mars Benelux</v>
          </cell>
        </row>
        <row r="6">
          <cell r="B6" t="str">
            <v>Company (Disguised)</v>
          </cell>
          <cell r="C6" t="str">
            <v>Company 18</v>
          </cell>
        </row>
        <row r="7">
          <cell r="B7" t="str">
            <v>Interview Date</v>
          </cell>
          <cell r="C7" t="str">
            <v>11/06/2026</v>
          </cell>
        </row>
        <row r="8">
          <cell r="B8" t="str">
            <v>Interviewer</v>
          </cell>
          <cell r="C8" t="str">
            <v>Nicolas Amaya Cardona &amp; Lore Verhoeven</v>
          </cell>
        </row>
        <row r="9">
          <cell r="B9" t="str">
            <v>Interviewer Support</v>
          </cell>
        </row>
        <row r="10">
          <cell r="B10" t="str">
            <v>Company Industry</v>
          </cell>
          <cell r="C10" t="str">
            <v>FMCG / Food Manufacturing</v>
          </cell>
        </row>
        <row r="11">
          <cell r="B11" t="str">
            <v>Company Sub-Industry</v>
          </cell>
          <cell r="C11" t="str">
            <v>Manufacturer</v>
          </cell>
        </row>
        <row r="12">
          <cell r="B12" t="str">
            <v>Company Size (Turnover)</v>
          </cell>
        </row>
        <row r="13">
          <cell r="B13" t="str">
            <v>Country</v>
          </cell>
        </row>
        <row r="15">
          <cell r="B15" t="str">
            <v>Question ID</v>
          </cell>
          <cell r="C15" t="str">
            <v>Question</v>
          </cell>
        </row>
        <row r="16">
          <cell r="B16" t="str">
            <v>── BASELINE BLOCK ──</v>
          </cell>
        </row>
        <row r="17">
          <cell r="B17" t="str">
            <v>B1_INTEREST</v>
          </cell>
          <cell r="C17" t="str">
            <v>Are you interested in data collaboration?</v>
          </cell>
          <cell r="D17" t="str">
            <v>1-10</v>
          </cell>
          <cell r="E17">
            <v>8</v>
          </cell>
        </row>
        <row r="18">
          <cell r="B18" t="str">
            <v>↳ QUOTE</v>
          </cell>
          <cell r="C18" t="str">
            <v>"That would be high, around 8, because it is in our favour. I think it is more the retailer will not always be happy to share everything, but we need them to sell our products. So from a brand perspective, obviously it is in our favour."</v>
          </cell>
        </row>
        <row r="19">
          <cell r="B19" t="str">
            <v>B2_SHARING</v>
          </cell>
          <cell r="C19" t="str">
            <v>Do you share data currently?</v>
          </cell>
          <cell r="D19" t="str">
            <v>0/1</v>
          </cell>
          <cell r="E19">
            <v>1</v>
          </cell>
        </row>
        <row r="20">
          <cell r="B20" t="str">
            <v>B3_MONETIZE</v>
          </cell>
          <cell r="C20" t="str">
            <v>Do you monetize your data currently?</v>
          </cell>
          <cell r="D20" t="str">
            <v>0/1</v>
          </cell>
          <cell r="E20">
            <v>0</v>
          </cell>
        </row>
        <row r="21">
          <cell r="B21" t="str">
            <v>B4_STRATEGIC</v>
          </cell>
          <cell r="C21" t="str">
            <v>Do you not share/monetize due to strategic reasons?</v>
          </cell>
          <cell r="D21" t="str">
            <v>0/1</v>
          </cell>
          <cell r="E21">
            <v>0</v>
          </cell>
        </row>
        <row r="22">
          <cell r="B22" t="str">
            <v>── DATA SHARING MATURITY (1–5) ──</v>
          </cell>
        </row>
        <row r="23">
          <cell r="B23" t="str">
            <v>Question ID</v>
          </cell>
          <cell r="C23" t="str">
            <v>Question</v>
          </cell>
          <cell r="D23" t="str">
            <v>Scale</v>
          </cell>
          <cell r="E23" t="str">
            <v>SCORE</v>
          </cell>
        </row>
        <row r="24">
          <cell r="B24" t="str">
            <v>M1_AUTOMATED</v>
          </cell>
          <cell r="C24" t="str">
            <v>Is data sharing automated or manual?</v>
          </cell>
          <cell r="D24" t="str">
            <v>1–5</v>
          </cell>
          <cell r="E24">
            <v>2</v>
          </cell>
        </row>
        <row r="25">
          <cell r="B25" t="str">
            <v>M2_REALTIME</v>
          </cell>
          <cell r="C25" t="str">
            <v>Is data sharing in real-time, or lagging?</v>
          </cell>
          <cell r="D25" t="str">
            <v>1–5</v>
          </cell>
          <cell r="E25">
            <v>2</v>
          </cell>
        </row>
        <row r="26">
          <cell r="B26" t="str">
            <v>M3_STRATEGIC</v>
          </cell>
          <cell r="C26" t="str">
            <v>Is data sharing focused on operations or strategic planning?</v>
          </cell>
          <cell r="D26" t="str">
            <v>1–5</v>
          </cell>
          <cell r="E26">
            <v>4</v>
          </cell>
        </row>
        <row r="27">
          <cell r="B27" t="str">
            <v>M4_BREADTH</v>
          </cell>
          <cell r="C27" t="str">
            <v>Is data sharing available to all clients, or based on strategic importance?</v>
          </cell>
          <cell r="D27" t="str">
            <v>1–5</v>
          </cell>
          <cell r="E27">
            <v>3</v>
          </cell>
        </row>
        <row r="28">
          <cell r="B28" t="str">
            <v>M5_DATATYPES</v>
          </cell>
          <cell r="C28" t="str">
            <v>Breadth of data exchanged</v>
          </cell>
          <cell r="D28" t="str">
            <v>1–5</v>
          </cell>
          <cell r="E28">
            <v>4</v>
          </cell>
        </row>
        <row r="29">
          <cell r="B29" t="str">
            <v>M6_TRUST</v>
          </cell>
          <cell r="C29" t="str">
            <v>Trust in received data</v>
          </cell>
          <cell r="D29" t="str">
            <v>1–5</v>
          </cell>
          <cell r="E29">
            <v>2</v>
          </cell>
        </row>
        <row r="30">
          <cell r="B30" t="str">
            <v>M7_BARRIERS</v>
          </cell>
          <cell r="C30" t="str">
            <v>Readiness / barriers to collaborate</v>
          </cell>
          <cell r="D30" t="str">
            <v>1–5</v>
          </cell>
          <cell r="E30">
            <v>3</v>
          </cell>
        </row>
        <row r="31">
          <cell r="B31" t="str">
            <v>M8_IMPACT</v>
          </cell>
          <cell r="C31" t="str">
            <v>Operational impact of data gaps</v>
          </cell>
          <cell r="D31" t="str">
            <v>1–5</v>
          </cell>
          <cell r="E31">
            <v>3</v>
          </cell>
        </row>
        <row r="32">
          <cell r="B32" t="str">
            <v>M9_WILLINGNESS</v>
          </cell>
          <cell r="C32" t="str">
            <v>Willingness to collaborate overall</v>
          </cell>
          <cell r="D32" t="str">
            <v>1-10</v>
          </cell>
          <cell r="E32">
            <v>8</v>
          </cell>
        </row>
        <row r="33">
          <cell r="B33" t="str">
            <v>── VALUE UNLOCK AREAS (0 = not mentioned / 1 = mentioned) ──</v>
          </cell>
        </row>
        <row r="34">
          <cell r="B34" t="str">
            <v>Guidance</v>
          </cell>
          <cell r="C34" t="str">
            <v>1 = interviewee explicitly mentioned this as valuable or relevant. 0 = not mentioned or actively dismissed.</v>
          </cell>
        </row>
        <row r="35">
          <cell r="B35" t="str">
            <v>SV1_PRICING</v>
          </cell>
          <cell r="C35" t="str">
            <v>Pricing</v>
          </cell>
          <cell r="D35" t="str">
            <v>0/1</v>
          </cell>
          <cell r="E35">
            <v>1</v>
          </cell>
        </row>
        <row r="36">
          <cell r="B36" t="str">
            <v>↳ QUOTE</v>
          </cell>
          <cell r="C36" t="str">
            <v>"We have a pricing tool where we get data about pricing of certain products, of promotions that are live, of the competition, which prices they use."</v>
          </cell>
        </row>
        <row r="37">
          <cell r="B37" t="str">
            <v>SV2_PROMOTIONS</v>
          </cell>
          <cell r="C37" t="str">
            <v>Promotions</v>
          </cell>
          <cell r="D37" t="str">
            <v>0/1</v>
          </cell>
          <cell r="E37">
            <v>1</v>
          </cell>
        </row>
        <row r="38">
          <cell r="B38" t="str">
            <v>SV3_SUPPLYCHAIN</v>
          </cell>
          <cell r="C38" t="str">
            <v>Supply Chain Management</v>
          </cell>
          <cell r="D38" t="str">
            <v>0/1</v>
          </cell>
          <cell r="E38">
            <v>1</v>
          </cell>
        </row>
        <row r="39">
          <cell r="B39" t="str">
            <v>SV4_CATEGORY</v>
          </cell>
          <cell r="C39" t="str">
            <v>Category Planning</v>
          </cell>
          <cell r="D39" t="str">
            <v>0/1</v>
          </cell>
          <cell r="E39">
            <v>1</v>
          </cell>
        </row>
        <row r="40">
          <cell r="B40" t="str">
            <v>SV5_DEMAND</v>
          </cell>
          <cell r="C40" t="str">
            <v>Demand Forecasting</v>
          </cell>
          <cell r="D40" t="str">
            <v>0/1</v>
          </cell>
          <cell r="E40">
            <v>1</v>
          </cell>
        </row>
        <row r="41">
          <cell r="B41" t="str">
            <v>SV6_ACCOUNT</v>
          </cell>
          <cell r="C41" t="str">
            <v>Accountability</v>
          </cell>
          <cell r="D41" t="str">
            <v>0/1</v>
          </cell>
          <cell r="E41">
            <v>0</v>
          </cell>
        </row>
        <row r="42">
          <cell r="B42" t="str">
            <v>SV7_OPS</v>
          </cell>
          <cell r="C42" t="str">
            <v>Operationalization &amp; Workflows</v>
          </cell>
          <cell r="D42" t="str">
            <v>0/1</v>
          </cell>
          <cell r="E42">
            <v>1</v>
          </cell>
        </row>
        <row r="43">
          <cell r="B43" t="str">
            <v>── CONCERNS TO RESOLVE (0 = not mentioned / 1 = mentioned) ──</v>
          </cell>
        </row>
        <row r="44">
          <cell r="B44" t="str">
            <v>Guidance</v>
          </cell>
          <cell r="C44" t="str">
            <v>1 = interviewee explicitly mentioned this as valuable or relevant. 0 = not mentioned or actively dismissed.</v>
          </cell>
        </row>
        <row r="45">
          <cell r="B45" t="str">
            <v>SC1_DATASENS</v>
          </cell>
          <cell r="C45" t="str">
            <v>Data Sensitivity</v>
          </cell>
          <cell r="D45" t="str">
            <v>0/1</v>
          </cell>
          <cell r="E45">
            <v>1</v>
          </cell>
        </row>
        <row r="46">
          <cell r="B46" t="str">
            <v>SC2_COMPLIANCE</v>
          </cell>
          <cell r="C46" t="str">
            <v>Compliance</v>
          </cell>
          <cell r="D46" t="str">
            <v>0/1</v>
          </cell>
          <cell r="E46">
            <v>1</v>
          </cell>
        </row>
        <row r="47">
          <cell r="B47" t="str">
            <v>SC3_TRUST</v>
          </cell>
          <cell r="C47" t="str">
            <v>Trust Issues</v>
          </cell>
          <cell r="D47" t="str">
            <v>0/1</v>
          </cell>
          <cell r="E47">
            <v>1</v>
          </cell>
        </row>
        <row r="48">
          <cell r="B48" t="str">
            <v>SC4_DATAPROC</v>
          </cell>
          <cell r="C48" t="str">
            <v>Data Processing</v>
          </cell>
          <cell r="D48" t="str">
            <v>0/1</v>
          </cell>
          <cell r="E48">
            <v>1</v>
          </cell>
        </row>
        <row r="49">
          <cell r="B49" t="str">
            <v>── CRITICAL TOOL FEATURES (0 = not mentioned / 1 = mentioned) ──</v>
          </cell>
        </row>
        <row r="50">
          <cell r="B50" t="str">
            <v>Guidance</v>
          </cell>
          <cell r="C50" t="str">
            <v>1 = interviewee explicitly mentioned this as valuable or relevant. 0 = not mentioned or actively dismissed.</v>
          </cell>
        </row>
        <row r="51">
          <cell r="B51" t="str">
            <v>SF1_REALTIME</v>
          </cell>
          <cell r="C51" t="str">
            <v>Dynamic, real-time data exchange</v>
          </cell>
          <cell r="D51" t="str">
            <v>0/1</v>
          </cell>
          <cell r="E51">
            <v>0</v>
          </cell>
        </row>
        <row r="52">
          <cell r="B52" t="str">
            <v>↳ QUOTE</v>
          </cell>
          <cell r="C52" t="str">
            <v>[Paste verbatim quote from transcript supporting Critical Tool Features scoring]</v>
          </cell>
        </row>
        <row r="53">
          <cell r="B53" t="str">
            <v>SF2_ACCESS</v>
          </cell>
          <cell r="C53" t="str">
            <v>Equal access to shared datasets</v>
          </cell>
          <cell r="D53" t="str">
            <v>0/1</v>
          </cell>
          <cell r="E53">
            <v>1</v>
          </cell>
        </row>
        <row r="54">
          <cell r="B54" t="str">
            <v>SF3_UX</v>
          </cell>
          <cell r="C54" t="str">
            <v>Simple UX/UI</v>
          </cell>
          <cell r="D54" t="str">
            <v>0/1</v>
          </cell>
          <cell r="E54">
            <v>1</v>
          </cell>
        </row>
        <row r="55">
          <cell r="B55" t="str">
            <v>SF4_DECISION</v>
          </cell>
          <cell r="C55" t="str">
            <v>Allows joint decision making</v>
          </cell>
          <cell r="E55">
            <v>0</v>
          </cell>
        </row>
        <row r="56">
          <cell r="B56" t="str">
            <v>SF5_MASKING</v>
          </cell>
          <cell r="C56" t="str">
            <v>Clear masking rules by supplier/user</v>
          </cell>
          <cell r="E56">
            <v>1</v>
          </cell>
        </row>
        <row r="57">
          <cell r="B57" t="str">
            <v>── PREFERRED DATASETS (0 = not mentioned / 1 = mentioned) ──</v>
          </cell>
        </row>
        <row r="58">
          <cell r="B58" t="str">
            <v>Guidance</v>
          </cell>
          <cell r="C58" t="str">
            <v>1 = interviewee explicitly mentioned this as valuable or relevant. 0 = not mentioned or actively dismissed.</v>
          </cell>
        </row>
        <row r="59">
          <cell r="B59" t="str">
            <v>SD1_TRENDS</v>
          </cell>
          <cell r="C59" t="str">
            <v>Global trends and insights</v>
          </cell>
          <cell r="D59" t="str">
            <v>0/1</v>
          </cell>
          <cell r="E59">
            <v>1</v>
          </cell>
        </row>
        <row r="60">
          <cell r="B60" t="str">
            <v>SD2_MARKET</v>
          </cell>
          <cell r="C60" t="str">
            <v>Market research</v>
          </cell>
          <cell r="D60" t="str">
            <v>0/1</v>
          </cell>
          <cell r="E60">
            <v>1</v>
          </cell>
        </row>
        <row r="61">
          <cell r="B61" t="str">
            <v>SD3_CATEGORY</v>
          </cell>
          <cell r="C61" t="str">
            <v>Category performance</v>
          </cell>
          <cell r="D61" t="str">
            <v>0/1</v>
          </cell>
          <cell r="E61">
            <v>1</v>
          </cell>
        </row>
        <row r="62">
          <cell r="B62" t="str">
            <v>SD4_SHIPMENT</v>
          </cell>
          <cell r="C62" t="str">
            <v>Shipment schedules</v>
          </cell>
          <cell r="D62" t="str">
            <v>0/1</v>
          </cell>
          <cell r="E62">
            <v>1</v>
          </cell>
        </row>
        <row r="63">
          <cell r="B63" t="str">
            <v>SD5_LEAD</v>
          </cell>
          <cell r="C63" t="str">
            <v>Lead times</v>
          </cell>
          <cell r="D63" t="str">
            <v>0/1</v>
          </cell>
          <cell r="E63">
            <v>0</v>
          </cell>
        </row>
        <row r="64">
          <cell r="B64" t="str">
            <v>SD6_CONJOINT</v>
          </cell>
          <cell r="C64" t="str">
            <v>Conjoint names</v>
          </cell>
          <cell r="D64" t="str">
            <v>0/1</v>
          </cell>
          <cell r="E64">
            <v>0</v>
          </cell>
        </row>
        <row r="65">
          <cell r="B65" t="str">
            <v>Guidance</v>
          </cell>
          <cell r="C65" t="str">
            <v>1 = interviewee explicitly mentioned this as valuable or relevant. 0 = not mentioned or actively dismissed.</v>
          </cell>
        </row>
        <row r="67">
          <cell r="B67" t="str">
            <v>📌 NOTE</v>
          </cell>
          <cell r="C67" t="str">
            <v>Red cells = score needed (new questions with no old data to migrate from). If a transcript note at the top overrides coding guidance, it takes priority.</v>
          </cell>
        </row>
      </sheetData>
      <sheetData sheetId="1">
        <row r="18">
          <cell r="N18">
            <v>0.75</v>
          </cell>
          <cell r="O18">
            <v>0.25</v>
          </cell>
          <cell r="P18">
            <v>0.33333333333333298</v>
          </cell>
          <cell r="Q18">
            <v>1</v>
          </cell>
        </row>
        <row r="19">
          <cell r="N19">
            <v>0.75</v>
          </cell>
          <cell r="O19">
            <v>0.25</v>
          </cell>
          <cell r="P19">
            <v>0.33333333333333298</v>
          </cell>
          <cell r="Q19">
            <v>0</v>
          </cell>
        </row>
        <row r="20">
          <cell r="N20">
            <v>0.875</v>
          </cell>
          <cell r="O20">
            <v>0.75</v>
          </cell>
          <cell r="P20">
            <v>0.66666666666666696</v>
          </cell>
          <cell r="Q20">
            <v>1</v>
          </cell>
        </row>
        <row r="21">
          <cell r="N21">
            <v>0.85</v>
          </cell>
          <cell r="O21">
            <v>0.5</v>
          </cell>
          <cell r="P21">
            <v>1</v>
          </cell>
          <cell r="Q21">
            <v>0</v>
          </cell>
        </row>
        <row r="22">
          <cell r="N22">
            <v>0.625</v>
          </cell>
          <cell r="O22">
            <v>0.25</v>
          </cell>
          <cell r="P22">
            <v>0.66666666666666696</v>
          </cell>
          <cell r="Q22">
            <v>0</v>
          </cell>
        </row>
        <row r="23">
          <cell r="N23">
            <v>0.25</v>
          </cell>
          <cell r="O23">
            <v>0</v>
          </cell>
          <cell r="P23">
            <v>0</v>
          </cell>
          <cell r="Q23">
            <v>0</v>
          </cell>
        </row>
        <row r="24">
          <cell r="N24">
            <v>0.75</v>
          </cell>
          <cell r="O24">
            <v>0</v>
          </cell>
          <cell r="P24">
            <v>0.66666666666666696</v>
          </cell>
          <cell r="Q24">
            <v>0</v>
          </cell>
        </row>
      </sheetData>
      <sheetData sheetId="2"/>
      <sheetData sheetId="3"/>
      <sheetData sheetId="4"/>
      <sheetData sheetId="5"/>
      <sheetData sheetId="6"/>
      <sheetData sheetId="7"/>
      <sheetData sheetId="8"/>
      <sheetData sheetId="9"/>
      <sheetData sheetId="10"/>
      <sheetData sheetId="11"/>
      <sheetData sheetId="12"/>
      <sheetData sheetId="13"/>
      <sheetData sheetId="14">
        <row r="1">
          <cell r="B1" t="str">
            <v>Greenyard — Frédéric Rosseneu (CCO) — Int. 1</v>
          </cell>
        </row>
        <row r="2">
          <cell r="B2" t="str">
            <v>Interviewee Details</v>
          </cell>
          <cell r="C2" t="str">
            <v>Response</v>
          </cell>
          <cell r="D2" t="str">
            <v>Coding</v>
          </cell>
        </row>
        <row r="3">
          <cell r="B3" t="str">
            <v>Interviewee Name</v>
          </cell>
          <cell r="C3" t="str">
            <v>Frédéric Rosseneu</v>
          </cell>
        </row>
        <row r="4">
          <cell r="B4" t="str">
            <v>Interviewee Position</v>
          </cell>
          <cell r="C4" t="str">
            <v>Commercial Director / CCO</v>
          </cell>
        </row>
        <row r="5">
          <cell r="B5" t="str">
            <v>Company (Real)</v>
          </cell>
          <cell r="C5" t="str">
            <v>Greenyard</v>
          </cell>
        </row>
        <row r="6">
          <cell r="B6" t="str">
            <v>Company (Disguised)</v>
          </cell>
          <cell r="C6" t="str">
            <v>Company 4</v>
          </cell>
        </row>
        <row r="7">
          <cell r="B7" t="str">
            <v>Interview Date</v>
          </cell>
          <cell r="C7" t="str">
            <v>12/06/2026</v>
          </cell>
        </row>
        <row r="8">
          <cell r="B8" t="str">
            <v>Interviewer</v>
          </cell>
          <cell r="C8" t="str">
            <v>Aysegul Yamak Eveno</v>
          </cell>
        </row>
        <row r="9">
          <cell r="B9" t="str">
            <v>Interviewer Support</v>
          </cell>
        </row>
        <row r="10">
          <cell r="B10" t="str">
            <v>Company Industry</v>
          </cell>
          <cell r="C10" t="str">
            <v>Fresh Produce / Agri-Food</v>
          </cell>
        </row>
        <row r="11">
          <cell r="B11" t="str">
            <v>Company Sub-Industry</v>
          </cell>
          <cell r="C11" t="str">
            <v>Manufacturer</v>
          </cell>
        </row>
        <row r="12">
          <cell r="B12" t="str">
            <v>Company Size (Turnover)</v>
          </cell>
          <cell r="C12">
            <v>5360000000</v>
          </cell>
        </row>
        <row r="13">
          <cell r="B13" t="str">
            <v>Country</v>
          </cell>
          <cell r="C13" t="str">
            <v>Belgium</v>
          </cell>
        </row>
        <row r="15">
          <cell r="B15" t="str">
            <v>Question ID</v>
          </cell>
          <cell r="C15" t="str">
            <v>Question</v>
          </cell>
        </row>
        <row r="16">
          <cell r="B16" t="str">
            <v>── BASELINE BLOCK ──</v>
          </cell>
        </row>
        <row r="17">
          <cell r="B17" t="str">
            <v>B1_INTEREST</v>
          </cell>
          <cell r="C17" t="str">
            <v>Are you interested in data collaboration?</v>
          </cell>
          <cell r="D17" t="str">
            <v>1-10</v>
          </cell>
          <cell r="E17">
            <v>9</v>
          </cell>
        </row>
        <row r="18">
          <cell r="B18" t="str">
            <v>↳ QUOTE</v>
          </cell>
          <cell r="C18" t="str">
            <v>"at this point, I think like 7 or 8, There is a question at this moment to search from some data"</v>
          </cell>
        </row>
        <row r="19">
          <cell r="B19" t="str">
            <v>B2_SHARING</v>
          </cell>
          <cell r="C19" t="str">
            <v>Do you share data currently?</v>
          </cell>
          <cell r="D19" t="str">
            <v>0/1</v>
          </cell>
          <cell r="E19">
            <v>1</v>
          </cell>
        </row>
        <row r="20">
          <cell r="B20" t="str">
            <v>B3_MONETIZE</v>
          </cell>
          <cell r="C20" t="str">
            <v>Do you monetize your data currently?</v>
          </cell>
          <cell r="D20" t="str">
            <v>0/1</v>
          </cell>
          <cell r="E20">
            <v>0</v>
          </cell>
        </row>
        <row r="21">
          <cell r="B21" t="str">
            <v>B4_STRATEGIC</v>
          </cell>
          <cell r="C21" t="str">
            <v>Do you not share/monetize due to strategic reasons?</v>
          </cell>
          <cell r="D21" t="str">
            <v>0/1</v>
          </cell>
          <cell r="E21">
            <v>0</v>
          </cell>
        </row>
        <row r="22">
          <cell r="B22" t="str">
            <v>── DATA SHARING MATURITY (1–5) ──</v>
          </cell>
        </row>
        <row r="23">
          <cell r="B23" t="str">
            <v>Question ID</v>
          </cell>
          <cell r="C23" t="str">
            <v>Question</v>
          </cell>
          <cell r="D23" t="str">
            <v>Scale</v>
          </cell>
          <cell r="E23" t="str">
            <v>SCORE</v>
          </cell>
        </row>
        <row r="24">
          <cell r="B24" t="str">
            <v>M1_AUTOMATED</v>
          </cell>
          <cell r="C24" t="str">
            <v>Is data sharing automated or manual?</v>
          </cell>
          <cell r="D24" t="str">
            <v>1–5</v>
          </cell>
          <cell r="E24">
            <v>4</v>
          </cell>
        </row>
        <row r="25">
          <cell r="B25" t="str">
            <v>M2_REALTIME</v>
          </cell>
          <cell r="C25" t="str">
            <v>Is data sharing in real-time, or lagging?</v>
          </cell>
          <cell r="D25" t="str">
            <v>1–5</v>
          </cell>
          <cell r="E25">
            <v>4</v>
          </cell>
        </row>
        <row r="26">
          <cell r="B26" t="str">
            <v>M3_STRATEGIC</v>
          </cell>
          <cell r="C26" t="str">
            <v>Is data sharing focused on operations or strategic planning?</v>
          </cell>
          <cell r="D26" t="str">
            <v>1–5</v>
          </cell>
          <cell r="E26">
            <v>5</v>
          </cell>
        </row>
        <row r="27">
          <cell r="B27" t="str">
            <v>M4_BREADTH</v>
          </cell>
          <cell r="C27" t="str">
            <v>Is data sharing available to all clients, or based on strategic importance?</v>
          </cell>
          <cell r="D27" t="str">
            <v>1–5</v>
          </cell>
          <cell r="E27">
            <v>2</v>
          </cell>
        </row>
        <row r="28">
          <cell r="B28" t="str">
            <v>M5_DATATYPES</v>
          </cell>
          <cell r="C28" t="str">
            <v>Breadth of data exchanged</v>
          </cell>
          <cell r="D28" t="str">
            <v>1–5</v>
          </cell>
          <cell r="E28">
            <v>4</v>
          </cell>
        </row>
        <row r="29">
          <cell r="B29" t="str">
            <v>M6_TRUST</v>
          </cell>
          <cell r="C29" t="str">
            <v>Trust in received data</v>
          </cell>
          <cell r="D29" t="str">
            <v>1–5</v>
          </cell>
          <cell r="E29">
            <v>3</v>
          </cell>
        </row>
        <row r="30">
          <cell r="B30" t="str">
            <v>M7_BARRIERS</v>
          </cell>
          <cell r="C30" t="str">
            <v>Readiness / barriers to collaborate</v>
          </cell>
          <cell r="D30" t="str">
            <v>1–5</v>
          </cell>
          <cell r="E30">
            <v>4</v>
          </cell>
        </row>
        <row r="31">
          <cell r="B31" t="str">
            <v>M8_IMPACT</v>
          </cell>
          <cell r="C31" t="str">
            <v>Operational impact of data gaps</v>
          </cell>
          <cell r="D31" t="str">
            <v>1–5</v>
          </cell>
          <cell r="E31">
            <v>2</v>
          </cell>
        </row>
        <row r="32">
          <cell r="B32" t="str">
            <v>M9_WILLINGNESS</v>
          </cell>
          <cell r="C32" t="str">
            <v>Willingness to collaborate overall</v>
          </cell>
          <cell r="D32" t="str">
            <v>1-10</v>
          </cell>
          <cell r="E32">
            <v>9</v>
          </cell>
        </row>
        <row r="33">
          <cell r="B33" t="str">
            <v>── VALUE UNLOCK AREAS (0 = not mentioned / 1 = mentioned) ──</v>
          </cell>
        </row>
        <row r="34">
          <cell r="B34" t="str">
            <v>Guidance</v>
          </cell>
          <cell r="C34" t="str">
            <v>1 = interviewee explicitly mentioned this as valuable or relevant. 0 = not mentioned or actively dismissed.</v>
          </cell>
        </row>
        <row r="35">
          <cell r="B35" t="str">
            <v>SV1_PRICING</v>
          </cell>
          <cell r="C35" t="str">
            <v>Pricing</v>
          </cell>
          <cell r="D35" t="str">
            <v>0/1</v>
          </cell>
          <cell r="E35">
            <v>1</v>
          </cell>
        </row>
        <row r="36">
          <cell r="B36" t="str">
            <v>↳ QUOTE</v>
          </cell>
          <cell r="C36" t="str">
            <v>"The transparency with Albert Heijn goes as far as that we have insights in the stock levels in the stores, so we can already anticipate on that in the way we manage purchasing day-to-day."</v>
          </cell>
        </row>
        <row r="37">
          <cell r="B37" t="str">
            <v>SV2_PROMOTIONS</v>
          </cell>
          <cell r="C37" t="str">
            <v>Promotions</v>
          </cell>
          <cell r="D37" t="str">
            <v>0/1</v>
          </cell>
          <cell r="E37">
            <v>1</v>
          </cell>
        </row>
        <row r="38">
          <cell r="B38" t="str">
            <v>SV3_SUPPLYCHAIN</v>
          </cell>
          <cell r="C38" t="str">
            <v>Supply Chain Management</v>
          </cell>
          <cell r="D38" t="str">
            <v>0/1</v>
          </cell>
          <cell r="E38">
            <v>1</v>
          </cell>
        </row>
        <row r="39">
          <cell r="B39" t="str">
            <v>SV4_CATEGORY</v>
          </cell>
          <cell r="C39" t="str">
            <v>Category Planning</v>
          </cell>
          <cell r="D39" t="str">
            <v>0/1</v>
          </cell>
          <cell r="E39">
            <v>1</v>
          </cell>
        </row>
        <row r="40">
          <cell r="B40" t="str">
            <v>SV5_DEMAND</v>
          </cell>
          <cell r="C40" t="str">
            <v>Demand Forecasting</v>
          </cell>
          <cell r="D40" t="str">
            <v>0/1</v>
          </cell>
          <cell r="E40">
            <v>1</v>
          </cell>
        </row>
        <row r="41">
          <cell r="B41" t="str">
            <v>SV6_ACCOUNT</v>
          </cell>
          <cell r="C41" t="str">
            <v>Accountability</v>
          </cell>
          <cell r="D41" t="str">
            <v>0/1</v>
          </cell>
          <cell r="E41">
            <v>0</v>
          </cell>
        </row>
        <row r="42">
          <cell r="B42" t="str">
            <v>SV7_OPS</v>
          </cell>
          <cell r="C42" t="str">
            <v>Operationalization &amp; Workflows</v>
          </cell>
          <cell r="D42" t="str">
            <v>0/1</v>
          </cell>
          <cell r="E42">
            <v>1</v>
          </cell>
        </row>
        <row r="43">
          <cell r="B43" t="str">
            <v>── CONCERNS TO RESOLVE (0 = not mentioned / 1 = mentioned) ──</v>
          </cell>
        </row>
        <row r="44">
          <cell r="B44" t="str">
            <v>Guidance</v>
          </cell>
          <cell r="C44" t="str">
            <v>1 = interviewee explicitly mentioned this as valuable or relevant. 0 = not mentioned or actively dismissed.</v>
          </cell>
        </row>
        <row r="45">
          <cell r="B45" t="str">
            <v>SC1_DATASENS</v>
          </cell>
          <cell r="C45" t="str">
            <v>Data Sensitivity</v>
          </cell>
          <cell r="D45" t="str">
            <v>0/1</v>
          </cell>
          <cell r="E45">
            <v>1</v>
          </cell>
        </row>
        <row r="46">
          <cell r="B46" t="str">
            <v>SC2_COMPLIANCE</v>
          </cell>
          <cell r="C46" t="str">
            <v>Compliance</v>
          </cell>
          <cell r="D46" t="str">
            <v>0/1</v>
          </cell>
          <cell r="E46">
            <v>0</v>
          </cell>
        </row>
        <row r="47">
          <cell r="B47" t="str">
            <v>SC3_TRUST</v>
          </cell>
          <cell r="C47" t="str">
            <v>Trust Issues</v>
          </cell>
          <cell r="D47" t="str">
            <v>0/1</v>
          </cell>
          <cell r="E47">
            <v>1</v>
          </cell>
        </row>
        <row r="48">
          <cell r="B48" t="str">
            <v>SC4_DATAPROC</v>
          </cell>
          <cell r="C48" t="str">
            <v>Data Processing</v>
          </cell>
          <cell r="D48" t="str">
            <v>0/1</v>
          </cell>
          <cell r="E48">
            <v>0</v>
          </cell>
        </row>
        <row r="49">
          <cell r="B49" t="str">
            <v>── CRITICAL TOOL FEATURES (0 = not mentioned / 1 = mentioned) ──</v>
          </cell>
        </row>
        <row r="50">
          <cell r="B50" t="str">
            <v>Guidance</v>
          </cell>
          <cell r="C50" t="str">
            <v>1 = interviewee explicitly mentioned this as valuable or relevant. 0 = not mentioned or actively dismissed.</v>
          </cell>
        </row>
        <row r="51">
          <cell r="B51" t="str">
            <v>SF1_REALTIME</v>
          </cell>
          <cell r="C51" t="str">
            <v>Dynamic, real-time data exchange</v>
          </cell>
          <cell r="D51" t="str">
            <v>0/1</v>
          </cell>
          <cell r="E51">
            <v>1</v>
          </cell>
        </row>
        <row r="52">
          <cell r="B52" t="str">
            <v>↳ QUOTE</v>
          </cell>
          <cell r="C52" t="str">
            <v>"They can look into the Albert Heijn system — software integration through an API where they have the same program and look at the stock levels. To guarantee the best service levels."</v>
          </cell>
        </row>
        <row r="53">
          <cell r="B53" t="str">
            <v>SF2_ACCESS</v>
          </cell>
          <cell r="C53" t="str">
            <v>Equal access to shared datasets</v>
          </cell>
          <cell r="D53" t="str">
            <v>0/1</v>
          </cell>
          <cell r="E53">
            <v>1</v>
          </cell>
        </row>
        <row r="54">
          <cell r="B54" t="str">
            <v>SF3_UX</v>
          </cell>
          <cell r="C54" t="str">
            <v>Simple UX/UI</v>
          </cell>
          <cell r="D54" t="str">
            <v>0/1</v>
          </cell>
          <cell r="E54">
            <v>0</v>
          </cell>
        </row>
        <row r="55">
          <cell r="B55" t="str">
            <v>SF4_DECISION</v>
          </cell>
          <cell r="C55" t="str">
            <v>Allows joint decision making</v>
          </cell>
          <cell r="D55" t="str">
            <v>0/1</v>
          </cell>
          <cell r="E55">
            <v>1</v>
          </cell>
        </row>
        <row r="56">
          <cell r="B56" t="str">
            <v>SF5_MASKING</v>
          </cell>
          <cell r="C56" t="str">
            <v>Clear masking rules by supplier/user</v>
          </cell>
          <cell r="D56" t="str">
            <v>0/1</v>
          </cell>
          <cell r="E56">
            <v>0</v>
          </cell>
        </row>
        <row r="57">
          <cell r="B57" t="str">
            <v>── PREFERRED DATASETS (0 = not mentioned / 1 = mentioned) ──</v>
          </cell>
        </row>
        <row r="58">
          <cell r="B58" t="str">
            <v>Guidance</v>
          </cell>
          <cell r="C58" t="str">
            <v>1 = interviewee explicitly mentioned this as valuable or relevant. 0 = not mentioned or actively dismissed.</v>
          </cell>
        </row>
        <row r="59">
          <cell r="B59" t="str">
            <v>SD1_TRENDS</v>
          </cell>
          <cell r="C59" t="str">
            <v>Global trends and insights</v>
          </cell>
          <cell r="D59" t="str">
            <v>0/1</v>
          </cell>
          <cell r="E59">
            <v>1</v>
          </cell>
        </row>
        <row r="60">
          <cell r="B60" t="str">
            <v>SD2_MARKET</v>
          </cell>
          <cell r="C60" t="str">
            <v>Market research</v>
          </cell>
          <cell r="D60" t="str">
            <v>0/1</v>
          </cell>
          <cell r="E60">
            <v>1</v>
          </cell>
        </row>
        <row r="61">
          <cell r="B61" t="str">
            <v>SD3_CATEGORY</v>
          </cell>
          <cell r="C61" t="str">
            <v>Category performance</v>
          </cell>
          <cell r="D61" t="str">
            <v>0/1</v>
          </cell>
          <cell r="E61">
            <v>1</v>
          </cell>
        </row>
        <row r="62">
          <cell r="B62" t="str">
            <v>SD4_SHIPMENT</v>
          </cell>
          <cell r="C62" t="str">
            <v>Shipment schedules</v>
          </cell>
          <cell r="D62" t="str">
            <v>0/1</v>
          </cell>
          <cell r="E62">
            <v>1</v>
          </cell>
        </row>
        <row r="63">
          <cell r="B63" t="str">
            <v>SD5_LEAD</v>
          </cell>
          <cell r="C63" t="str">
            <v>Lead times</v>
          </cell>
          <cell r="D63" t="str">
            <v>0/1</v>
          </cell>
          <cell r="E63">
            <v>1</v>
          </cell>
        </row>
        <row r="64">
          <cell r="B64" t="str">
            <v>SD6_CONJOINT</v>
          </cell>
          <cell r="C64" t="str">
            <v>Conjoint names</v>
          </cell>
          <cell r="D64" t="str">
            <v>0/1</v>
          </cell>
          <cell r="E64">
            <v>0</v>
          </cell>
        </row>
        <row r="65">
          <cell r="B65" t="str">
            <v>Guidance</v>
          </cell>
          <cell r="C65" t="str">
            <v>1 = interviewee explicitly mentioned this as valuable or relevant. 0 = not mentioned or actively dismissed.</v>
          </cell>
        </row>
        <row r="67">
          <cell r="B67" t="str">
            <v>📌 NOTE</v>
          </cell>
          <cell r="C67" t="str">
            <v>Red cells = score needed (new questions with no old data to migrate from). If a transcript note at the top overrides coding guidance, it takes priority.</v>
          </cell>
        </row>
      </sheetData>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B9:J27" totalsRowShown="0">
  <autoFilter ref="B9:J27" xr:uid="{00000000-0009-0000-0100-000001000000}"/>
  <sortState xmlns:xlrd2="http://schemas.microsoft.com/office/spreadsheetml/2017/richdata2" ref="B10:I22">
    <sortCondition descending="1" ref="G10:G22"/>
    <sortCondition ref="C10:C22"/>
  </sortState>
  <tableColumns count="9">
    <tableColumn id="1" xr3:uid="{00000000-0010-0000-0000-000001000000}" name="Company"/>
    <tableColumn id="2" xr3:uid="{00000000-0010-0000-0000-000002000000}" name="Industry"/>
    <tableColumn id="3" xr3:uid="{00000000-0010-0000-0000-000003000000}" name="Data Maturity"/>
    <tableColumn id="4" xr3:uid="{00000000-0010-0000-0000-000004000000}" name="Collaboration"/>
    <tableColumn id="5" xr3:uid="{00000000-0010-0000-0000-000005000000}" name="Third Party"/>
    <tableColumn id="6" xr3:uid="{00000000-0010-0000-0000-000006000000}" name="Grade"/>
    <tableColumn id="7" xr3:uid="{00000000-0010-0000-0000-000007000000}" name="Notes"/>
    <tableColumn id="8" xr3:uid="{00000000-0010-0000-0000-000008000000}" name="Starting Phase"/>
    <tableColumn id="9" xr3:uid="{00000000-0010-0000-0000-000009000000}" name="Contact"/>
  </tableColumns>
  <tableStyleInfo name="TableStyleLight1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FF00"/>
  </sheetPr>
  <dimension ref="B1:W50"/>
  <sheetViews>
    <sheetView topLeftCell="A9" zoomScale="108" zoomScaleNormal="100" workbookViewId="0">
      <selection activeCell="B10" sqref="B10"/>
    </sheetView>
  </sheetViews>
  <sheetFormatPr defaultRowHeight="14.45"/>
  <cols>
    <col min="1" max="1" width="1.85546875" customWidth="1"/>
    <col min="2" max="9" width="11.42578125" customWidth="1"/>
    <col min="10" max="10" width="17.28515625" customWidth="1"/>
    <col min="11" max="11" width="3.140625" customWidth="1"/>
    <col min="12" max="14" width="19.140625" customWidth="1"/>
    <col min="15" max="15" width="19.140625" hidden="1" customWidth="1"/>
    <col min="17" max="17" width="8.42578125" bestFit="1" customWidth="1"/>
    <col min="18" max="18" width="1.5703125" customWidth="1"/>
    <col min="19" max="19" width="12.42578125" bestFit="1" customWidth="1"/>
    <col min="20" max="20" width="13.28515625" bestFit="1" customWidth="1"/>
    <col min="21" max="21" width="10.28515625" bestFit="1" customWidth="1"/>
    <col min="22" max="22" width="7.140625" bestFit="1" customWidth="1"/>
    <col min="23" max="23" width="1.7109375" style="5" customWidth="1"/>
    <col min="24" max="27" width="7.140625" customWidth="1"/>
  </cols>
  <sheetData>
    <row r="1" spans="2:10" ht="12.6" hidden="1" customHeight="1">
      <c r="B1" s="171" t="s">
        <v>0</v>
      </c>
      <c r="C1" s="171"/>
      <c r="D1" s="171"/>
      <c r="E1" s="171"/>
      <c r="F1" s="171"/>
      <c r="G1" s="171"/>
      <c r="H1" s="171"/>
      <c r="I1" s="171"/>
      <c r="J1" s="171"/>
    </row>
    <row r="2" spans="2:10" ht="12.6" hidden="1" customHeight="1">
      <c r="B2" t="s">
        <v>1</v>
      </c>
      <c r="C2" t="s">
        <v>2</v>
      </c>
      <c r="D2" t="s">
        <v>3</v>
      </c>
      <c r="I2" t="s">
        <v>4</v>
      </c>
      <c r="J2" t="s">
        <v>5</v>
      </c>
    </row>
    <row r="3" spans="2:10" ht="12.6" hidden="1" customHeight="1">
      <c r="B3" t="s">
        <v>6</v>
      </c>
      <c r="C3" s="5">
        <f>SUMIF(Table1[Industry],B3,Table1[Grade])/COUNTIF(Table1[Industry],B3)</f>
        <v>5.8</v>
      </c>
      <c r="D3">
        <f>IFERROR(SUMIFS(Table1[Grade],Table1[Industry],B3,Table1[Third Party],"&gt;3")/COUNTIFS(Table1[Industry],B3,Table1[Third Party],"&gt;3"),"")</f>
        <v>7.5</v>
      </c>
      <c r="I3" t="s">
        <v>7</v>
      </c>
      <c r="J3" t="s">
        <v>8</v>
      </c>
    </row>
    <row r="4" spans="2:10" ht="12.6" hidden="1" customHeight="1">
      <c r="B4" t="s">
        <v>9</v>
      </c>
      <c r="C4" s="5">
        <f>SUMIF(Table1[Industry],B4,Table1[Grade])/COUNTIF(Table1[Industry],B4)</f>
        <v>4.625</v>
      </c>
      <c r="D4">
        <f>IFERROR(SUMIFS(Table1[Grade],Table1[Industry],B4,Table1[Third Party],"&gt;3")/COUNTIFS(Table1[Industry],B4,Table1[Third Party],"&gt;3"),"")</f>
        <v>8</v>
      </c>
      <c r="I4" t="s">
        <v>10</v>
      </c>
      <c r="J4" t="s">
        <v>11</v>
      </c>
    </row>
    <row r="5" spans="2:10" ht="12.6" hidden="1" customHeight="1">
      <c r="B5" t="s">
        <v>12</v>
      </c>
      <c r="C5" s="5">
        <f>SUMIF(Table1[Industry],B5,Table1[Grade])/COUNTIF(Table1[Industry],B5)</f>
        <v>5.5</v>
      </c>
      <c r="D5">
        <f>IFERROR(SUMIFS(Table1[Grade],Table1[Industry],B5,Table1[Third Party],"&gt;3")/COUNTIFS(Table1[Industry],B5,Table1[Third Party],"&gt;3"),"")</f>
        <v>6.75</v>
      </c>
    </row>
    <row r="6" spans="2:10" ht="12.6" hidden="1" customHeight="1">
      <c r="B6" t="s">
        <v>13</v>
      </c>
      <c r="C6" s="5">
        <f>SUMIF(Table1[Industry],B6,Table1[Grade])/COUNTIF(Table1[Industry],B6)</f>
        <v>3</v>
      </c>
      <c r="D6" t="str">
        <f>IFERROR(SUMIFS(Table1[Grade],Table1[Industry],B6,Table1[Third Party],"&gt;3")/COUNTIFS(Table1[Industry],B6,Table1[Third Party],"&gt;3"),"")</f>
        <v/>
      </c>
    </row>
    <row r="7" spans="2:10" ht="12.6" hidden="1" customHeight="1"/>
    <row r="8" spans="2:10" ht="12.6" hidden="1" customHeight="1">
      <c r="D8" t="s">
        <v>14</v>
      </c>
      <c r="E8" t="s">
        <v>15</v>
      </c>
      <c r="G8" t="s">
        <v>16</v>
      </c>
    </row>
    <row r="9" spans="2:10" ht="12.6" customHeight="1">
      <c r="B9" t="s">
        <v>17</v>
      </c>
      <c r="C9" t="s">
        <v>1</v>
      </c>
      <c r="D9" t="s">
        <v>18</v>
      </c>
      <c r="E9" t="s">
        <v>19</v>
      </c>
      <c r="F9" t="s">
        <v>20</v>
      </c>
      <c r="G9" t="s">
        <v>21</v>
      </c>
      <c r="H9" t="s">
        <v>22</v>
      </c>
      <c r="I9" t="s">
        <v>23</v>
      </c>
      <c r="J9" t="s">
        <v>24</v>
      </c>
    </row>
    <row r="10" spans="2:10" ht="12.6" customHeight="1">
      <c r="B10" s="162" t="str">
        <f>IFERROR(VLOOKUP("Company (Real)",'[1]Company 5'!$B:$C,2,0),"")</f>
        <v>Dicofoods</v>
      </c>
      <c r="C10" t="str">
        <f>VLOOKUP(Table1[[#This Row],[Company]],Analysis!$C$4:$F$16,4,FALSE)</f>
        <v>Manufacturer</v>
      </c>
      <c r="D10">
        <v>1</v>
      </c>
      <c r="E10">
        <v>5</v>
      </c>
      <c r="F10">
        <v>5</v>
      </c>
      <c r="G10">
        <v>8.5</v>
      </c>
      <c r="I10" t="s">
        <v>4</v>
      </c>
      <c r="J10" s="42"/>
    </row>
    <row r="11" spans="2:10" ht="12.6" customHeight="1">
      <c r="B11" t="s">
        <v>25</v>
      </c>
      <c r="C11" t="str">
        <f>VLOOKUP(Table1[[#This Row],[Company]],Analysis!$C$4:$F$16,4,FALSE)</f>
        <v>Specialty Retail</v>
      </c>
      <c r="D11">
        <v>1</v>
      </c>
      <c r="E11">
        <v>5</v>
      </c>
      <c r="F11">
        <v>5</v>
      </c>
      <c r="G11">
        <v>8.5</v>
      </c>
      <c r="I11" t="s">
        <v>4</v>
      </c>
    </row>
    <row r="12" spans="2:10" ht="12.6" customHeight="1">
      <c r="B12" s="162" t="str">
        <f>IFERROR(VLOOKUP("Company (Real)",'[1]Company 7'!$B:$C,2,0),"")</f>
        <v>Spuntini Group</v>
      </c>
      <c r="C12" t="str">
        <f>VLOOKUP(Table1[[#This Row],[Company]],Analysis!$C$4:$F$16,4,FALSE)</f>
        <v>Wholesaler</v>
      </c>
      <c r="D12">
        <v>2</v>
      </c>
      <c r="E12">
        <v>5</v>
      </c>
      <c r="F12">
        <v>5</v>
      </c>
      <c r="G12">
        <v>8.5</v>
      </c>
      <c r="I12" t="s">
        <v>7</v>
      </c>
    </row>
    <row r="13" spans="2:10" ht="12.6" customHeight="1">
      <c r="B13" s="162" t="str">
        <f>IFERROR(VLOOKUP("Company (Real)",'[1]Company 1'!$B:$C,2,0),"")</f>
        <v>Tom &amp; Co</v>
      </c>
      <c r="C13" t="str">
        <f>VLOOKUP(Table1[[#This Row],[Company]],Analysis!$C$4:$F$16,4,FALSE)</f>
        <v>Specialty Retail</v>
      </c>
      <c r="D13">
        <v>4</v>
      </c>
      <c r="E13">
        <v>4</v>
      </c>
      <c r="F13">
        <v>5</v>
      </c>
      <c r="G13">
        <v>7.5</v>
      </c>
      <c r="I13" t="s">
        <v>7</v>
      </c>
    </row>
    <row r="14" spans="2:10" ht="12.6" customHeight="1">
      <c r="B14" t="s">
        <v>26</v>
      </c>
      <c r="C14" t="str">
        <f>VLOOKUP(Table1[[#This Row],[Company]],Analysis!$C$4:$F$16,4,FALSE)</f>
        <v>Manufacturer</v>
      </c>
      <c r="D14">
        <v>5</v>
      </c>
      <c r="E14">
        <v>3</v>
      </c>
      <c r="F14">
        <v>5</v>
      </c>
      <c r="G14">
        <v>7</v>
      </c>
      <c r="I14" t="s">
        <v>10</v>
      </c>
    </row>
    <row r="15" spans="2:10" ht="12.6" customHeight="1">
      <c r="B15" t="s">
        <v>27</v>
      </c>
      <c r="C15" t="str">
        <f>VLOOKUP(Table1[[#This Row],[Company]],Analysis!$C$4:$F$16,4,FALSE)</f>
        <v>Manufacturer</v>
      </c>
      <c r="D15">
        <v>3</v>
      </c>
      <c r="E15">
        <v>5</v>
      </c>
      <c r="F15">
        <v>5</v>
      </c>
      <c r="G15">
        <v>7</v>
      </c>
      <c r="I15" t="s">
        <v>4</v>
      </c>
    </row>
    <row r="16" spans="2:10" ht="12.6" customHeight="1">
      <c r="B16" t="s">
        <v>28</v>
      </c>
      <c r="C16" t="str">
        <f>VLOOKUP(Table1[[#This Row],[Company]],Analysis!$C$4:$F$16,4,FALSE)</f>
        <v>Manufacturer</v>
      </c>
      <c r="D16">
        <v>3</v>
      </c>
      <c r="E16">
        <v>5</v>
      </c>
      <c r="F16">
        <v>3</v>
      </c>
      <c r="G16">
        <v>6.5</v>
      </c>
      <c r="I16" t="s">
        <v>7</v>
      </c>
      <c r="J16" s="42"/>
    </row>
    <row r="17" spans="2:9" ht="12.6" customHeight="1">
      <c r="B17" t="s">
        <v>29</v>
      </c>
      <c r="C17" t="str">
        <f>VLOOKUP(Table1[[#This Row],[Company]],Analysis!$C$4:$F$16,4,FALSE)</f>
        <v>Wholesaler</v>
      </c>
      <c r="D17">
        <v>3</v>
      </c>
      <c r="E17">
        <v>5</v>
      </c>
      <c r="F17">
        <v>5</v>
      </c>
      <c r="G17">
        <v>5</v>
      </c>
      <c r="H17" t="s">
        <v>30</v>
      </c>
      <c r="I17" t="s">
        <v>31</v>
      </c>
    </row>
    <row r="18" spans="2:9" ht="12.6" customHeight="1">
      <c r="B18" t="s">
        <v>32</v>
      </c>
      <c r="C18" t="str">
        <f>VLOOKUP(Table1[[#This Row],[Company]],Analysis!$C$4:$F$16,4,FALSE)</f>
        <v>Wholesaler</v>
      </c>
      <c r="D18">
        <v>5</v>
      </c>
      <c r="E18">
        <v>5</v>
      </c>
      <c r="F18">
        <v>3</v>
      </c>
      <c r="G18">
        <v>3</v>
      </c>
      <c r="H18" t="s">
        <v>33</v>
      </c>
      <c r="I18" t="s">
        <v>31</v>
      </c>
    </row>
    <row r="19" spans="2:9" ht="12.6" customHeight="1">
      <c r="B19" s="162" t="str">
        <f>IFERROR(VLOOKUP("Company (Real)",'[1]Company 2'!$B:$C,2,0),"")</f>
        <v>Shell Belgium</v>
      </c>
      <c r="C19" t="str">
        <f>VLOOKUP(Table1[[#This Row],[Company]],Analysis!$C$4:$F$16,4,FALSE)</f>
        <v>Specialty Retail</v>
      </c>
      <c r="D19">
        <v>5</v>
      </c>
      <c r="E19">
        <v>1</v>
      </c>
      <c r="F19">
        <v>1</v>
      </c>
      <c r="G19">
        <v>1.5</v>
      </c>
      <c r="H19" t="s">
        <v>34</v>
      </c>
      <c r="I19" t="s">
        <v>31</v>
      </c>
    </row>
    <row r="20" spans="2:9" ht="12.6" customHeight="1">
      <c r="B20" t="s">
        <v>35</v>
      </c>
      <c r="C20" t="e">
        <f>VLOOKUP(Table1[[#This Row],[Company]],Analysis!$C$4:$F$16,4,FALSE)</f>
        <v>#N/A</v>
      </c>
      <c r="D20">
        <v>3</v>
      </c>
      <c r="E20">
        <v>5</v>
      </c>
      <c r="F20">
        <v>5</v>
      </c>
      <c r="G20">
        <v>1.5</v>
      </c>
      <c r="H20" t="s">
        <v>36</v>
      </c>
      <c r="I20" t="s">
        <v>31</v>
      </c>
    </row>
    <row r="21" spans="2:9" ht="12.6" customHeight="1">
      <c r="B21" t="s">
        <v>37</v>
      </c>
      <c r="C21" t="str">
        <f>VLOOKUP(Table1[[#This Row],[Company]],Analysis!$C$4:$F$16,4,FALSE)</f>
        <v>Manufacturer</v>
      </c>
      <c r="D21">
        <v>5</v>
      </c>
      <c r="E21">
        <v>5</v>
      </c>
      <c r="F21">
        <v>1</v>
      </c>
      <c r="G21">
        <v>0</v>
      </c>
      <c r="H21" t="s">
        <v>36</v>
      </c>
      <c r="I21" t="s">
        <v>31</v>
      </c>
    </row>
    <row r="22" spans="2:9" ht="12.6" customHeight="1">
      <c r="B22" s="162" t="str">
        <f>IFERROR(VLOOKUP("Company (Real)",'[1]Company 12'!$B:$C,2,0),"")</f>
        <v>Lidl Belgium</v>
      </c>
      <c r="C22" t="str">
        <f>VLOOKUP(Table1[[#This Row],[Company]],Analysis!$C$4:$F$16,4,FALSE)</f>
        <v>Retailer</v>
      </c>
      <c r="D22">
        <v>5</v>
      </c>
      <c r="E22">
        <v>2</v>
      </c>
      <c r="F22">
        <v>3</v>
      </c>
      <c r="G22">
        <v>3</v>
      </c>
      <c r="H22" t="s">
        <v>36</v>
      </c>
      <c r="I22" t="s">
        <v>7</v>
      </c>
    </row>
    <row r="23" spans="2:9" ht="12.6" customHeight="1">
      <c r="B23" s="162" t="str">
        <f>IFERROR(VLOOKUP("Company (Real)",'[1]Company 14'!$B:$C,2,0),"")</f>
        <v>Roche Belgium</v>
      </c>
      <c r="C23" t="str">
        <f>VLOOKUP(Table1[[#This Row],[Company]],Analysis!$C$4:$F$16,4,FALSE)</f>
        <v>Specialty Retail</v>
      </c>
      <c r="G23">
        <v>1</v>
      </c>
    </row>
    <row r="24" spans="2:9" ht="12.6" customHeight="1"/>
    <row r="25" spans="2:9" ht="12.6" customHeight="1"/>
    <row r="26" spans="2:9" ht="12.6" customHeight="1"/>
    <row r="27" spans="2:9" ht="12.6" customHeight="1"/>
    <row r="28" spans="2:9" ht="12.6" customHeight="1"/>
    <row r="29" spans="2:9" ht="12.6" customHeight="1"/>
    <row r="30" spans="2:9" ht="12.6" customHeight="1"/>
    <row r="31" spans="2:9" ht="12.6" customHeight="1"/>
    <row r="32" spans="2:9" ht="12.6" customHeight="1"/>
    <row r="33" spans="3:9" ht="12.6" customHeight="1"/>
    <row r="34" spans="3:9" ht="12.6" customHeight="1"/>
    <row r="35" spans="3:9" ht="12.6" customHeight="1"/>
    <row r="36" spans="3:9" ht="12.6" customHeight="1"/>
    <row r="37" spans="3:9" ht="12.6" customHeight="1"/>
    <row r="38" spans="3:9" ht="12.6" customHeight="1"/>
    <row r="39" spans="3:9" ht="12.6" customHeight="1"/>
    <row r="40" spans="3:9" ht="12.6" customHeight="1"/>
    <row r="41" spans="3:9" ht="12.6" customHeight="1"/>
    <row r="42" spans="3:9" ht="12.6" customHeight="1"/>
    <row r="43" spans="3:9" ht="12.6" customHeight="1"/>
    <row r="44" spans="3:9" ht="12.6" customHeight="1"/>
    <row r="45" spans="3:9" ht="12.6" customHeight="1"/>
    <row r="46" spans="3:9" ht="12.6" customHeight="1">
      <c r="C46" t="s">
        <v>38</v>
      </c>
    </row>
    <row r="47" spans="3:9" ht="12.6" customHeight="1">
      <c r="D47" t="s">
        <v>39</v>
      </c>
      <c r="F47" t="s">
        <v>40</v>
      </c>
      <c r="I47" t="s">
        <v>40</v>
      </c>
    </row>
    <row r="48" spans="3:9" ht="12.6" customHeight="1">
      <c r="D48" t="s">
        <v>41</v>
      </c>
    </row>
    <row r="49" ht="12.6" customHeight="1"/>
    <row r="50" ht="12.6" customHeight="1"/>
  </sheetData>
  <mergeCells count="1">
    <mergeCell ref="B1:J1"/>
  </mergeCells>
  <pageMargins left="0.7" right="0.7" top="0.75" bottom="0.75" header="0.3" footer="0.3"/>
  <drawing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DA8C7E-1F28-473A-95D2-A3A4D8F92DE4}">
  <dimension ref="A1:Q48"/>
  <sheetViews>
    <sheetView workbookViewId="0">
      <selection activeCell="F36" sqref="F36"/>
    </sheetView>
  </sheetViews>
  <sheetFormatPr defaultRowHeight="14.45"/>
  <sheetData>
    <row r="1" spans="1:17">
      <c r="A1" s="171" t="s">
        <v>42</v>
      </c>
      <c r="B1" s="171"/>
      <c r="C1" s="171"/>
      <c r="D1" s="171"/>
      <c r="E1" s="171"/>
      <c r="F1" s="171"/>
      <c r="G1" s="171"/>
      <c r="H1" s="171"/>
      <c r="I1" s="171"/>
      <c r="J1" s="171"/>
      <c r="K1" s="171"/>
      <c r="L1" s="6"/>
      <c r="M1" s="6"/>
      <c r="N1" s="6"/>
      <c r="O1" s="6"/>
      <c r="P1" s="6"/>
    </row>
    <row r="2" spans="1:17">
      <c r="F2">
        <f>'Analysis — Filter View'!E37</f>
        <v>17</v>
      </c>
      <c r="H2" s="24" t="s">
        <v>43</v>
      </c>
      <c r="I2" s="24"/>
      <c r="J2" s="24"/>
      <c r="K2" s="24"/>
      <c r="L2" s="5"/>
      <c r="M2" s="26" t="s">
        <v>44</v>
      </c>
      <c r="N2" s="26"/>
      <c r="O2" s="26"/>
      <c r="P2" s="26"/>
    </row>
    <row r="3" spans="1:17" ht="26.1">
      <c r="A3" s="43" t="s">
        <v>45</v>
      </c>
      <c r="B3" s="43" t="s">
        <v>46</v>
      </c>
      <c r="C3" s="19" t="s">
        <v>47</v>
      </c>
      <c r="D3" s="19" t="s">
        <v>48</v>
      </c>
      <c r="E3" s="19" t="s">
        <v>49</v>
      </c>
      <c r="F3" s="19" t="s">
        <v>50</v>
      </c>
      <c r="H3" s="19" t="s">
        <v>6</v>
      </c>
      <c r="I3" s="19" t="s">
        <v>9</v>
      </c>
      <c r="J3" s="19" t="s">
        <v>12</v>
      </c>
      <c r="K3" s="19" t="s">
        <v>13</v>
      </c>
      <c r="L3" s="5"/>
      <c r="M3" s="19" t="s">
        <v>6</v>
      </c>
      <c r="N3" s="19" t="s">
        <v>9</v>
      </c>
      <c r="O3" s="19" t="s">
        <v>12</v>
      </c>
      <c r="P3" s="19" t="s">
        <v>13</v>
      </c>
      <c r="Q3" s="25" t="s">
        <v>22</v>
      </c>
    </row>
    <row r="4" spans="1:17" ht="24.95">
      <c r="A4" s="44" t="s">
        <v>51</v>
      </c>
      <c r="B4" s="45" t="s">
        <v>52</v>
      </c>
      <c r="C4" s="46" t="s">
        <v>53</v>
      </c>
      <c r="D4" s="20" t="s">
        <v>54</v>
      </c>
      <c r="E4" s="15" cm="1">
        <f t="array" ref="E4:E38">TRANSPOSE('Analysis — Filter View'!H37:AP37)</f>
        <v>7.1923076923076925</v>
      </c>
      <c r="F4" s="27">
        <f>E4/$F$2</f>
        <v>0.42307692307692307</v>
      </c>
      <c r="H4" s="11" cm="1">
        <f t="array" ref="H4:H38">TRANSPOSE('Analysis — Filter View'!H38:AP38)</f>
        <v>8.4</v>
      </c>
      <c r="I4" s="11" cm="1">
        <f t="array" ref="I4:I38">TRANSPOSE('Analysis — Filter View'!H39:AP39)</f>
        <v>6</v>
      </c>
      <c r="J4" s="11" cm="1">
        <f t="array" ref="J4:J38">TRANSPOSE('Analysis — Filter View'!H40:AP40)</f>
        <v>7.625</v>
      </c>
      <c r="K4" s="11" cm="1">
        <f t="array" ref="K4:K38">TRANSPOSE('Analysis — Filter View'!H41:AP41)</f>
        <v>3</v>
      </c>
      <c r="L4" s="5"/>
      <c r="M4" s="11"/>
      <c r="N4" s="11"/>
      <c r="O4" s="11"/>
      <c r="P4" s="11"/>
      <c r="Q4" s="7" t="s">
        <v>55</v>
      </c>
    </row>
    <row r="5" spans="1:17" ht="37.5">
      <c r="A5" s="44" t="s">
        <v>51</v>
      </c>
      <c r="B5" s="45" t="s">
        <v>56</v>
      </c>
      <c r="C5" s="46" t="s">
        <v>57</v>
      </c>
      <c r="D5" s="20" t="s">
        <v>54</v>
      </c>
      <c r="E5" s="15">
        <v>13</v>
      </c>
      <c r="F5" s="27">
        <f>E5/$F$2</f>
        <v>0.76470588235294112</v>
      </c>
      <c r="H5" s="11">
        <v>5</v>
      </c>
      <c r="I5" s="11">
        <v>3</v>
      </c>
      <c r="J5" s="11">
        <v>4</v>
      </c>
      <c r="K5" s="11">
        <v>1</v>
      </c>
      <c r="L5" s="5"/>
      <c r="M5" s="27">
        <f>H5/'Analysis — Filter View'!$E$38</f>
        <v>1</v>
      </c>
      <c r="N5" s="27">
        <f>I5/'Analysis — Filter View'!$E$39</f>
        <v>1</v>
      </c>
      <c r="O5" s="27">
        <f>J5/'Analysis — Filter View'!$E$40</f>
        <v>1</v>
      </c>
      <c r="P5" s="27">
        <f>K5/'Analysis — Filter View'!$E$41</f>
        <v>1</v>
      </c>
      <c r="Q5" s="7" t="s">
        <v>58</v>
      </c>
    </row>
    <row r="6" spans="1:17" ht="37.5">
      <c r="A6" s="44" t="s">
        <v>51</v>
      </c>
      <c r="B6" s="45" t="s">
        <v>59</v>
      </c>
      <c r="C6" s="46" t="s">
        <v>60</v>
      </c>
      <c r="D6" s="20" t="s">
        <v>54</v>
      </c>
      <c r="E6" s="15">
        <v>4</v>
      </c>
      <c r="F6" s="27">
        <f>E6/$F$2</f>
        <v>0.23529411764705882</v>
      </c>
      <c r="H6" s="11">
        <v>0</v>
      </c>
      <c r="I6" s="11">
        <v>1</v>
      </c>
      <c r="J6" s="11">
        <v>3</v>
      </c>
      <c r="K6" s="11">
        <v>0</v>
      </c>
      <c r="L6" s="5"/>
      <c r="M6" s="27">
        <f>H6/'Analysis — Filter View'!$E$38</f>
        <v>0</v>
      </c>
      <c r="N6" s="27">
        <f>I6/'Analysis — Filter View'!$E$39</f>
        <v>0.33333333333333331</v>
      </c>
      <c r="O6" s="27">
        <f>J6/'Analysis — Filter View'!$E$40</f>
        <v>0.75</v>
      </c>
      <c r="P6" s="27">
        <f>K6/'Analysis — Filter View'!$E$41</f>
        <v>0</v>
      </c>
      <c r="Q6" s="7" t="s">
        <v>61</v>
      </c>
    </row>
    <row r="7" spans="1:17" ht="37.5">
      <c r="A7" s="44" t="s">
        <v>51</v>
      </c>
      <c r="B7" s="45" t="s">
        <v>62</v>
      </c>
      <c r="C7" s="46" t="s">
        <v>63</v>
      </c>
      <c r="D7" s="20" t="s">
        <v>54</v>
      </c>
      <c r="E7" s="15">
        <v>7</v>
      </c>
      <c r="F7" s="27">
        <f>E7/$F$2</f>
        <v>0.41176470588235292</v>
      </c>
      <c r="H7" s="11">
        <v>3</v>
      </c>
      <c r="I7" s="11">
        <v>1</v>
      </c>
      <c r="J7" s="11">
        <v>2</v>
      </c>
      <c r="K7" s="11">
        <v>1</v>
      </c>
      <c r="L7" s="5"/>
      <c r="M7" s="27">
        <f>H7/'Analysis — Filter View'!$E$38</f>
        <v>0.6</v>
      </c>
      <c r="N7" s="27">
        <f>I7/'Analysis — Filter View'!$E$39</f>
        <v>0.33333333333333331</v>
      </c>
      <c r="O7" s="27">
        <f>J7/'Analysis — Filter View'!$E$40</f>
        <v>0.5</v>
      </c>
      <c r="P7" s="27">
        <f>K7/'Analysis — Filter View'!$E$41</f>
        <v>1</v>
      </c>
      <c r="Q7" s="7" t="s">
        <v>64</v>
      </c>
    </row>
    <row r="8" spans="1:17" ht="37.5">
      <c r="A8" s="47" t="s">
        <v>65</v>
      </c>
      <c r="B8" s="48" t="s">
        <v>66</v>
      </c>
      <c r="C8" s="21" t="s">
        <v>67</v>
      </c>
      <c r="D8" s="21" t="s">
        <v>68</v>
      </c>
      <c r="E8" s="49">
        <v>2.7272727272727271</v>
      </c>
      <c r="F8" s="27">
        <f t="shared" ref="F8:F16" si="0">E8/$F$2</f>
        <v>0.16042780748663099</v>
      </c>
      <c r="H8" s="12">
        <v>3</v>
      </c>
      <c r="I8" s="12">
        <v>1.3333333333333333</v>
      </c>
      <c r="J8" s="12">
        <v>2.75</v>
      </c>
      <c r="K8" s="12">
        <v>0</v>
      </c>
      <c r="L8" s="5"/>
      <c r="M8" s="28"/>
      <c r="N8" s="28"/>
      <c r="O8" s="28"/>
      <c r="P8" s="28"/>
      <c r="Q8" s="8"/>
    </row>
    <row r="9" spans="1:17" ht="37.5">
      <c r="A9" s="47" t="s">
        <v>65</v>
      </c>
      <c r="B9" s="48" t="s">
        <v>69</v>
      </c>
      <c r="C9" s="21" t="s">
        <v>70</v>
      </c>
      <c r="D9" s="21" t="s">
        <v>68</v>
      </c>
      <c r="E9" s="16">
        <v>2.3636363636363638</v>
      </c>
      <c r="F9" s="27">
        <f t="shared" si="0"/>
        <v>0.13903743315508021</v>
      </c>
      <c r="H9" s="12">
        <v>2.6</v>
      </c>
      <c r="I9" s="12">
        <v>1</v>
      </c>
      <c r="J9" s="12">
        <v>2.5</v>
      </c>
      <c r="K9" s="12">
        <v>0</v>
      </c>
      <c r="L9" s="5"/>
      <c r="M9" s="28"/>
      <c r="N9" s="28"/>
      <c r="O9" s="28"/>
      <c r="P9" s="28"/>
      <c r="Q9" s="8"/>
    </row>
    <row r="10" spans="1:17" ht="37.5">
      <c r="A10" s="47" t="s">
        <v>65</v>
      </c>
      <c r="B10" s="48" t="s">
        <v>71</v>
      </c>
      <c r="C10" s="21" t="s">
        <v>72</v>
      </c>
      <c r="D10" s="21" t="s">
        <v>68</v>
      </c>
      <c r="E10" s="16">
        <v>3.2307692307692308</v>
      </c>
      <c r="F10" s="27">
        <f t="shared" si="0"/>
        <v>0.19004524886877827</v>
      </c>
      <c r="H10" s="12">
        <v>3.8</v>
      </c>
      <c r="I10" s="12">
        <v>1.6666666666666667</v>
      </c>
      <c r="J10" s="12">
        <v>4</v>
      </c>
      <c r="K10" s="12">
        <v>2</v>
      </c>
      <c r="L10" s="5"/>
      <c r="M10" s="28"/>
      <c r="N10" s="28"/>
      <c r="O10" s="28"/>
      <c r="P10" s="28"/>
      <c r="Q10" s="8"/>
    </row>
    <row r="11" spans="1:17" ht="37.5">
      <c r="A11" s="47" t="s">
        <v>65</v>
      </c>
      <c r="B11" s="48" t="s">
        <v>73</v>
      </c>
      <c r="C11" s="21" t="s">
        <v>74</v>
      </c>
      <c r="D11" s="21" t="s">
        <v>68</v>
      </c>
      <c r="E11" s="16">
        <v>2.6153846153846154</v>
      </c>
      <c r="F11" s="27">
        <f t="shared" si="0"/>
        <v>0.15384615384615385</v>
      </c>
      <c r="H11" s="12">
        <v>3.2</v>
      </c>
      <c r="I11" s="12">
        <v>1.6666666666666667</v>
      </c>
      <c r="J11" s="12">
        <v>3</v>
      </c>
      <c r="K11" s="12">
        <v>1</v>
      </c>
      <c r="L11" s="5"/>
      <c r="M11" s="28"/>
      <c r="N11" s="28"/>
      <c r="O11" s="28"/>
      <c r="P11" s="28"/>
      <c r="Q11" s="8"/>
    </row>
    <row r="12" spans="1:17" ht="24.95">
      <c r="A12" s="47" t="s">
        <v>65</v>
      </c>
      <c r="B12" s="48" t="s">
        <v>75</v>
      </c>
      <c r="C12" s="21" t="s">
        <v>76</v>
      </c>
      <c r="D12" s="21" t="s">
        <v>68</v>
      </c>
      <c r="E12" s="16">
        <v>3.2307692307692308</v>
      </c>
      <c r="F12" s="27">
        <f t="shared" si="0"/>
        <v>0.19004524886877827</v>
      </c>
      <c r="H12" s="12">
        <v>4</v>
      </c>
      <c r="I12" s="12">
        <v>1.6666666666666667</v>
      </c>
      <c r="J12" s="12">
        <v>3.75</v>
      </c>
      <c r="K12" s="12">
        <v>2</v>
      </c>
      <c r="L12" s="5"/>
      <c r="M12" s="28"/>
      <c r="N12" s="28"/>
      <c r="O12" s="28"/>
      <c r="P12" s="28"/>
      <c r="Q12" s="8"/>
    </row>
    <row r="13" spans="1:17" ht="24.95">
      <c r="A13" s="47" t="s">
        <v>65</v>
      </c>
      <c r="B13" s="48" t="s">
        <v>77</v>
      </c>
      <c r="C13" s="21" t="s">
        <v>78</v>
      </c>
      <c r="D13" s="21" t="s">
        <v>68</v>
      </c>
      <c r="E13" s="16">
        <v>2.6666666666666665</v>
      </c>
      <c r="F13" s="27">
        <f t="shared" si="0"/>
        <v>0.15686274509803921</v>
      </c>
      <c r="H13" s="12">
        <v>2.6</v>
      </c>
      <c r="I13" s="12">
        <v>1.3333333333333333</v>
      </c>
      <c r="J13" s="12">
        <v>1.75</v>
      </c>
      <c r="K13" s="12">
        <v>0</v>
      </c>
      <c r="L13" s="5"/>
      <c r="M13" s="28"/>
      <c r="N13" s="28"/>
      <c r="O13" s="28"/>
      <c r="P13" s="28"/>
      <c r="Q13" s="8"/>
    </row>
    <row r="14" spans="1:17" ht="24.95">
      <c r="A14" s="47" t="s">
        <v>65</v>
      </c>
      <c r="B14" s="48" t="s">
        <v>79</v>
      </c>
      <c r="C14" s="21" t="s">
        <v>80</v>
      </c>
      <c r="D14" s="21" t="s">
        <v>68</v>
      </c>
      <c r="E14" s="16">
        <v>3.6153846153846154</v>
      </c>
      <c r="F14" s="27">
        <f t="shared" si="0"/>
        <v>0.21266968325791855</v>
      </c>
      <c r="H14" s="12">
        <v>4</v>
      </c>
      <c r="I14" s="12">
        <v>3.3333333333333335</v>
      </c>
      <c r="J14" s="12">
        <v>3.25</v>
      </c>
      <c r="K14" s="12">
        <v>4</v>
      </c>
      <c r="L14" s="5"/>
      <c r="M14" s="28"/>
      <c r="N14" s="28"/>
      <c r="O14" s="28"/>
      <c r="P14" s="28"/>
      <c r="Q14" s="8"/>
    </row>
    <row r="15" spans="1:17" ht="37.5">
      <c r="A15" s="47" t="s">
        <v>65</v>
      </c>
      <c r="B15" s="48" t="s">
        <v>81</v>
      </c>
      <c r="C15" s="21" t="s">
        <v>82</v>
      </c>
      <c r="D15" s="21" t="s">
        <v>68</v>
      </c>
      <c r="E15" s="16">
        <v>3.3333333333333335</v>
      </c>
      <c r="F15" s="27">
        <f t="shared" si="0"/>
        <v>0.19607843137254902</v>
      </c>
      <c r="H15" s="12">
        <v>3.2</v>
      </c>
      <c r="I15" s="12">
        <v>0</v>
      </c>
      <c r="J15" s="12">
        <v>2.5</v>
      </c>
      <c r="K15" s="12">
        <v>4</v>
      </c>
      <c r="L15" s="5"/>
      <c r="M15" s="28"/>
      <c r="N15" s="28"/>
      <c r="O15" s="28"/>
      <c r="P15" s="28"/>
      <c r="Q15" s="8" t="s">
        <v>83</v>
      </c>
    </row>
    <row r="16" spans="1:17" ht="50.1">
      <c r="A16" s="47" t="s">
        <v>65</v>
      </c>
      <c r="B16" s="48" t="s">
        <v>84</v>
      </c>
      <c r="C16" s="21" t="s">
        <v>85</v>
      </c>
      <c r="D16" s="21" t="s">
        <v>68</v>
      </c>
      <c r="E16" s="16">
        <v>6.9230769230769234</v>
      </c>
      <c r="F16" s="27">
        <f t="shared" si="0"/>
        <v>0.40723981900452488</v>
      </c>
      <c r="H16" s="12">
        <v>8</v>
      </c>
      <c r="I16" s="12">
        <v>5.666666666666667</v>
      </c>
      <c r="J16" s="12">
        <v>7.5</v>
      </c>
      <c r="K16" s="12">
        <v>3</v>
      </c>
      <c r="L16" s="5"/>
      <c r="M16" s="28"/>
      <c r="N16" s="28"/>
      <c r="O16" s="28"/>
      <c r="P16" s="28"/>
      <c r="Q16" s="8" t="s">
        <v>86</v>
      </c>
    </row>
    <row r="17" spans="1:17" ht="24">
      <c r="A17" s="50" t="s">
        <v>87</v>
      </c>
      <c r="B17" s="51" t="s">
        <v>88</v>
      </c>
      <c r="C17" s="52" t="s">
        <v>89</v>
      </c>
      <c r="D17" s="22" t="s">
        <v>54</v>
      </c>
      <c r="E17" s="17">
        <v>7</v>
      </c>
      <c r="F17" s="29">
        <f t="shared" ref="F17:F38" si="1">E17/$F$2</f>
        <v>0.41176470588235292</v>
      </c>
      <c r="H17" s="13">
        <v>4</v>
      </c>
      <c r="I17" s="13">
        <v>1</v>
      </c>
      <c r="J17" s="13">
        <v>2</v>
      </c>
      <c r="K17" s="13">
        <v>0</v>
      </c>
      <c r="L17" s="5"/>
      <c r="M17" s="29">
        <f>H17/'Analysis — Filter View'!$E$38</f>
        <v>0.8</v>
      </c>
      <c r="N17" s="29">
        <f>I17/'Analysis — Filter View'!$E$39</f>
        <v>0.33333333333333331</v>
      </c>
      <c r="O17" s="29">
        <f>J17/'Analysis — Filter View'!$E$40</f>
        <v>0.5</v>
      </c>
      <c r="P17" s="29">
        <f>K17/'Analysis — Filter View'!$E$41</f>
        <v>0</v>
      </c>
      <c r="Q17" s="9" t="s">
        <v>90</v>
      </c>
    </row>
    <row r="18" spans="1:17" ht="24.95">
      <c r="A18" s="50" t="s">
        <v>87</v>
      </c>
      <c r="B18" s="51" t="s">
        <v>91</v>
      </c>
      <c r="C18" s="52" t="s">
        <v>92</v>
      </c>
      <c r="D18" s="22" t="s">
        <v>54</v>
      </c>
      <c r="E18" s="53">
        <v>8</v>
      </c>
      <c r="F18" s="29">
        <f t="shared" si="1"/>
        <v>0.47058823529411764</v>
      </c>
      <c r="H18" s="13">
        <v>4</v>
      </c>
      <c r="I18" s="13">
        <v>1</v>
      </c>
      <c r="J18" s="13">
        <v>2</v>
      </c>
      <c r="K18" s="13">
        <v>1</v>
      </c>
      <c r="L18" s="5"/>
      <c r="M18" s="29">
        <f>H18/'Analysis — Filter View'!$E$38</f>
        <v>0.8</v>
      </c>
      <c r="N18" s="29">
        <f>I18/'Analysis — Filter View'!$E$39</f>
        <v>0.33333333333333331</v>
      </c>
      <c r="O18" s="29">
        <f>J18/'Analysis — Filter View'!$E$40</f>
        <v>0.5</v>
      </c>
      <c r="P18" s="29">
        <f>K18/'Analysis — Filter View'!$E$41</f>
        <v>1</v>
      </c>
      <c r="Q18" s="9" t="s">
        <v>93</v>
      </c>
    </row>
    <row r="19" spans="1:17" ht="34.5">
      <c r="A19" s="50" t="s">
        <v>87</v>
      </c>
      <c r="B19" s="51" t="s">
        <v>94</v>
      </c>
      <c r="C19" s="52" t="s">
        <v>95</v>
      </c>
      <c r="D19" s="22" t="s">
        <v>54</v>
      </c>
      <c r="E19" s="17">
        <v>8</v>
      </c>
      <c r="F19" s="29">
        <f t="shared" si="1"/>
        <v>0.47058823529411764</v>
      </c>
      <c r="H19" s="13">
        <v>4</v>
      </c>
      <c r="I19" s="13">
        <v>2</v>
      </c>
      <c r="J19" s="13">
        <v>1</v>
      </c>
      <c r="K19" s="13">
        <v>1</v>
      </c>
      <c r="L19" s="5"/>
      <c r="M19" s="29">
        <f>H19/'Analysis — Filter View'!$E$38</f>
        <v>0.8</v>
      </c>
      <c r="N19" s="29">
        <f>I19/'Analysis — Filter View'!$E$39</f>
        <v>0.66666666666666663</v>
      </c>
      <c r="O19" s="29">
        <f>J19/'Analysis — Filter View'!$E$40</f>
        <v>0.25</v>
      </c>
      <c r="P19" s="29">
        <f>K19/'Analysis — Filter View'!$E$41</f>
        <v>1</v>
      </c>
      <c r="Q19" s="9" t="s">
        <v>96</v>
      </c>
    </row>
    <row r="20" spans="1:17" ht="24.95">
      <c r="A20" s="50" t="s">
        <v>87</v>
      </c>
      <c r="B20" s="51" t="s">
        <v>97</v>
      </c>
      <c r="C20" s="52" t="s">
        <v>98</v>
      </c>
      <c r="D20" s="22" t="s">
        <v>54</v>
      </c>
      <c r="E20" s="17">
        <v>10</v>
      </c>
      <c r="F20" s="29">
        <f t="shared" si="1"/>
        <v>0.58823529411764708</v>
      </c>
      <c r="H20" s="13">
        <v>4</v>
      </c>
      <c r="I20" s="13">
        <v>2</v>
      </c>
      <c r="J20" s="13">
        <v>4</v>
      </c>
      <c r="K20" s="13">
        <v>0</v>
      </c>
      <c r="L20" s="5"/>
      <c r="M20" s="29">
        <f>H20/'Analysis — Filter View'!$E$38</f>
        <v>0.8</v>
      </c>
      <c r="N20" s="29">
        <f>I20/'Analysis — Filter View'!$E$39</f>
        <v>0.66666666666666663</v>
      </c>
      <c r="O20" s="29">
        <f>J20/'Analysis — Filter View'!$E$40</f>
        <v>1</v>
      </c>
      <c r="P20" s="29">
        <f>K20/'Analysis — Filter View'!$E$41</f>
        <v>0</v>
      </c>
      <c r="Q20" s="9" t="s">
        <v>99</v>
      </c>
    </row>
    <row r="21" spans="1:17" ht="37.5">
      <c r="A21" s="50" t="s">
        <v>87</v>
      </c>
      <c r="B21" s="51" t="s">
        <v>100</v>
      </c>
      <c r="C21" s="52" t="s">
        <v>101</v>
      </c>
      <c r="D21" s="22" t="s">
        <v>54</v>
      </c>
      <c r="E21" s="17">
        <v>4</v>
      </c>
      <c r="F21" s="29">
        <f t="shared" si="1"/>
        <v>0.23529411764705882</v>
      </c>
      <c r="H21" s="13">
        <v>2</v>
      </c>
      <c r="I21" s="13">
        <v>0</v>
      </c>
      <c r="J21" s="13">
        <v>1</v>
      </c>
      <c r="K21" s="13">
        <v>1</v>
      </c>
      <c r="L21" s="5"/>
      <c r="M21" s="29">
        <f>H21/'Analysis — Filter View'!$E$38</f>
        <v>0.4</v>
      </c>
      <c r="N21" s="29">
        <f>I21/'Analysis — Filter View'!$E$39</f>
        <v>0</v>
      </c>
      <c r="O21" s="29">
        <f>J21/'Analysis — Filter View'!$E$40</f>
        <v>0.25</v>
      </c>
      <c r="P21" s="29">
        <f>K21/'Analysis — Filter View'!$E$41</f>
        <v>1</v>
      </c>
      <c r="Q21" s="9" t="s">
        <v>102</v>
      </c>
    </row>
    <row r="22" spans="1:17" ht="24.95">
      <c r="A22" s="50" t="s">
        <v>87</v>
      </c>
      <c r="B22" s="51" t="s">
        <v>103</v>
      </c>
      <c r="C22" s="52" t="s">
        <v>104</v>
      </c>
      <c r="D22" s="22" t="s">
        <v>54</v>
      </c>
      <c r="E22" s="17">
        <v>3</v>
      </c>
      <c r="F22" s="29">
        <f t="shared" si="1"/>
        <v>0.17647058823529413</v>
      </c>
      <c r="H22" s="13">
        <v>2</v>
      </c>
      <c r="I22" s="13">
        <v>0</v>
      </c>
      <c r="J22" s="13">
        <v>1</v>
      </c>
      <c r="K22" s="13">
        <v>0</v>
      </c>
      <c r="L22" s="5"/>
      <c r="M22" s="29">
        <f>H22/'Analysis — Filter View'!$E$38</f>
        <v>0.4</v>
      </c>
      <c r="N22" s="29">
        <f>I22/'Analysis — Filter View'!$E$39</f>
        <v>0</v>
      </c>
      <c r="O22" s="29">
        <f>J22/'Analysis — Filter View'!$E$40</f>
        <v>0.25</v>
      </c>
      <c r="P22" s="29">
        <f>K22/'Analysis — Filter View'!$E$41</f>
        <v>0</v>
      </c>
      <c r="Q22" s="9" t="s">
        <v>105</v>
      </c>
    </row>
    <row r="23" spans="1:17" ht="24.95">
      <c r="A23" s="50" t="s">
        <v>87</v>
      </c>
      <c r="B23" s="51" t="s">
        <v>106</v>
      </c>
      <c r="C23" s="52" t="s">
        <v>107</v>
      </c>
      <c r="D23" s="22" t="s">
        <v>54</v>
      </c>
      <c r="E23" s="17">
        <v>5</v>
      </c>
      <c r="F23" s="29">
        <f t="shared" si="1"/>
        <v>0.29411764705882354</v>
      </c>
      <c r="H23" s="13">
        <v>3</v>
      </c>
      <c r="I23" s="13">
        <v>0</v>
      </c>
      <c r="J23" s="13">
        <v>2</v>
      </c>
      <c r="K23" s="13">
        <v>0</v>
      </c>
      <c r="L23" s="5"/>
      <c r="M23" s="29">
        <f>H23/'Analysis — Filter View'!$E$38</f>
        <v>0.6</v>
      </c>
      <c r="N23" s="29">
        <f>I23/'Analysis — Filter View'!$E$39</f>
        <v>0</v>
      </c>
      <c r="O23" s="29">
        <f>J23/'Analysis — Filter View'!$E$40</f>
        <v>0.5</v>
      </c>
      <c r="P23" s="29">
        <f>K23/'Analysis — Filter View'!$E$41</f>
        <v>0</v>
      </c>
      <c r="Q23" s="9" t="s">
        <v>108</v>
      </c>
    </row>
    <row r="24" spans="1:17" ht="37.5">
      <c r="A24" s="54" t="s">
        <v>109</v>
      </c>
      <c r="B24" s="55" t="s">
        <v>110</v>
      </c>
      <c r="C24" s="56" t="s">
        <v>111</v>
      </c>
      <c r="D24" s="30" t="s">
        <v>54</v>
      </c>
      <c r="E24" s="31">
        <v>12</v>
      </c>
      <c r="F24" s="32">
        <f t="shared" si="1"/>
        <v>0.70588235294117652</v>
      </c>
      <c r="H24" s="33">
        <v>5</v>
      </c>
      <c r="I24" s="33">
        <v>3</v>
      </c>
      <c r="J24" s="33">
        <v>3</v>
      </c>
      <c r="K24" s="33">
        <v>1</v>
      </c>
      <c r="L24" s="5"/>
      <c r="M24" s="32">
        <f>H24/'Analysis — Filter View'!$E$38</f>
        <v>1</v>
      </c>
      <c r="N24" s="32">
        <f>I24/'Analysis — Filter View'!$E$39</f>
        <v>1</v>
      </c>
      <c r="O24" s="32">
        <f>J24/'Analysis — Filter View'!$E$40</f>
        <v>0.75</v>
      </c>
      <c r="P24" s="32">
        <f>K24/'Analysis — Filter View'!$E$41</f>
        <v>1</v>
      </c>
      <c r="Q24" s="34" t="s">
        <v>112</v>
      </c>
    </row>
    <row r="25" spans="1:17" ht="34.5">
      <c r="A25" s="54" t="s">
        <v>109</v>
      </c>
      <c r="B25" s="55" t="s">
        <v>113</v>
      </c>
      <c r="C25" s="56" t="s">
        <v>114</v>
      </c>
      <c r="D25" s="30" t="s">
        <v>54</v>
      </c>
      <c r="E25" s="31">
        <v>8</v>
      </c>
      <c r="F25" s="32">
        <f t="shared" si="1"/>
        <v>0.47058823529411764</v>
      </c>
      <c r="H25" s="33">
        <v>4</v>
      </c>
      <c r="I25" s="33">
        <v>1</v>
      </c>
      <c r="J25" s="33">
        <v>2</v>
      </c>
      <c r="K25" s="33">
        <v>1</v>
      </c>
      <c r="L25" s="5"/>
      <c r="M25" s="32">
        <f>H25/'Analysis — Filter View'!$E$38</f>
        <v>0.8</v>
      </c>
      <c r="N25" s="32">
        <f>I25/'Analysis — Filter View'!$E$39</f>
        <v>0.33333333333333331</v>
      </c>
      <c r="O25" s="32">
        <f>J25/'Analysis — Filter View'!$E$40</f>
        <v>0.5</v>
      </c>
      <c r="P25" s="32">
        <f>K25/'Analysis — Filter View'!$E$41</f>
        <v>1</v>
      </c>
      <c r="Q25" s="34" t="s">
        <v>115</v>
      </c>
    </row>
    <row r="26" spans="1:17" ht="24.95">
      <c r="A26" s="54" t="s">
        <v>109</v>
      </c>
      <c r="B26" s="55" t="s">
        <v>116</v>
      </c>
      <c r="C26" s="56" t="s">
        <v>117</v>
      </c>
      <c r="D26" s="30" t="s">
        <v>54</v>
      </c>
      <c r="E26" s="57">
        <v>5</v>
      </c>
      <c r="F26" s="32">
        <f t="shared" si="1"/>
        <v>0.29411764705882354</v>
      </c>
      <c r="H26" s="33">
        <v>3</v>
      </c>
      <c r="I26" s="33">
        <v>0</v>
      </c>
      <c r="J26" s="33">
        <v>2</v>
      </c>
      <c r="K26" s="33">
        <v>0</v>
      </c>
      <c r="L26" s="5"/>
      <c r="M26" s="32">
        <f>H26/'Analysis — Filter View'!$E$38</f>
        <v>0.6</v>
      </c>
      <c r="N26" s="32">
        <f>I26/'Analysis — Filter View'!$E$39</f>
        <v>0</v>
      </c>
      <c r="O26" s="32">
        <f>J26/'Analysis — Filter View'!$E$40</f>
        <v>0.5</v>
      </c>
      <c r="P26" s="32">
        <f>K26/'Analysis — Filter View'!$E$41</f>
        <v>0</v>
      </c>
      <c r="Q26" s="34" t="s">
        <v>118</v>
      </c>
    </row>
    <row r="27" spans="1:17" ht="37.5">
      <c r="A27" s="54" t="s">
        <v>109</v>
      </c>
      <c r="B27" s="55" t="s">
        <v>119</v>
      </c>
      <c r="C27" s="56" t="s">
        <v>120</v>
      </c>
      <c r="D27" s="30" t="s">
        <v>54</v>
      </c>
      <c r="E27" s="31">
        <v>9</v>
      </c>
      <c r="F27" s="32">
        <f t="shared" si="1"/>
        <v>0.52941176470588236</v>
      </c>
      <c r="H27" s="33">
        <v>4</v>
      </c>
      <c r="I27" s="33">
        <v>2</v>
      </c>
      <c r="J27" s="33">
        <v>3</v>
      </c>
      <c r="K27" s="33">
        <v>0</v>
      </c>
      <c r="L27" s="5"/>
      <c r="M27" s="32">
        <f>H27/'Analysis — Filter View'!$E$38</f>
        <v>0.8</v>
      </c>
      <c r="N27" s="32">
        <f>I27/'Analysis — Filter View'!$E$39</f>
        <v>0.66666666666666663</v>
      </c>
      <c r="O27" s="32">
        <f>J27/'Analysis — Filter View'!$E$40</f>
        <v>0.75</v>
      </c>
      <c r="P27" s="32">
        <f>K27/'Analysis — Filter View'!$E$41</f>
        <v>0</v>
      </c>
      <c r="Q27" s="34" t="s">
        <v>121</v>
      </c>
    </row>
    <row r="28" spans="1:17" ht="24.95">
      <c r="A28" s="58" t="s">
        <v>122</v>
      </c>
      <c r="B28" s="59" t="s">
        <v>123</v>
      </c>
      <c r="C28" s="60" t="s">
        <v>124</v>
      </c>
      <c r="D28" s="23" t="s">
        <v>54</v>
      </c>
      <c r="E28" s="18">
        <v>5</v>
      </c>
      <c r="F28" s="35">
        <f t="shared" si="1"/>
        <v>0.29411764705882354</v>
      </c>
      <c r="H28" s="14">
        <v>3</v>
      </c>
      <c r="I28" s="14">
        <v>0</v>
      </c>
      <c r="J28" s="14">
        <v>2</v>
      </c>
      <c r="K28" s="14">
        <v>0</v>
      </c>
      <c r="L28" s="5"/>
      <c r="M28" s="35">
        <f>H28/'Analysis — Filter View'!$E$38</f>
        <v>0.6</v>
      </c>
      <c r="N28" s="35">
        <f>I28/'Analysis — Filter View'!$E$39</f>
        <v>0</v>
      </c>
      <c r="O28" s="35">
        <f>J28/'Analysis — Filter View'!$E$40</f>
        <v>0.5</v>
      </c>
      <c r="P28" s="35">
        <f>K28/'Analysis — Filter View'!$E$41</f>
        <v>0</v>
      </c>
      <c r="Q28" s="10" t="s">
        <v>125</v>
      </c>
    </row>
    <row r="29" spans="1:17" ht="24.95">
      <c r="A29" s="58" t="s">
        <v>122</v>
      </c>
      <c r="B29" s="59" t="s">
        <v>126</v>
      </c>
      <c r="C29" s="60" t="s">
        <v>127</v>
      </c>
      <c r="D29" s="23" t="s">
        <v>54</v>
      </c>
      <c r="E29" s="18">
        <v>4</v>
      </c>
      <c r="F29" s="35">
        <f t="shared" si="1"/>
        <v>0.23529411764705882</v>
      </c>
      <c r="H29" s="14">
        <v>2</v>
      </c>
      <c r="I29" s="14">
        <v>0</v>
      </c>
      <c r="J29" s="14">
        <v>2</v>
      </c>
      <c r="K29" s="14">
        <v>0</v>
      </c>
      <c r="L29" s="5"/>
      <c r="M29" s="35">
        <f>H29/'Analysis — Filter View'!$E$38</f>
        <v>0.4</v>
      </c>
      <c r="N29" s="35">
        <f>I29/'Analysis — Filter View'!$E$39</f>
        <v>0</v>
      </c>
      <c r="O29" s="35">
        <f>J29/'Analysis — Filter View'!$E$40</f>
        <v>0.5</v>
      </c>
      <c r="P29" s="35">
        <f>K29/'Analysis — Filter View'!$E$41</f>
        <v>0</v>
      </c>
      <c r="Q29" s="10" t="s">
        <v>128</v>
      </c>
    </row>
    <row r="30" spans="1:17" ht="24.95">
      <c r="A30" s="58" t="s">
        <v>122</v>
      </c>
      <c r="B30" s="59" t="s">
        <v>129</v>
      </c>
      <c r="C30" s="60" t="s">
        <v>130</v>
      </c>
      <c r="D30" s="23" t="s">
        <v>54</v>
      </c>
      <c r="E30" s="18">
        <v>6</v>
      </c>
      <c r="F30" s="35">
        <f t="shared" si="1"/>
        <v>0.35294117647058826</v>
      </c>
      <c r="H30" s="14">
        <v>2</v>
      </c>
      <c r="I30" s="14">
        <v>1</v>
      </c>
      <c r="J30" s="14">
        <v>3</v>
      </c>
      <c r="K30" s="14">
        <v>0</v>
      </c>
      <c r="L30" s="5"/>
      <c r="M30" s="35">
        <f>H30/'Analysis — Filter View'!$E$38</f>
        <v>0.4</v>
      </c>
      <c r="N30" s="35">
        <f>I30/'Analysis — Filter View'!$E$39</f>
        <v>0.33333333333333331</v>
      </c>
      <c r="O30" s="35">
        <f>J30/'Analysis — Filter View'!$E$40</f>
        <v>0.75</v>
      </c>
      <c r="P30" s="35">
        <f>K30/'Analysis — Filter View'!$E$41</f>
        <v>0</v>
      </c>
      <c r="Q30" s="10" t="s">
        <v>131</v>
      </c>
    </row>
    <row r="31" spans="1:17" ht="24.95">
      <c r="A31" s="58" t="s">
        <v>122</v>
      </c>
      <c r="B31" s="59" t="s">
        <v>132</v>
      </c>
      <c r="C31" s="60" t="s">
        <v>133</v>
      </c>
      <c r="D31" s="23" t="s">
        <v>54</v>
      </c>
      <c r="E31" s="61">
        <v>4</v>
      </c>
      <c r="F31" s="35">
        <f t="shared" si="1"/>
        <v>0.23529411764705882</v>
      </c>
      <c r="H31" s="14">
        <v>3</v>
      </c>
      <c r="I31" s="14">
        <v>0</v>
      </c>
      <c r="J31" s="14">
        <v>1</v>
      </c>
      <c r="K31" s="14">
        <v>0</v>
      </c>
      <c r="L31" s="5"/>
      <c r="M31" s="35">
        <f>H31/'Analysis — Filter View'!$E$38</f>
        <v>0.6</v>
      </c>
      <c r="N31" s="35">
        <f>I31/'Analysis — Filter View'!$E$39</f>
        <v>0</v>
      </c>
      <c r="O31" s="35">
        <f>J31/'Analysis — Filter View'!$E$40</f>
        <v>0.25</v>
      </c>
      <c r="P31" s="35">
        <f>K31/'Analysis — Filter View'!$E$41</f>
        <v>0</v>
      </c>
      <c r="Q31" s="10" t="s">
        <v>134</v>
      </c>
    </row>
    <row r="32" spans="1:17" ht="24.95">
      <c r="A32" s="58" t="s">
        <v>122</v>
      </c>
      <c r="B32" s="59" t="s">
        <v>135</v>
      </c>
      <c r="C32" s="60" t="s">
        <v>136</v>
      </c>
      <c r="D32" s="23" t="s">
        <v>54</v>
      </c>
      <c r="E32" s="18">
        <v>4</v>
      </c>
      <c r="F32" s="35">
        <f t="shared" si="1"/>
        <v>0.23529411764705882</v>
      </c>
      <c r="H32" s="14">
        <v>1</v>
      </c>
      <c r="I32" s="14">
        <v>2</v>
      </c>
      <c r="J32" s="14">
        <v>0</v>
      </c>
      <c r="K32" s="14">
        <v>1</v>
      </c>
      <c r="L32" s="5"/>
      <c r="M32" s="35">
        <f>H32/'Analysis — Filter View'!$E$38</f>
        <v>0.2</v>
      </c>
      <c r="N32" s="35">
        <f>I32/'Analysis — Filter View'!$E$39</f>
        <v>0.66666666666666663</v>
      </c>
      <c r="O32" s="35">
        <f>J32/'Analysis — Filter View'!$E$40</f>
        <v>0</v>
      </c>
      <c r="P32" s="35">
        <f>K32/'Analysis — Filter View'!$E$41</f>
        <v>1</v>
      </c>
      <c r="Q32" s="10" t="s">
        <v>137</v>
      </c>
    </row>
    <row r="33" spans="1:17" ht="24.95">
      <c r="A33" s="62" t="s">
        <v>138</v>
      </c>
      <c r="B33" s="63" t="s">
        <v>139</v>
      </c>
      <c r="C33" s="64" t="s">
        <v>140</v>
      </c>
      <c r="D33" s="36" t="s">
        <v>54</v>
      </c>
      <c r="E33" s="37">
        <v>8</v>
      </c>
      <c r="F33" s="38">
        <f t="shared" si="1"/>
        <v>0.47058823529411764</v>
      </c>
      <c r="H33" s="39">
        <v>4</v>
      </c>
      <c r="I33" s="39">
        <v>2</v>
      </c>
      <c r="J33" s="39">
        <v>1</v>
      </c>
      <c r="K33" s="39">
        <v>1</v>
      </c>
      <c r="L33" s="5"/>
      <c r="M33" s="38">
        <f>H33/'Analysis — Filter View'!$E$38</f>
        <v>0.8</v>
      </c>
      <c r="N33" s="38">
        <f>I33/'Analysis — Filter View'!$E$39</f>
        <v>0.66666666666666663</v>
      </c>
      <c r="O33" s="38">
        <f>J33/'Analysis — Filter View'!$E$40</f>
        <v>0.25</v>
      </c>
      <c r="P33" s="38">
        <f>K33/'Analysis — Filter View'!$E$41</f>
        <v>1</v>
      </c>
      <c r="Q33" s="40" t="s">
        <v>141</v>
      </c>
    </row>
    <row r="34" spans="1:17" ht="24.95">
      <c r="A34" s="62" t="s">
        <v>138</v>
      </c>
      <c r="B34" s="63" t="s">
        <v>142</v>
      </c>
      <c r="C34" s="64" t="s">
        <v>143</v>
      </c>
      <c r="D34" s="36" t="s">
        <v>54</v>
      </c>
      <c r="E34" s="37">
        <v>11</v>
      </c>
      <c r="F34" s="38">
        <f t="shared" si="1"/>
        <v>0.6470588235294118</v>
      </c>
      <c r="H34" s="39">
        <v>4</v>
      </c>
      <c r="I34" s="39">
        <v>3</v>
      </c>
      <c r="J34" s="39">
        <v>3</v>
      </c>
      <c r="K34" s="39">
        <v>1</v>
      </c>
      <c r="L34" s="5"/>
      <c r="M34" s="38">
        <f>H34/'Analysis — Filter View'!$E$38</f>
        <v>0.8</v>
      </c>
      <c r="N34" s="38">
        <f>I34/'Analysis — Filter View'!$E$39</f>
        <v>1</v>
      </c>
      <c r="O34" s="38">
        <f>J34/'Analysis — Filter View'!$E$40</f>
        <v>0.75</v>
      </c>
      <c r="P34" s="38">
        <f>K34/'Analysis — Filter View'!$E$41</f>
        <v>1</v>
      </c>
      <c r="Q34" s="40" t="s">
        <v>144</v>
      </c>
    </row>
    <row r="35" spans="1:17" ht="24.95">
      <c r="A35" s="62" t="s">
        <v>138</v>
      </c>
      <c r="B35" s="63" t="s">
        <v>145</v>
      </c>
      <c r="C35" s="64" t="s">
        <v>146</v>
      </c>
      <c r="D35" s="36" t="s">
        <v>54</v>
      </c>
      <c r="E35" s="37">
        <v>10</v>
      </c>
      <c r="F35" s="38">
        <f t="shared" si="1"/>
        <v>0.58823529411764708</v>
      </c>
      <c r="H35" s="39">
        <v>4</v>
      </c>
      <c r="I35" s="39">
        <v>2</v>
      </c>
      <c r="J35" s="39">
        <v>4</v>
      </c>
      <c r="K35" s="39">
        <v>0</v>
      </c>
      <c r="L35" s="5"/>
      <c r="M35" s="38">
        <f>H35/'Analysis — Filter View'!$E$38</f>
        <v>0.8</v>
      </c>
      <c r="N35" s="38">
        <f>I35/'Analysis — Filter View'!$E$39</f>
        <v>0.66666666666666663</v>
      </c>
      <c r="O35" s="38">
        <f>J35/'Analysis — Filter View'!$E$40</f>
        <v>1</v>
      </c>
      <c r="P35" s="38">
        <f>K35/'Analysis — Filter View'!$E$41</f>
        <v>0</v>
      </c>
      <c r="Q35" s="40" t="s">
        <v>147</v>
      </c>
    </row>
    <row r="36" spans="1:17" ht="24.95">
      <c r="A36" s="62" t="s">
        <v>138</v>
      </c>
      <c r="B36" s="63" t="s">
        <v>148</v>
      </c>
      <c r="C36" s="64" t="s">
        <v>149</v>
      </c>
      <c r="D36" s="36" t="s">
        <v>54</v>
      </c>
      <c r="E36" s="37">
        <v>6</v>
      </c>
      <c r="F36" s="38">
        <f t="shared" si="1"/>
        <v>0.35294117647058826</v>
      </c>
      <c r="H36" s="39">
        <v>3</v>
      </c>
      <c r="I36" s="39">
        <v>0</v>
      </c>
      <c r="J36" s="39">
        <v>2</v>
      </c>
      <c r="K36" s="39">
        <v>1</v>
      </c>
      <c r="L36" s="5"/>
      <c r="M36" s="38">
        <f>H36/'Analysis — Filter View'!$E$38</f>
        <v>0.6</v>
      </c>
      <c r="N36" s="38">
        <f>I36/'Analysis — Filter View'!$E$39</f>
        <v>0</v>
      </c>
      <c r="O36" s="38">
        <f>J36/'Analysis — Filter View'!$E$40</f>
        <v>0.5</v>
      </c>
      <c r="P36" s="38">
        <f>K36/'Analysis — Filter View'!$E$41</f>
        <v>1</v>
      </c>
      <c r="Q36" s="40" t="s">
        <v>150</v>
      </c>
    </row>
    <row r="37" spans="1:17" ht="24.95">
      <c r="A37" s="62" t="s">
        <v>138</v>
      </c>
      <c r="B37" s="63" t="s">
        <v>151</v>
      </c>
      <c r="C37" s="64" t="s">
        <v>152</v>
      </c>
      <c r="D37" s="36" t="s">
        <v>54</v>
      </c>
      <c r="E37" s="65">
        <v>3</v>
      </c>
      <c r="F37" s="38">
        <f t="shared" si="1"/>
        <v>0.17647058823529413</v>
      </c>
      <c r="H37" s="39">
        <v>2</v>
      </c>
      <c r="I37" s="39">
        <v>0</v>
      </c>
      <c r="J37" s="39">
        <v>1</v>
      </c>
      <c r="K37" s="39">
        <v>0</v>
      </c>
      <c r="L37" s="5"/>
      <c r="M37" s="38">
        <f>H37/'Analysis — Filter View'!$E$38</f>
        <v>0.4</v>
      </c>
      <c r="N37" s="38">
        <f>I37/'Analysis — Filter View'!$E$39</f>
        <v>0</v>
      </c>
      <c r="O37" s="38">
        <f>J37/'Analysis — Filter View'!$E$40</f>
        <v>0.25</v>
      </c>
      <c r="P37" s="38">
        <f>K37/'Analysis — Filter View'!$E$41</f>
        <v>0</v>
      </c>
      <c r="Q37" s="40" t="s">
        <v>153</v>
      </c>
    </row>
    <row r="38" spans="1:17" ht="23.1">
      <c r="A38" s="62" t="s">
        <v>138</v>
      </c>
      <c r="B38" s="66" t="s">
        <v>154</v>
      </c>
      <c r="C38" s="41" t="s">
        <v>155</v>
      </c>
      <c r="D38" s="36" t="s">
        <v>54</v>
      </c>
      <c r="E38" s="37">
        <v>0</v>
      </c>
      <c r="F38" s="38">
        <f t="shared" si="1"/>
        <v>0</v>
      </c>
      <c r="H38" s="39">
        <v>0</v>
      </c>
      <c r="I38" s="39">
        <v>0</v>
      </c>
      <c r="J38" s="39">
        <v>0</v>
      </c>
      <c r="K38" s="39">
        <v>0</v>
      </c>
      <c r="L38" s="5"/>
      <c r="M38" s="38">
        <f>H38/'Analysis — Filter View'!$E$38</f>
        <v>0</v>
      </c>
      <c r="N38" s="38">
        <f>I38/'Analysis — Filter View'!$E$39</f>
        <v>0</v>
      </c>
      <c r="O38" s="38">
        <f>J38/'Analysis — Filter View'!$E$40</f>
        <v>0</v>
      </c>
      <c r="P38" s="38">
        <f>K38/'Analysis — Filter View'!$E$41</f>
        <v>0</v>
      </c>
      <c r="Q38" s="40" t="s">
        <v>156</v>
      </c>
    </row>
    <row r="39" spans="1:17">
      <c r="L39" s="5"/>
    </row>
    <row r="46" spans="1:17">
      <c r="L46" s="5"/>
    </row>
    <row r="47" spans="1:17">
      <c r="L47" s="5"/>
    </row>
    <row r="48" spans="1:17">
      <c r="L48" s="5"/>
    </row>
  </sheetData>
  <mergeCells count="1">
    <mergeCell ref="A1:K1"/>
  </mergeCells>
  <conditionalFormatting sqref="F22:G38 F3:F21">
    <cfRule type="cellIs" dxfId="31" priority="1" operator="greaterThan">
      <formula>0.6</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1:AP41"/>
  <sheetViews>
    <sheetView workbookViewId="0">
      <pane xSplit="7" ySplit="3" topLeftCell="AE31" activePane="bottomRight" state="frozen"/>
      <selection pane="bottomRight" activeCell="B57" sqref="B57"/>
      <selection pane="bottomLeft" activeCell="B57" sqref="B57"/>
      <selection pane="topRight" activeCell="B57" sqref="B57"/>
    </sheetView>
  </sheetViews>
  <sheetFormatPr defaultRowHeight="14.45"/>
  <cols>
    <col min="1" max="1" width="2" customWidth="1"/>
    <col min="2" max="2" width="20" customWidth="1"/>
    <col min="3" max="4" width="18" customWidth="1"/>
    <col min="5" max="5" width="20" customWidth="1"/>
    <col min="6" max="7" width="14" customWidth="1"/>
    <col min="8" max="42" width="9" customWidth="1"/>
  </cols>
  <sheetData>
    <row r="1" spans="2:42" ht="30" customHeight="1">
      <c r="B1" s="67" t="s">
        <v>157</v>
      </c>
      <c r="C1" s="68"/>
      <c r="D1" s="68"/>
      <c r="E1" s="68"/>
      <c r="F1" s="68"/>
      <c r="G1" s="68"/>
      <c r="H1" s="68"/>
      <c r="I1" s="68"/>
      <c r="J1" s="68"/>
      <c r="K1" s="68"/>
      <c r="L1" s="68"/>
      <c r="M1" s="68"/>
      <c r="N1" s="68"/>
      <c r="O1" s="68"/>
      <c r="P1" s="68"/>
      <c r="Q1" s="68"/>
      <c r="R1" s="68"/>
      <c r="S1" s="68"/>
      <c r="T1" s="68"/>
      <c r="U1" s="68"/>
      <c r="V1" s="68"/>
      <c r="W1" s="68"/>
      <c r="X1" s="68"/>
      <c r="Y1" s="68"/>
      <c r="Z1" s="68"/>
      <c r="AA1" s="68"/>
      <c r="AB1" s="68"/>
      <c r="AC1" s="68"/>
      <c r="AD1" s="68"/>
      <c r="AE1" s="68"/>
      <c r="AF1" s="68"/>
      <c r="AG1" s="68"/>
      <c r="AH1" s="68"/>
      <c r="AI1" s="68"/>
      <c r="AJ1" s="68"/>
      <c r="AK1" s="68"/>
      <c r="AL1" s="68"/>
      <c r="AM1" s="68"/>
      <c r="AN1" s="68"/>
      <c r="AO1" s="68"/>
      <c r="AP1" s="68"/>
    </row>
    <row r="2" spans="2:42" ht="18" customHeight="1">
      <c r="B2" s="69"/>
      <c r="C2" s="69"/>
      <c r="D2" s="69"/>
      <c r="E2" s="69"/>
      <c r="F2" s="69"/>
      <c r="G2" s="69"/>
      <c r="H2" s="70" t="s">
        <v>51</v>
      </c>
      <c r="I2" s="70"/>
      <c r="J2" s="70"/>
      <c r="K2" s="70"/>
      <c r="L2" s="71" t="s">
        <v>65</v>
      </c>
      <c r="M2" s="71"/>
      <c r="N2" s="71"/>
      <c r="O2" s="71"/>
      <c r="P2" s="71"/>
      <c r="Q2" s="71"/>
      <c r="R2" s="71"/>
      <c r="S2" s="71"/>
      <c r="T2" s="71"/>
      <c r="U2" s="72" t="s">
        <v>87</v>
      </c>
      <c r="V2" s="72"/>
      <c r="W2" s="72"/>
      <c r="X2" s="72"/>
      <c r="Y2" s="72"/>
      <c r="Z2" s="72"/>
      <c r="AA2" s="72"/>
      <c r="AB2" s="70" t="s">
        <v>109</v>
      </c>
      <c r="AC2" s="70"/>
      <c r="AD2" s="70"/>
      <c r="AE2" s="70"/>
      <c r="AF2" s="71" t="s">
        <v>122</v>
      </c>
      <c r="AG2" s="71"/>
      <c r="AH2" s="71"/>
      <c r="AI2" s="71"/>
      <c r="AJ2" s="71"/>
      <c r="AK2" s="70" t="s">
        <v>138</v>
      </c>
      <c r="AL2" s="70"/>
      <c r="AM2" s="70"/>
      <c r="AN2" s="70"/>
      <c r="AO2" s="70"/>
      <c r="AP2" s="70"/>
    </row>
    <row r="3" spans="2:42" ht="54.95" customHeight="1">
      <c r="B3" s="73" t="s">
        <v>17</v>
      </c>
      <c r="C3" s="74" t="s">
        <v>158</v>
      </c>
      <c r="D3" s="75" t="s">
        <v>1</v>
      </c>
      <c r="E3" s="76" t="s">
        <v>159</v>
      </c>
      <c r="F3" s="77" t="s">
        <v>160</v>
      </c>
      <c r="G3" s="78" t="s">
        <v>161</v>
      </c>
      <c r="H3" s="79" t="s">
        <v>53</v>
      </c>
      <c r="I3" s="79" t="s">
        <v>57</v>
      </c>
      <c r="J3" s="79" t="s">
        <v>60</v>
      </c>
      <c r="K3" s="79" t="s">
        <v>63</v>
      </c>
      <c r="L3" s="80" t="s">
        <v>67</v>
      </c>
      <c r="M3" s="80" t="s">
        <v>70</v>
      </c>
      <c r="N3" s="80" t="s">
        <v>72</v>
      </c>
      <c r="O3" s="80" t="s">
        <v>74</v>
      </c>
      <c r="P3" s="80" t="s">
        <v>76</v>
      </c>
      <c r="Q3" s="80" t="s">
        <v>78</v>
      </c>
      <c r="R3" s="80" t="s">
        <v>80</v>
      </c>
      <c r="S3" s="80" t="s">
        <v>82</v>
      </c>
      <c r="T3" s="80" t="s">
        <v>85</v>
      </c>
      <c r="U3" s="81" t="s">
        <v>89</v>
      </c>
      <c r="V3" s="81" t="s">
        <v>92</v>
      </c>
      <c r="W3" s="81" t="s">
        <v>95</v>
      </c>
      <c r="X3" s="81" t="s">
        <v>98</v>
      </c>
      <c r="Y3" s="81" t="s">
        <v>101</v>
      </c>
      <c r="Z3" s="81" t="s">
        <v>104</v>
      </c>
      <c r="AA3" s="81" t="s">
        <v>107</v>
      </c>
      <c r="AB3" s="82" t="s">
        <v>111</v>
      </c>
      <c r="AC3" s="82" t="s">
        <v>114</v>
      </c>
      <c r="AD3" s="82" t="s">
        <v>117</v>
      </c>
      <c r="AE3" s="82" t="s">
        <v>120</v>
      </c>
      <c r="AF3" s="80" t="s">
        <v>124</v>
      </c>
      <c r="AG3" s="80" t="s">
        <v>127</v>
      </c>
      <c r="AH3" s="80" t="s">
        <v>130</v>
      </c>
      <c r="AI3" s="80" t="s">
        <v>133</v>
      </c>
      <c r="AJ3" s="80" t="s">
        <v>136</v>
      </c>
      <c r="AK3" s="79" t="s">
        <v>140</v>
      </c>
      <c r="AL3" s="79" t="s">
        <v>143</v>
      </c>
      <c r="AM3" s="79" t="s">
        <v>146</v>
      </c>
      <c r="AN3" s="79" t="s">
        <v>149</v>
      </c>
      <c r="AO3" s="79" t="s">
        <v>152</v>
      </c>
      <c r="AP3" s="79" t="s">
        <v>155</v>
      </c>
    </row>
    <row r="4" spans="2:42" ht="20.100000000000001" customHeight="1">
      <c r="B4" s="83" t="s">
        <v>162</v>
      </c>
      <c r="C4" s="84" t="str">
        <f>IFERROR(VLOOKUP("Interviewee Position",'Company 1'!$B:$C,2,0),"")</f>
        <v>Chief of Staff</v>
      </c>
      <c r="D4" s="84" t="str">
        <f>IFERROR(VLOOKUP("Company Industry",'Company 1'!$B:$C,2,0),"")</f>
        <v>Specialty Retail</v>
      </c>
      <c r="E4" s="84" t="str">
        <f>IFERROR(VLOOKUP("Company Sub-Industry",'Company 1'!$B:$C,2,0),"")</f>
        <v>Specialty Retail</v>
      </c>
      <c r="F4" s="3">
        <f>IFERROR(VLOOKUP("Company Size (Turnover)",'Company 1'!$B:$C,2,0),"")</f>
        <v>160000000</v>
      </c>
      <c r="G4" s="84" t="str">
        <f>IFERROR(VLOOKUP("Country",'Company 1'!$B:$C,2,0),"")</f>
        <v>Belgium</v>
      </c>
      <c r="H4" s="85">
        <f>IFERROR(VLOOKUP("B1_INTEREST",'Company 1'!$B:$E,4,0),"")</f>
        <v>7</v>
      </c>
      <c r="I4" s="85">
        <f>IFERROR(VLOOKUP("B2_SHARING",'Company 1'!$B:$E,4,0),"")</f>
        <v>1</v>
      </c>
      <c r="J4" s="85">
        <f>IFERROR(VLOOKUP("B3_MONETIZE",'Company 1'!$B:$E,4,0),"")</f>
        <v>1</v>
      </c>
      <c r="K4" s="85">
        <f>IFERROR(VLOOKUP("B4_STRATEGIC",'Company 1'!$B:$E,4,0),"")</f>
        <v>0</v>
      </c>
      <c r="L4" s="85">
        <f>IFERROR(VLOOKUP("M1_AUTOMATED",'Company 1'!$B:$E,4,0),"")</f>
        <v>3</v>
      </c>
      <c r="M4" s="85">
        <f>IFERROR(VLOOKUP("M2_REALTIME",'Company 1'!$B:$E,4,0),"")</f>
        <v>2</v>
      </c>
      <c r="N4" s="85">
        <f>IFERROR(VLOOKUP("M3_STRATEGIC",'Company 1'!$B:$E,4,0),"")</f>
        <v>2</v>
      </c>
      <c r="O4" s="85">
        <f>IFERROR(VLOOKUP("M4_BREADTH",'Company 1'!$B:$E,4,0),"")</f>
        <v>2</v>
      </c>
      <c r="P4" s="85">
        <f>IFERROR(VLOOKUP("M5_DATATYPES",'Company 1'!$B:$E,4,0),"")</f>
        <v>2</v>
      </c>
      <c r="Q4" s="85">
        <f>IFERROR(VLOOKUP("M6_TRUST",'Company 1'!$B:$E,4,0),"")</f>
        <v>4</v>
      </c>
      <c r="R4" s="85">
        <f>IFERROR(VLOOKUP("M7_BARRIERS",'Company 1'!$B:$E,4,0),"")</f>
        <v>3</v>
      </c>
      <c r="S4" s="85">
        <f>IFERROR(VLOOKUP("M8_IMPACT",'Company 1'!$B:$E,4,0),"")</f>
        <v>0</v>
      </c>
      <c r="T4" s="85">
        <f>IFERROR(VLOOKUP("M9_WILLINGNESS",'Company 1'!$B:$E,4,0),"")</f>
        <v>6</v>
      </c>
      <c r="U4" s="85">
        <f>IFERROR(VLOOKUP("SV1_PRICING",'Company 1'!$B:$E,4,0),"")</f>
        <v>0</v>
      </c>
      <c r="V4" s="85">
        <f>IFERROR(VLOOKUP("SV2_PROMOTIONS",'Company 1'!$B:$E,4,0),"")</f>
        <v>0</v>
      </c>
      <c r="W4" s="85">
        <f>IFERROR(VLOOKUP("SV3_SUPPLYCHAIN",'Company 1'!$B:$E,4,0),"")</f>
        <v>0</v>
      </c>
      <c r="X4" s="85">
        <f>IFERROR(VLOOKUP("SV4_CATEGORY",'Company 1'!$B:$E,4,0),"")</f>
        <v>1</v>
      </c>
      <c r="Y4" s="85">
        <f>IFERROR(VLOOKUP("SV5_DEMAND",'Company 1'!$B:$E,4,0),"")</f>
        <v>0</v>
      </c>
      <c r="Z4" s="85">
        <f>IFERROR(VLOOKUP("SV6_ACCOUNT",'Company 1'!$B:$E,4,0),"")</f>
        <v>0</v>
      </c>
      <c r="AA4" s="85">
        <f>IFERROR(VLOOKUP("SV7_OPS",'Company 1'!$B:$E,4,0),"")</f>
        <v>0</v>
      </c>
      <c r="AB4" s="85">
        <f>IFERROR(VLOOKUP("SC1_DATASENS",'Company 1'!$B:$E,4,0),"")</f>
        <v>1</v>
      </c>
      <c r="AC4" s="85">
        <f>IFERROR(VLOOKUP("SC2_COMPLIANCE",'Company 1'!$B:$E,4,0),"")</f>
        <v>0</v>
      </c>
      <c r="AD4" s="85">
        <f>IFERROR(VLOOKUP("SC3_TRUST",'Company 1'!$B:$E,4,0),"")</f>
        <v>0</v>
      </c>
      <c r="AE4" s="85">
        <f>IFERROR(VLOOKUP("SC4_DATAPROC",'Company 1'!$B:$E,4,0),"")</f>
        <v>0</v>
      </c>
      <c r="AF4" s="85">
        <f>IFERROR(VLOOKUP("SF1_REALTIME",'Company 1'!$B:$E,4,0),"")</f>
        <v>0</v>
      </c>
      <c r="AG4" s="85">
        <f>IFERROR(VLOOKUP("SF2_ACCESS",'Company 1'!$B:$E,4,0),"")</f>
        <v>0</v>
      </c>
      <c r="AH4" s="85">
        <f>IFERROR(VLOOKUP("SF3_UX",'Company 1'!$B:$E,4,0),"")</f>
        <v>0</v>
      </c>
      <c r="AI4" s="85">
        <f>IFERROR(VLOOKUP("SF4_DECISION",'Company 1'!$B:$E,4,0),"")</f>
        <v>0</v>
      </c>
      <c r="AJ4" s="85">
        <f>IFERROR(VLOOKUP("SF5_MASKING",'Company 1'!$B:$E,4,0),"")</f>
        <v>1</v>
      </c>
      <c r="AK4" s="85">
        <f>IFERROR(VLOOKUP("SD1_TRENDS",'Company 1'!$B:$E,4,0),"")</f>
        <v>1</v>
      </c>
      <c r="AL4" s="85">
        <f>IFERROR(VLOOKUP("SD2_MARKET",'Company 1'!$B:$E,4,0),"")</f>
        <v>1</v>
      </c>
      <c r="AM4" s="85">
        <f>IFERROR(VLOOKUP("SD3_CATEGORY",'Company 1'!$B:$E,4,0),"")</f>
        <v>1</v>
      </c>
      <c r="AN4" s="85">
        <f>IFERROR(VLOOKUP("SD4_SHIPMENT",'Company 1'!$B:$E,4,0),"")</f>
        <v>0</v>
      </c>
      <c r="AO4" s="85">
        <f>IFERROR(VLOOKUP("SD5_LEAD",'Company 1'!$B:$E,4,0),"")</f>
        <v>0</v>
      </c>
      <c r="AP4" s="85">
        <f>IFERROR(VLOOKUP("SD6_CONJOINT",'Company 1'!$B:$E,4,0),"")</f>
        <v>0</v>
      </c>
    </row>
    <row r="5" spans="2:42" ht="20.100000000000001" customHeight="1">
      <c r="B5" s="83" t="s">
        <v>163</v>
      </c>
      <c r="C5" s="84" t="str">
        <f>IFERROR(VLOOKUP("Interviewee Position",'Company 2'!$B:$C,2,0),"")</f>
        <v>President and Managing Director Belgian Shell</v>
      </c>
      <c r="D5" s="84" t="str">
        <f>IFERROR(VLOOKUP("Company Industry",'Company 2'!$B:$C,2,0),"")</f>
        <v>Oil &amp; Gas</v>
      </c>
      <c r="E5" s="84" t="str">
        <f>IFERROR(VLOOKUP("Company Sub-Industry",'Company 2'!$B:$C,2,0),"")</f>
        <v>Specialty Retail</v>
      </c>
      <c r="F5" s="3">
        <f>IFERROR(VLOOKUP("Company Size (Turnover)",'Company 2'!$B:$C,2,0),"")</f>
        <v>2000000000</v>
      </c>
      <c r="G5" s="84" t="str">
        <f>IFERROR(VLOOKUP("Country",'Company 2'!$B:$C,2,0),"")</f>
        <v>UK</v>
      </c>
      <c r="H5" s="85">
        <f>IFERROR(VLOOKUP("B1_INTEREST",'Company 2'!$B:$E,4,0),"")</f>
        <v>2</v>
      </c>
      <c r="I5" s="85">
        <f>IFERROR(VLOOKUP("B2_SHARING",'Company 2'!$B:$E,4,0),"")</f>
        <v>1</v>
      </c>
      <c r="J5" s="85">
        <f>IFERROR(VLOOKUP("B3_MONETIZE",'Company 2'!$B:$E,4,0),"")</f>
        <v>0</v>
      </c>
      <c r="K5" s="85">
        <f>IFERROR(VLOOKUP("B4_STRATEGIC",'Company 2'!$B:$E,4,0),"")</f>
        <v>1</v>
      </c>
      <c r="L5" s="85">
        <f>IFERROR(VLOOKUP("M1_AUTOMATED",'Company 2'!$B:$E,4,0),"")</f>
        <v>0</v>
      </c>
      <c r="M5" s="85">
        <f>IFERROR(VLOOKUP("M2_REALTIME",'Company 2'!$B:$E,4,0),"")</f>
        <v>0</v>
      </c>
      <c r="N5" s="85">
        <f>IFERROR(VLOOKUP("M3_STRATEGIC",'Company 2'!$B:$E,4,0),"")</f>
        <v>1</v>
      </c>
      <c r="O5" s="85">
        <f>IFERROR(VLOOKUP("M4_BREADTH",'Company 2'!$B:$E,4,0),"")</f>
        <v>1</v>
      </c>
      <c r="P5" s="85">
        <f>IFERROR(VLOOKUP("M5_DATATYPES",'Company 2'!$B:$E,4,0),"")</f>
        <v>1</v>
      </c>
      <c r="Q5" s="85">
        <f>IFERROR(VLOOKUP("M6_TRUST",'Company 2'!$B:$E,4,0),"")</f>
        <v>0</v>
      </c>
      <c r="R5" s="85">
        <f>IFERROR(VLOOKUP("M7_BARRIERS",'Company 2'!$B:$E,4,0),"")</f>
        <v>5</v>
      </c>
      <c r="S5" s="85">
        <f>IFERROR(VLOOKUP("M8_IMPACT",'Company 2'!$B:$E,4,0),"")</f>
        <v>0</v>
      </c>
      <c r="T5" s="85">
        <f>IFERROR(VLOOKUP("M9_WILLINGNESS",'Company 2'!$B:$E,4,0),"")</f>
        <v>2</v>
      </c>
      <c r="U5" s="85">
        <f>IFERROR(VLOOKUP("SV1_PRICING",'Company 2'!$B:$E,4,0),"")</f>
        <v>0</v>
      </c>
      <c r="V5" s="85">
        <f>IFERROR(VLOOKUP("SV2_PROMOTIONS",'Company 2'!$B:$E,4,0),"")</f>
        <v>0</v>
      </c>
      <c r="W5" s="85">
        <f>IFERROR(VLOOKUP("SV3_SUPPLYCHAIN",'Company 2'!$B:$E,4,0),"")</f>
        <v>1</v>
      </c>
      <c r="X5" s="85">
        <f>IFERROR(VLOOKUP("SV4_CATEGORY",'Company 2'!$B:$E,4,0),"")</f>
        <v>0</v>
      </c>
      <c r="Y5" s="85">
        <f>IFERROR(VLOOKUP("SV5_DEMAND",'Company 2'!$B:$E,4,0),"")</f>
        <v>0</v>
      </c>
      <c r="Z5" s="85">
        <f>IFERROR(VLOOKUP("SV6_ACCOUNT",'Company 2'!$B:$E,4,0),"")</f>
        <v>0</v>
      </c>
      <c r="AA5" s="85">
        <f>IFERROR(VLOOKUP("SV7_OPS",'Company 2'!$B:$E,4,0),"")</f>
        <v>0</v>
      </c>
      <c r="AB5" s="85">
        <f>IFERROR(VLOOKUP("SC1_DATASENS",'Company 2'!$B:$E,4,0),"")</f>
        <v>1</v>
      </c>
      <c r="AC5" s="85">
        <f>IFERROR(VLOOKUP("SC2_COMPLIANCE",'Company 2'!$B:$E,4,0),"")</f>
        <v>1</v>
      </c>
      <c r="AD5" s="85">
        <f>IFERROR(VLOOKUP("SC3_TRUST",'Company 2'!$B:$E,4,0),"")</f>
        <v>0</v>
      </c>
      <c r="AE5" s="85">
        <f>IFERROR(VLOOKUP("SC4_DATAPROC",'Company 2'!$B:$E,4,0),"")</f>
        <v>1</v>
      </c>
      <c r="AF5" s="85">
        <f>IFERROR(VLOOKUP("SF1_REALTIME",'Company 2'!$B:$E,4,0),"")</f>
        <v>0</v>
      </c>
      <c r="AG5" s="85">
        <f>IFERROR(VLOOKUP("SF2_ACCESS",'Company 2'!$B:$E,4,0),"")</f>
        <v>0</v>
      </c>
      <c r="AH5" s="85">
        <f>IFERROR(VLOOKUP("SF3_UX",'Company 2'!$B:$E,4,0),"")</f>
        <v>0</v>
      </c>
      <c r="AI5" s="85">
        <f>IFERROR(VLOOKUP("SF4_DECISION",'Company 2'!$B:$E,4,0),"")</f>
        <v>0</v>
      </c>
      <c r="AJ5" s="85">
        <f>IFERROR(VLOOKUP("SF5_MASKING",'Company 2'!$B:$E,4,0),"")</f>
        <v>1</v>
      </c>
      <c r="AK5" s="85">
        <f>IFERROR(VLOOKUP("SD1_TRENDS",'Company 2'!$B:$E,4,0),"")</f>
        <v>0</v>
      </c>
      <c r="AL5" s="85">
        <f>IFERROR(VLOOKUP("SD2_MARKET",'Company 2'!$B:$E,4,0),"")</f>
        <v>1</v>
      </c>
      <c r="AM5" s="85">
        <f>IFERROR(VLOOKUP("SD3_CATEGORY",'Company 2'!$B:$E,4,0),"")</f>
        <v>0</v>
      </c>
      <c r="AN5" s="85">
        <f>IFERROR(VLOOKUP("SD4_SHIPMENT",'Company 2'!$B:$E,4,0),"")</f>
        <v>0</v>
      </c>
      <c r="AO5" s="85">
        <f>IFERROR(VLOOKUP("SD5_LEAD",'Company 2'!$B:$E,4,0),"")</f>
        <v>0</v>
      </c>
      <c r="AP5" s="85">
        <f>IFERROR(VLOOKUP("SD6_CONJOINT",'Company 2'!$B:$E,4,0),"")</f>
        <v>0</v>
      </c>
    </row>
    <row r="6" spans="2:42" ht="20.100000000000001" customHeight="1">
      <c r="B6" s="83" t="s">
        <v>164</v>
      </c>
      <c r="C6" s="84" t="str">
        <f>IFERROR(VLOOKUP("Interviewee Position",'Company 3'!$B:$C,2,0),"")</f>
        <v>Business Development / Media Services Manager</v>
      </c>
      <c r="D6" s="84" t="str">
        <f>IFERROR(VLOOKUP("Company Industry",'Company 3'!$B:$C,2,0),"")</f>
        <v>B2B Food Service Distribution</v>
      </c>
      <c r="E6" s="84" t="str">
        <f>IFERROR(VLOOKUP("Company Sub-Industry",'Company 3'!$B:$C,2,0),"")</f>
        <v>Wholesaler</v>
      </c>
      <c r="F6" s="3">
        <f>IFERROR(VLOOKUP("Company Size (Turnover)",'Company 3'!$B:$C,2,0),"")</f>
        <v>332000000</v>
      </c>
      <c r="G6" s="84" t="str">
        <f>IFERROR(VLOOKUP("Country",'Company 3'!$B:$C,2,0),"")</f>
        <v>Belgium</v>
      </c>
      <c r="H6" s="85">
        <f>IFERROR(VLOOKUP("B1_INTEREST",'Company 3'!$B:$E,4,0),"")</f>
        <v>7</v>
      </c>
      <c r="I6" s="85">
        <f>IFERROR(VLOOKUP("B2_SHARING",'Company 3'!$B:$E,4,0),"")</f>
        <v>1</v>
      </c>
      <c r="J6" s="85">
        <f>IFERROR(VLOOKUP("B3_MONETIZE",'Company 3'!$B:$E,4,0),"")</f>
        <v>1</v>
      </c>
      <c r="K6" s="85">
        <f>IFERROR(VLOOKUP("B4_STRATEGIC",'Company 3'!$B:$E,4,0),"")</f>
        <v>1</v>
      </c>
      <c r="L6" s="85">
        <f>IFERROR(VLOOKUP("M1_AUTOMATED",'Company 3'!$B:$E,4,0),"")</f>
        <v>4</v>
      </c>
      <c r="M6" s="85">
        <f>IFERROR(VLOOKUP("M2_REALTIME",'Company 3'!$B:$E,4,0),"")</f>
        <v>4</v>
      </c>
      <c r="N6" s="85">
        <f>IFERROR(VLOOKUP("M3_STRATEGIC",'Company 3'!$B:$E,4,0),"")</f>
        <v>4</v>
      </c>
      <c r="O6" s="85">
        <f>IFERROR(VLOOKUP("M4_BREADTH",'Company 3'!$B:$E,4,0),"")</f>
        <v>5</v>
      </c>
      <c r="P6" s="85">
        <f>IFERROR(VLOOKUP("M5_DATATYPES",'Company 3'!$B:$E,4,0),"")</f>
        <v>4</v>
      </c>
      <c r="Q6" s="85">
        <f>IFERROR(VLOOKUP("M6_TRUST",'Company 3'!$B:$E,4,0),"")</f>
        <v>3</v>
      </c>
      <c r="R6" s="85">
        <f>IFERROR(VLOOKUP("M7_BARRIERS",'Company 3'!$B:$E,4,0),"")</f>
        <v>4</v>
      </c>
      <c r="S6" s="85">
        <f>IFERROR(VLOOKUP("M8_IMPACT",'Company 3'!$B:$E,4,0),"")</f>
        <v>3</v>
      </c>
      <c r="T6" s="85">
        <f>IFERROR(VLOOKUP("M9_WILLINGNESS",'Company 3'!$B:$E,4,0),"")</f>
        <v>8</v>
      </c>
      <c r="U6" s="85">
        <f>IFERROR(VLOOKUP("SV1_PRICING",'Company 3'!$B:$E,4,0),"")</f>
        <v>1</v>
      </c>
      <c r="V6" s="85">
        <f>IFERROR(VLOOKUP("SV2_PROMOTIONS",'Company 3'!$B:$E,4,0),"")</f>
        <v>1</v>
      </c>
      <c r="W6" s="85">
        <f>IFERROR(VLOOKUP("SV3_SUPPLYCHAIN",'Company 3'!$B:$E,4,0),"")</f>
        <v>0</v>
      </c>
      <c r="X6" s="85">
        <f>IFERROR(VLOOKUP("SV4_CATEGORY",'Company 3'!$B:$E,4,0),"")</f>
        <v>1</v>
      </c>
      <c r="Y6" s="85">
        <f>IFERROR(VLOOKUP("SV5_DEMAND",'Company 3'!$B:$E,4,0),"")</f>
        <v>0</v>
      </c>
      <c r="Z6" s="85">
        <f>IFERROR(VLOOKUP("SV6_ACCOUNT",'Company 3'!$B:$E,4,0),"")</f>
        <v>0</v>
      </c>
      <c r="AA6" s="85">
        <f>IFERROR(VLOOKUP("SV7_OPS",'Company 3'!$B:$E,4,0),"")</f>
        <v>0</v>
      </c>
      <c r="AB6" s="85">
        <f>IFERROR(VLOOKUP("SC1_DATASENS",'Company 3'!$B:$E,4,0),"")</f>
        <v>1</v>
      </c>
      <c r="AC6" s="85">
        <f>IFERROR(VLOOKUP("SC2_COMPLIANCE",'Company 3'!$B:$E,4,0),"")</f>
        <v>1</v>
      </c>
      <c r="AD6" s="85">
        <f>IFERROR(VLOOKUP("SC3_TRUST",'Company 3'!$B:$E,4,0),"")</f>
        <v>1</v>
      </c>
      <c r="AE6" s="85">
        <f>IFERROR(VLOOKUP("SC4_DATAPROC",'Company 3'!$B:$E,4,0),"")</f>
        <v>1</v>
      </c>
      <c r="AF6" s="85">
        <f>IFERROR(VLOOKUP("SF1_REALTIME",'Company 3'!$B:$E,4,0),"")</f>
        <v>1</v>
      </c>
      <c r="AG6" s="85">
        <f>IFERROR(VLOOKUP("SF2_ACCESS",'Company 3'!$B:$E,4,0),"")</f>
        <v>1</v>
      </c>
      <c r="AH6" s="85">
        <f>IFERROR(VLOOKUP("SF3_UX",'Company 3'!$B:$E,4,0),"")</f>
        <v>0</v>
      </c>
      <c r="AI6" s="85">
        <f>IFERROR(VLOOKUP("SF4_DECISION",'Company 3'!$B:$E,4,0),"")</f>
        <v>1</v>
      </c>
      <c r="AJ6" s="85">
        <f>IFERROR(VLOOKUP("SF5_MASKING",'Company 3'!$B:$E,4,0),"")</f>
        <v>0</v>
      </c>
      <c r="AK6" s="85">
        <f>IFERROR(VLOOKUP("SD1_TRENDS",'Company 3'!$B:$E,4,0),"")</f>
        <v>0</v>
      </c>
      <c r="AL6" s="85">
        <f>IFERROR(VLOOKUP("SD2_MARKET",'Company 3'!$B:$E,4,0),"")</f>
        <v>0</v>
      </c>
      <c r="AM6" s="85">
        <f>IFERROR(VLOOKUP("SD3_CATEGORY",'Company 3'!$B:$E,4,0),"")</f>
        <v>1</v>
      </c>
      <c r="AN6" s="85">
        <f>IFERROR(VLOOKUP("SD4_SHIPMENT",'Company 3'!$B:$E,4,0),"")</f>
        <v>0</v>
      </c>
      <c r="AO6" s="85">
        <f>IFERROR(VLOOKUP("SD5_LEAD",'Company 3'!$B:$E,4,0),"")</f>
        <v>0</v>
      </c>
      <c r="AP6" s="85">
        <f>IFERROR(VLOOKUP("SD6_CONJOINT",'Company 3'!$B:$E,4,0),"")</f>
        <v>0</v>
      </c>
    </row>
    <row r="7" spans="2:42" ht="20.100000000000001" customHeight="1">
      <c r="B7" s="83" t="s">
        <v>165</v>
      </c>
      <c r="C7" s="84" t="str">
        <f>IFERROR(VLOOKUP("Interviewee Position",'Company 4'!$B:$C,2,0),"")</f>
        <v>Data/Analytics role (formerly Department Head of Logistics)</v>
      </c>
      <c r="D7" s="84" t="str">
        <f>IFERROR(VLOOKUP("Company Industry",'Company 4'!$B:$C,2,0),"")</f>
        <v>Food Service</v>
      </c>
      <c r="E7" s="84" t="str">
        <f>IFERROR(VLOOKUP("Company Sub-Industry",'Company 4'!$B:$C,2,0),"")</f>
        <v>Wholesaler</v>
      </c>
      <c r="F7" s="3">
        <f>IFERROR(VLOOKUP("Company Size (Turnover)",'Company 4'!$B:$C,2,0),"")</f>
        <v>332000000</v>
      </c>
      <c r="G7" s="84" t="str">
        <f>IFERROR(VLOOKUP("Country",'Company 4'!$B:$C,2,0),"")</f>
        <v>Belgium</v>
      </c>
      <c r="H7" s="85">
        <f>IFERROR(VLOOKUP("B1_INTEREST",'Company 4'!$B:$E,4,0),"")</f>
        <v>7.5</v>
      </c>
      <c r="I7" s="85">
        <f>IFERROR(VLOOKUP("B2_SHARING",'Company 4'!$B:$E,4,0),"")</f>
        <v>1</v>
      </c>
      <c r="J7" s="85">
        <f>IFERROR(VLOOKUP("B3_MONETIZE",'Company 4'!$B:$E,4,0),"")</f>
        <v>0</v>
      </c>
      <c r="K7" s="85">
        <f>IFERROR(VLOOKUP("B4_STRATEGIC",'Company 4'!$B:$E,4,0),"")</f>
        <v>1</v>
      </c>
      <c r="L7" s="85">
        <f>IFERROR(VLOOKUP("M1_AUTOMATED",'Company 4'!$B:$E,4,0),"")</f>
        <v>3</v>
      </c>
      <c r="M7" s="85">
        <f>IFERROR(VLOOKUP("M2_REALTIME",'Company 4'!$B:$E,4,0),"")</f>
        <v>2</v>
      </c>
      <c r="N7" s="85">
        <f>IFERROR(VLOOKUP("M3_STRATEGIC",'Company 4'!$B:$E,4,0),"")</f>
        <v>4</v>
      </c>
      <c r="O7" s="85">
        <f>IFERROR(VLOOKUP("M4_BREADTH",'Company 4'!$B:$E,4,0),"")</f>
        <v>2</v>
      </c>
      <c r="P7" s="85">
        <f>IFERROR(VLOOKUP("M5_DATATYPES",'Company 4'!$B:$E,4,0),"")</f>
        <v>3</v>
      </c>
      <c r="Q7" s="85">
        <f>IFERROR(VLOOKUP("M6_TRUST",'Company 4'!$B:$E,4,0),"")</f>
        <v>2</v>
      </c>
      <c r="R7" s="85">
        <f>IFERROR(VLOOKUP("M7_BARRIERS",'Company 4'!$B:$E,4,0),"")</f>
        <v>3</v>
      </c>
      <c r="S7" s="85">
        <f>IFERROR(VLOOKUP("M8_IMPACT",'Company 4'!$B:$E,4,0),"")</f>
        <v>0</v>
      </c>
      <c r="T7" s="85">
        <f>IFERROR(VLOOKUP("M9_WILLINGNESS",'Company 4'!$B:$E,4,0),"")</f>
        <v>8</v>
      </c>
      <c r="U7" s="85">
        <f>IFERROR(VLOOKUP("SV1_PRICING",'Company 4'!$B:$E,4,0),"")</f>
        <v>1</v>
      </c>
      <c r="V7" s="85">
        <f>IFERROR(VLOOKUP("SV2_PROMOTIONS",'Company 4'!$B:$E,4,0),"")</f>
        <v>1</v>
      </c>
      <c r="W7" s="85">
        <f>IFERROR(VLOOKUP("SV3_SUPPLYCHAIN",'Company 4'!$B:$E,4,0),"")</f>
        <v>1</v>
      </c>
      <c r="X7" s="85">
        <f>IFERROR(VLOOKUP("SV4_CATEGORY",'Company 4'!$B:$E,4,0),"")</f>
        <v>1</v>
      </c>
      <c r="Y7" s="85">
        <f>IFERROR(VLOOKUP("SV5_DEMAND",'Company 4'!$B:$E,4,0),"")</f>
        <v>0</v>
      </c>
      <c r="Z7" s="85">
        <f>IFERROR(VLOOKUP("SV6_ACCOUNT",'Company 4'!$B:$E,4,0),"")</f>
        <v>1</v>
      </c>
      <c r="AA7" s="85">
        <f>IFERROR(VLOOKUP("SV7_OPS",'Company 4'!$B:$E,4,0),"")</f>
        <v>1</v>
      </c>
      <c r="AB7" s="85">
        <f>IFERROR(VLOOKUP("SC1_DATASENS",'Company 4'!$B:$E,4,0),"")</f>
        <v>1</v>
      </c>
      <c r="AC7" s="85">
        <f>IFERROR(VLOOKUP("SC2_COMPLIANCE",'Company 4'!$B:$E,4,0),"")</f>
        <v>1</v>
      </c>
      <c r="AD7" s="85">
        <f>IFERROR(VLOOKUP("SC3_TRUST",'Company 4'!$B:$E,4,0),"")</f>
        <v>1</v>
      </c>
      <c r="AE7" s="85">
        <f>IFERROR(VLOOKUP("SC4_DATAPROC",'Company 4'!$B:$E,4,0),"")</f>
        <v>1</v>
      </c>
      <c r="AF7" s="85">
        <f>IFERROR(VLOOKUP("SF1_REALTIME",'Company 4'!$B:$E,4,0),"")</f>
        <v>0</v>
      </c>
      <c r="AG7" s="85">
        <f>IFERROR(VLOOKUP("SF2_ACCESS",'Company 4'!$B:$E,4,0),"")</f>
        <v>0</v>
      </c>
      <c r="AH7" s="85">
        <f>IFERROR(VLOOKUP("SF3_UX",'Company 4'!$B:$E,4,0),"")</f>
        <v>1</v>
      </c>
      <c r="AI7" s="85">
        <f>IFERROR(VLOOKUP("SF4_DECISION",'Company 4'!$B:$E,4,0),"")</f>
        <v>0</v>
      </c>
      <c r="AJ7" s="85">
        <f>IFERROR(VLOOKUP("SF5_MASKING",'Company 4'!$B:$E,4,0),"")</f>
        <v>0</v>
      </c>
      <c r="AK7" s="85">
        <f>IFERROR(VLOOKUP("SD1_TRENDS",'Company 4'!$B:$E,4,0),"")</f>
        <v>0</v>
      </c>
      <c r="AL7" s="85">
        <f>IFERROR(VLOOKUP("SD2_MARKET",'Company 4'!$B:$E,4,0),"")</f>
        <v>1</v>
      </c>
      <c r="AM7" s="85">
        <f>IFERROR(VLOOKUP("SD3_CATEGORY",'Company 4'!$B:$E,4,0),"")</f>
        <v>1</v>
      </c>
      <c r="AN7" s="85">
        <f>IFERROR(VLOOKUP("SD4_SHIPMENT",'Company 4'!$B:$E,4,0),"")</f>
        <v>1</v>
      </c>
      <c r="AO7" s="85">
        <f>IFERROR(VLOOKUP("SD5_LEAD",'Company 4'!$B:$E,4,0),"")</f>
        <v>1</v>
      </c>
      <c r="AP7" s="85">
        <f>IFERROR(VLOOKUP("SD6_CONJOINT",'Company 4'!$B:$E,4,0),"")</f>
        <v>0</v>
      </c>
    </row>
    <row r="8" spans="2:42" ht="20.100000000000001" customHeight="1">
      <c r="B8" s="83" t="s">
        <v>166</v>
      </c>
      <c r="C8" s="84" t="str">
        <f>IFERROR(VLOOKUP("Interviewee Position",'Company 5'!$B:$C,2,0),"")</f>
        <v>Supply Chain Director</v>
      </c>
      <c r="D8" s="84" t="str">
        <f>IFERROR(VLOOKUP("Company Industry",'Company 5'!$B:$C,2,0),"")</f>
        <v>Food Manufacturing</v>
      </c>
      <c r="E8" s="84" t="str">
        <f>IFERROR(VLOOKUP("Company Sub-Industry",'Company 5'!$B:$C,2,0),"")</f>
        <v>Manufacturer</v>
      </c>
      <c r="F8" s="3">
        <f>IFERROR(VLOOKUP("Company Size (Turnover)",'Company 5'!$B:$C,2,0),"")</f>
        <v>134000000</v>
      </c>
      <c r="G8" s="84" t="str">
        <f>IFERROR(VLOOKUP("Country",'Company 5'!$B:$C,2,0),"")</f>
        <v>Belgium</v>
      </c>
      <c r="H8" s="85">
        <f>IFERROR(VLOOKUP("B1_INTEREST",'Company 5'!$B:$E,4,0),"")</f>
        <v>10</v>
      </c>
      <c r="I8" s="85">
        <f>IFERROR(VLOOKUP("B2_SHARING",'Company 5'!$B:$E,4,0),"")</f>
        <v>1</v>
      </c>
      <c r="J8" s="85">
        <f>IFERROR(VLOOKUP("B3_MONETIZE",'Company 5'!$B:$E,4,0),"")</f>
        <v>0</v>
      </c>
      <c r="K8" s="85">
        <f>IFERROR(VLOOKUP("B4_STRATEGIC",'Company 5'!$B:$E,4,0),"")</f>
        <v>1</v>
      </c>
      <c r="L8" s="85">
        <f>IFERROR(VLOOKUP("M1_AUTOMATED",'Company 5'!$B:$E,4,0),"")</f>
        <v>2</v>
      </c>
      <c r="M8" s="85">
        <f>IFERROR(VLOOKUP("M2_REALTIME",'Company 5'!$B:$E,4,0),"")</f>
        <v>2</v>
      </c>
      <c r="N8" s="85">
        <f>IFERROR(VLOOKUP("M3_STRATEGIC",'Company 5'!$B:$E,4,0),"")</f>
        <v>2</v>
      </c>
      <c r="O8" s="85">
        <f>IFERROR(VLOOKUP("M4_BREADTH",'Company 5'!$B:$E,4,0),"")</f>
        <v>4</v>
      </c>
      <c r="P8" s="85">
        <f>IFERROR(VLOOKUP("M5_DATATYPES",'Company 5'!$B:$E,4,0),"")</f>
        <v>2</v>
      </c>
      <c r="Q8" s="85">
        <f>IFERROR(VLOOKUP("M6_TRUST",'Company 5'!$B:$E,4,0),"")</f>
        <v>2</v>
      </c>
      <c r="R8" s="85">
        <f>IFERROR(VLOOKUP("M7_BARRIERS",'Company 5'!$B:$E,4,0),"")</f>
        <v>4</v>
      </c>
      <c r="S8" s="85">
        <f>IFERROR(VLOOKUP("M8_IMPACT",'Company 5'!$B:$E,4,0),"")</f>
        <v>2</v>
      </c>
      <c r="T8" s="85">
        <f>IFERROR(VLOOKUP("M9_WILLINGNESS",'Company 5'!$B:$E,4,0),"")</f>
        <v>10</v>
      </c>
      <c r="U8" s="85">
        <f>IFERROR(VLOOKUP("SV1_PRICING",'Company 5'!$B:$E,4,0),"")</f>
        <v>1</v>
      </c>
      <c r="V8" s="85">
        <f>IFERROR(VLOOKUP("SV2_PROMOTIONS",'Company 5'!$B:$E,4,0),"")</f>
        <v>1</v>
      </c>
      <c r="W8" s="85">
        <f>IFERROR(VLOOKUP("SV3_SUPPLYCHAIN",'Company 5'!$B:$E,4,0),"")</f>
        <v>1</v>
      </c>
      <c r="X8" s="85">
        <f>IFERROR(VLOOKUP("SV4_CATEGORY",'Company 5'!$B:$E,4,0),"")</f>
        <v>0</v>
      </c>
      <c r="Y8" s="85">
        <f>IFERROR(VLOOKUP("SV5_DEMAND",'Company 5'!$B:$E,4,0),"")</f>
        <v>1</v>
      </c>
      <c r="Z8" s="85">
        <f>IFERROR(VLOOKUP("SV6_ACCOUNT",'Company 5'!$B:$E,4,0),"")</f>
        <v>1</v>
      </c>
      <c r="AA8" s="85">
        <f>IFERROR(VLOOKUP("SV7_OPS",'Company 5'!$B:$E,4,0),"")</f>
        <v>1</v>
      </c>
      <c r="AB8" s="85">
        <f>IFERROR(VLOOKUP("SC1_DATASENS",'Company 5'!$B:$E,4,0),"")</f>
        <v>1</v>
      </c>
      <c r="AC8" s="85">
        <f>IFERROR(VLOOKUP("SC2_COMPLIANCE",'Company 5'!$B:$E,4,0),"")</f>
        <v>0</v>
      </c>
      <c r="AD8" s="85">
        <f>IFERROR(VLOOKUP("SC3_TRUST",'Company 5'!$B:$E,4,0),"")</f>
        <v>1</v>
      </c>
      <c r="AE8" s="85">
        <f>IFERROR(VLOOKUP("SC4_DATAPROC",'Company 5'!$B:$E,4,0),"")</f>
        <v>1</v>
      </c>
      <c r="AF8" s="85">
        <f>IFERROR(VLOOKUP("SF1_REALTIME",'Company 5'!$B:$E,4,0),"")</f>
        <v>1</v>
      </c>
      <c r="AG8" s="85">
        <f>IFERROR(VLOOKUP("SF2_ACCESS",'Company 5'!$B:$E,4,0),"")</f>
        <v>0</v>
      </c>
      <c r="AH8" s="85">
        <f>IFERROR(VLOOKUP("SF3_UX",'Company 5'!$B:$E,4,0),"")</f>
        <v>1</v>
      </c>
      <c r="AI8" s="85">
        <f>IFERROR(VLOOKUP("SF4_DECISION",'Company 5'!$B:$E,4,0),"")</f>
        <v>1</v>
      </c>
      <c r="AJ8" s="85">
        <f>IFERROR(VLOOKUP("SF5_MASKING",'Company 5'!$B:$E,4,0),"")</f>
        <v>0</v>
      </c>
      <c r="AK8" s="85">
        <f>IFERROR(VLOOKUP("SD1_TRENDS",'Company 5'!$B:$E,4,0),"")</f>
        <v>0</v>
      </c>
      <c r="AL8" s="85">
        <f>IFERROR(VLOOKUP("SD2_MARKET",'Company 5'!$B:$E,4,0),"")</f>
        <v>0</v>
      </c>
      <c r="AM8" s="85">
        <f>IFERROR(VLOOKUP("SD3_CATEGORY",'Company 5'!$B:$E,4,0),"")</f>
        <v>0</v>
      </c>
      <c r="AN8" s="85">
        <f>IFERROR(VLOOKUP("SD4_SHIPMENT",'Company 5'!$B:$E,4,0),"")</f>
        <v>1</v>
      </c>
      <c r="AO8" s="85">
        <f>IFERROR(VLOOKUP("SD5_LEAD",'Company 5'!$B:$E,4,0),"")</f>
        <v>1</v>
      </c>
      <c r="AP8" s="85">
        <f>IFERROR(VLOOKUP("SD6_CONJOINT",'Company 5'!$B:$E,4,0),"")</f>
        <v>0</v>
      </c>
    </row>
    <row r="9" spans="2:42" ht="20.100000000000001" customHeight="1">
      <c r="B9" s="83" t="s">
        <v>167</v>
      </c>
      <c r="C9" s="84" t="str">
        <f>IFERROR(VLOOKUP("Interviewee Position",'Company 6'!$B:$C,2,0),"")</f>
        <v>Sales Director</v>
      </c>
      <c r="D9" s="84" t="str">
        <f>IFERROR(VLOOKUP("Company Industry",'Company 6'!$B:$C,2,0),"")</f>
        <v>FMCG</v>
      </c>
      <c r="E9" s="84" t="str">
        <f>IFERROR(VLOOKUP("Company Sub-Industry",'Company 6'!$B:$C,2,0),"")</f>
        <v>Manufacturer</v>
      </c>
      <c r="F9" s="3">
        <f>IFERROR(VLOOKUP("Company Size (Turnover)",'Company 6'!$B:$C,2,0),"")</f>
        <v>380000000</v>
      </c>
      <c r="G9" s="84" t="str">
        <f>IFERROR(VLOOKUP("Country",'Company 6'!$B:$C,2,0),"")</f>
        <v>Belgium</v>
      </c>
      <c r="H9" s="85">
        <f>IFERROR(VLOOKUP("B1_INTEREST",'Company 6'!$B:$E,4,0),"")</f>
        <v>8</v>
      </c>
      <c r="I9" s="85">
        <f>IFERROR(VLOOKUP("B2_SHARING",'Company 6'!$B:$E,4,0),"")</f>
        <v>1</v>
      </c>
      <c r="J9" s="85">
        <f>IFERROR(VLOOKUP("B3_MONETIZE",'Company 6'!$B:$E,4,0),"")</f>
        <v>0</v>
      </c>
      <c r="K9" s="85">
        <f>IFERROR(VLOOKUP("B4_STRATEGIC",'Company 6'!$B:$E,4,0),"")</f>
        <v>1</v>
      </c>
      <c r="L9" s="85">
        <f>IFERROR(VLOOKUP("M1_AUTOMATED",'Company 6'!$B:$E,4,0),"")</f>
        <v>5</v>
      </c>
      <c r="M9" s="85">
        <f>IFERROR(VLOOKUP("M2_REALTIME",'Company 6'!$B:$E,4,0),"")</f>
        <v>4</v>
      </c>
      <c r="N9" s="85">
        <f>IFERROR(VLOOKUP("M3_STRATEGIC",'Company 6'!$B:$E,4,0),"")</f>
        <v>4</v>
      </c>
      <c r="O9" s="85">
        <f>IFERROR(VLOOKUP("M4_BREADTH",'Company 6'!$B:$E,4,0),"")</f>
        <v>3</v>
      </c>
      <c r="P9" s="85">
        <f>IFERROR(VLOOKUP("M5_DATATYPES",'Company 6'!$B:$E,4,0),"")</f>
        <v>5</v>
      </c>
      <c r="Q9" s="85">
        <f>IFERROR(VLOOKUP("M6_TRUST",'Company 6'!$B:$E,4,0),"")</f>
        <v>2</v>
      </c>
      <c r="R9" s="85">
        <f>IFERROR(VLOOKUP("M7_BARRIERS",'Company 6'!$B:$E,4,0),"")</f>
        <v>5</v>
      </c>
      <c r="S9" s="85">
        <f>IFERROR(VLOOKUP("M8_IMPACT",'Company 6'!$B:$E,4,0),"")</f>
        <v>5</v>
      </c>
      <c r="T9" s="85">
        <f>IFERROR(VLOOKUP("M9_WILLINGNESS",'Company 6'!$B:$E,4,0),"")</f>
        <v>6</v>
      </c>
      <c r="U9" s="85">
        <f>IFERROR(VLOOKUP("SV1_PRICING",'Company 6'!$B:$E,4,0),"")</f>
        <v>1</v>
      </c>
      <c r="V9" s="85">
        <f>IFERROR(VLOOKUP("SV2_PROMOTIONS",'Company 6'!$B:$E,4,0),"")</f>
        <v>1</v>
      </c>
      <c r="W9" s="85">
        <f>IFERROR(VLOOKUP("SV3_SUPPLYCHAIN",'Company 6'!$B:$E,4,0),"")</f>
        <v>1</v>
      </c>
      <c r="X9" s="85">
        <f>IFERROR(VLOOKUP("SV4_CATEGORY",'Company 6'!$B:$E,4,0),"")</f>
        <v>1</v>
      </c>
      <c r="Y9" s="85">
        <f>IFERROR(VLOOKUP("SV5_DEMAND",'Company 6'!$B:$E,4,0),"")</f>
        <v>1</v>
      </c>
      <c r="Z9" s="85">
        <f>IFERROR(VLOOKUP("SV6_ACCOUNT",'Company 6'!$B:$E,4,0),"")</f>
        <v>1</v>
      </c>
      <c r="AA9" s="85">
        <f>IFERROR(VLOOKUP("SV7_OPS",'Company 6'!$B:$E,4,0),"")</f>
        <v>1</v>
      </c>
      <c r="AB9" s="85">
        <f>IFERROR(VLOOKUP("SC1_DATASENS",'Company 6'!$B:$E,4,0),"")</f>
        <v>1</v>
      </c>
      <c r="AC9" s="85">
        <f>IFERROR(VLOOKUP("SC2_COMPLIANCE",'Company 6'!$B:$E,4,0),"")</f>
        <v>1</v>
      </c>
      <c r="AD9" s="85">
        <f>IFERROR(VLOOKUP("SC3_TRUST",'Company 6'!$B:$E,4,0),"")</f>
        <v>1</v>
      </c>
      <c r="AE9" s="85">
        <f>IFERROR(VLOOKUP("SC4_DATAPROC",'Company 6'!$B:$E,4,0),"")</f>
        <v>1</v>
      </c>
      <c r="AF9" s="85">
        <f>IFERROR(VLOOKUP("SF1_REALTIME",'Company 6'!$B:$E,4,0),"")</f>
        <v>1</v>
      </c>
      <c r="AG9" s="85">
        <f>IFERROR(VLOOKUP("SF2_ACCESS",'Company 6'!$B:$E,4,0),"")</f>
        <v>1</v>
      </c>
      <c r="AH9" s="85">
        <f>IFERROR(VLOOKUP("SF3_UX",'Company 6'!$B:$E,4,0),"")</f>
        <v>0</v>
      </c>
      <c r="AI9" s="85">
        <f>IFERROR(VLOOKUP("SF4_DECISION",'Company 6'!$B:$E,4,0),"")</f>
        <v>1</v>
      </c>
      <c r="AJ9" s="85">
        <f>IFERROR(VLOOKUP("SF5_MASKING",'Company 6'!$B:$E,4,0),"")</f>
        <v>0</v>
      </c>
      <c r="AK9" s="85">
        <f>IFERROR(VLOOKUP("SD1_TRENDS",'Company 6'!$B:$E,4,0),"")</f>
        <v>1</v>
      </c>
      <c r="AL9" s="85">
        <f>IFERROR(VLOOKUP("SD2_MARKET",'Company 6'!$B:$E,4,0),"")</f>
        <v>1</v>
      </c>
      <c r="AM9" s="85">
        <f>IFERROR(VLOOKUP("SD3_CATEGORY",'Company 6'!$B:$E,4,0),"")</f>
        <v>1</v>
      </c>
      <c r="AN9" s="85">
        <f>IFERROR(VLOOKUP("SD4_SHIPMENT",'Company 6'!$B:$E,4,0),"")</f>
        <v>1</v>
      </c>
      <c r="AO9" s="85">
        <f>IFERROR(VLOOKUP("SD5_LEAD",'Company 6'!$B:$E,4,0),"")</f>
        <v>0</v>
      </c>
      <c r="AP9" s="85">
        <f>IFERROR(VLOOKUP("SD6_CONJOINT",'Company 6'!$B:$E,4,0),"")</f>
        <v>0</v>
      </c>
    </row>
    <row r="10" spans="2:42" ht="20.100000000000001" customHeight="1">
      <c r="B10" s="83" t="s">
        <v>168</v>
      </c>
      <c r="C10" s="84" t="str">
        <f>IFERROR(VLOOKUP("Interviewee Position",'Company 7'!$B:$C,2,0),"")</f>
        <v>CEO</v>
      </c>
      <c r="D10" s="84" t="str">
        <f>IFERROR(VLOOKUP("Company Industry",'Company 7'!$B:$C,2,0),"")</f>
        <v>Food Service / Wholesale Distribution</v>
      </c>
      <c r="E10" s="84" t="str">
        <f>IFERROR(VLOOKUP("Company Sub-Industry",'Company 7'!$B:$C,2,0),"")</f>
        <v>Wholesaler</v>
      </c>
      <c r="F10" s="3">
        <f>IFERROR(VLOOKUP("Company Size (Turnover)",'Company 7'!$B:$C,2,0),"")</f>
        <v>7800000</v>
      </c>
      <c r="G10" s="84" t="str">
        <f>IFERROR(VLOOKUP("Country",'Company 7'!$B:$C,2,0),"")</f>
        <v>Belgium</v>
      </c>
      <c r="H10" s="85">
        <f>IFERROR(VLOOKUP("B1_INTEREST",'Company 7'!$B:$E,4,0),"")</f>
        <v>8</v>
      </c>
      <c r="I10" s="85">
        <f>IFERROR(VLOOKUP("B2_SHARING",'Company 7'!$B:$E,4,0),"")</f>
        <v>1</v>
      </c>
      <c r="J10" s="85">
        <f>IFERROR(VLOOKUP("B3_MONETIZE",'Company 7'!$B:$E,4,0),"")</f>
        <v>1</v>
      </c>
      <c r="K10" s="85">
        <f>IFERROR(VLOOKUP("B4_STRATEGIC",'Company 7'!$B:$E,4,0),"")</f>
        <v>0</v>
      </c>
      <c r="L10" s="85">
        <f>IFERROR(VLOOKUP("M1_AUTOMATED",'Company 7'!$B:$E,4,0),"")</f>
        <v>1</v>
      </c>
      <c r="M10" s="85">
        <f>IFERROR(VLOOKUP("M2_REALTIME",'Company 7'!$B:$E,4,0),"")</f>
        <v>2</v>
      </c>
      <c r="N10" s="85">
        <f>IFERROR(VLOOKUP("M3_STRATEGIC",'Company 7'!$B:$E,4,0),"")</f>
        <v>4</v>
      </c>
      <c r="O10" s="85">
        <f>IFERROR(VLOOKUP("M4_BREADTH",'Company 7'!$B:$E,4,0),"")</f>
        <v>3</v>
      </c>
      <c r="P10" s="85">
        <f>IFERROR(VLOOKUP("M5_DATATYPES",'Company 7'!$B:$E,4,0),"")</f>
        <v>3</v>
      </c>
      <c r="Q10" s="85">
        <f>IFERROR(VLOOKUP("M6_TRUST",'Company 7'!$B:$E,4,0),"")</f>
        <v>0</v>
      </c>
      <c r="R10" s="85">
        <f>IFERROR(VLOOKUP("M7_BARRIERS",'Company 7'!$B:$E,4,0),"")</f>
        <v>2</v>
      </c>
      <c r="S10" s="85">
        <f>IFERROR(VLOOKUP("M8_IMPACT",'Company 7'!$B:$E,4,0),"")</f>
        <v>3</v>
      </c>
      <c r="T10" s="85">
        <f>IFERROR(VLOOKUP("M9_WILLINGNESS",'Company 7'!$B:$E,4,0),"")</f>
        <v>8</v>
      </c>
      <c r="U10" s="85">
        <f>IFERROR(VLOOKUP("SV1_PRICING",'Company 7'!$B:$E,4,0),"")</f>
        <v>0</v>
      </c>
      <c r="V10" s="85">
        <f>IFERROR(VLOOKUP("SV2_PROMOTIONS",'Company 7'!$B:$E,4,0),"")</f>
        <v>0</v>
      </c>
      <c r="W10" s="85">
        <f>IFERROR(VLOOKUP("SV3_SUPPLYCHAIN",'Company 7'!$B:$E,4,0),"")</f>
        <v>0</v>
      </c>
      <c r="X10" s="85">
        <f>IFERROR(VLOOKUP("SV4_CATEGORY",'Company 7'!$B:$E,4,0),"")</f>
        <v>1</v>
      </c>
      <c r="Y10" s="85">
        <f>IFERROR(VLOOKUP("SV5_DEMAND",'Company 7'!$B:$E,4,0),"")</f>
        <v>0</v>
      </c>
      <c r="Z10" s="85">
        <f>IFERROR(VLOOKUP("SV6_ACCOUNT",'Company 7'!$B:$E,4,0),"")</f>
        <v>0</v>
      </c>
      <c r="AA10" s="85">
        <f>IFERROR(VLOOKUP("SV7_OPS",'Company 7'!$B:$E,4,0),"")</f>
        <v>1</v>
      </c>
      <c r="AB10" s="85">
        <f>IFERROR(VLOOKUP("SC1_DATASENS",'Company 7'!$B:$E,4,0),"")</f>
        <v>0</v>
      </c>
      <c r="AC10" s="85">
        <f>IFERROR(VLOOKUP("SC2_COMPLIANCE",'Company 7'!$B:$E,4,0),"")</f>
        <v>0</v>
      </c>
      <c r="AD10" s="85">
        <f>IFERROR(VLOOKUP("SC3_TRUST",'Company 7'!$B:$E,4,0),"")</f>
        <v>0</v>
      </c>
      <c r="AE10" s="85">
        <f>IFERROR(VLOOKUP("SC4_DATAPROC",'Company 7'!$B:$E,4,0),"")</f>
        <v>1</v>
      </c>
      <c r="AF10" s="85">
        <f>IFERROR(VLOOKUP("SF1_REALTIME",'Company 7'!$B:$E,4,0),"")</f>
        <v>1</v>
      </c>
      <c r="AG10" s="85">
        <f>IFERROR(VLOOKUP("SF2_ACCESS",'Company 7'!$B:$E,4,0),"")</f>
        <v>0</v>
      </c>
      <c r="AH10" s="85">
        <f>IFERROR(VLOOKUP("SF3_UX",'Company 7'!$B:$E,4,0),"")</f>
        <v>1</v>
      </c>
      <c r="AI10" s="85">
        <f>IFERROR(VLOOKUP("SF4_DECISION",'Company 7'!$B:$E,4,0),"")</f>
        <v>0</v>
      </c>
      <c r="AJ10" s="85">
        <f>IFERROR(VLOOKUP("SF5_MASKING",'Company 7'!$B:$E,4,0),"")</f>
        <v>0</v>
      </c>
      <c r="AK10" s="85">
        <f>IFERROR(VLOOKUP("SD1_TRENDS",'Company 7'!$B:$E,4,0),"")</f>
        <v>0</v>
      </c>
      <c r="AL10" s="85">
        <f>IFERROR(VLOOKUP("SD2_MARKET",'Company 7'!$B:$E,4,0),"")</f>
        <v>1</v>
      </c>
      <c r="AM10" s="85">
        <f>IFERROR(VLOOKUP("SD3_CATEGORY",'Company 7'!$B:$E,4,0),"")</f>
        <v>1</v>
      </c>
      <c r="AN10" s="85">
        <f>IFERROR(VLOOKUP("SD4_SHIPMENT",'Company 7'!$B:$E,4,0),"")</f>
        <v>0</v>
      </c>
      <c r="AO10" s="85">
        <f>IFERROR(VLOOKUP("SD5_LEAD",'Company 7'!$B:$E,4,0),"")</f>
        <v>0</v>
      </c>
      <c r="AP10" s="85">
        <f>IFERROR(VLOOKUP("SD6_CONJOINT",'Company 7'!$B:$E,4,0),"")</f>
        <v>0</v>
      </c>
    </row>
    <row r="11" spans="2:42" ht="20.100000000000001" customHeight="1">
      <c r="B11" s="83" t="s">
        <v>169</v>
      </c>
      <c r="C11" s="84" t="str">
        <f>IFERROR(VLOOKUP("Interviewee Position",'Company 8'!$B:$C,2,0),"")</f>
        <v>CFO / Finance Lead EMEA &amp; LATAM</v>
      </c>
      <c r="D11" s="84" t="str">
        <f>IFERROR(VLOOKUP("Company Industry",'Company 8'!$B:$C,2,0),"")</f>
        <v>Pet Food &amp; Products</v>
      </c>
      <c r="E11" s="84" t="str">
        <f>IFERROR(VLOOKUP("Company Sub-Industry",'Company 8'!$B:$C,2,0),"")</f>
        <v>Manufacturer</v>
      </c>
      <c r="F11" s="3">
        <f>IFERROR(VLOOKUP("Company Size (Turnover)",'Company 8'!$B:$C,2,0),"")</f>
        <v>90000000</v>
      </c>
      <c r="G11" s="84" t="str">
        <f>IFERROR(VLOOKUP("Country",'Company 8'!$B:$C,2,0),"")</f>
        <v>US</v>
      </c>
      <c r="H11" s="85">
        <f>IFERROR(VLOOKUP("B1_INTEREST",'Company 8'!$B:$E,4,0),"")</f>
        <v>8</v>
      </c>
      <c r="I11" s="85">
        <f>IFERROR(VLOOKUP("B2_SHARING",'Company 8'!$B:$E,4,0),"")</f>
        <v>1</v>
      </c>
      <c r="J11" s="85">
        <f>IFERROR(VLOOKUP("B3_MONETIZE",'Company 8'!$B:$E,4,0),"")</f>
        <v>0</v>
      </c>
      <c r="K11" s="85">
        <f>IFERROR(VLOOKUP("B4_STRATEGIC",'Company 8'!$B:$E,4,0),"")</f>
        <v>0</v>
      </c>
      <c r="L11" s="85">
        <f>IFERROR(VLOOKUP("M1_AUTOMATED",'Company 8'!$B:$E,4,0),"")</f>
        <v>3</v>
      </c>
      <c r="M11" s="85">
        <f>IFERROR(VLOOKUP("M2_REALTIME",'Company 8'!$B:$E,4,0),"")</f>
        <v>2</v>
      </c>
      <c r="N11" s="85">
        <f>IFERROR(VLOOKUP("M3_STRATEGIC",'Company 8'!$B:$E,4,0),"")</f>
        <v>4</v>
      </c>
      <c r="O11" s="85">
        <f>IFERROR(VLOOKUP("M4_BREADTH",'Company 8'!$B:$E,4,0),"")</f>
        <v>3</v>
      </c>
      <c r="P11" s="85">
        <f>IFERROR(VLOOKUP("M5_DATATYPES",'Company 8'!$B:$E,4,0),"")</f>
        <v>4</v>
      </c>
      <c r="Q11" s="85">
        <f>IFERROR(VLOOKUP("M6_TRUST",'Company 8'!$B:$E,4,0),"")</f>
        <v>4</v>
      </c>
      <c r="R11" s="85">
        <f>IFERROR(VLOOKUP("M7_BARRIERS",'Company 8'!$B:$E,4,0),"")</f>
        <v>4</v>
      </c>
      <c r="S11" s="85">
        <f>IFERROR(VLOOKUP("M8_IMPACT",'Company 8'!$B:$E,4,0),"")</f>
        <v>2</v>
      </c>
      <c r="T11" s="85">
        <f>IFERROR(VLOOKUP("M9_WILLINGNESS",'Company 8'!$B:$E,4,0),"")</f>
        <v>8</v>
      </c>
      <c r="U11" s="85">
        <f>IFERROR(VLOOKUP("SV1_PRICING",'Company 8'!$B:$E,4,0),"")</f>
        <v>1</v>
      </c>
      <c r="V11" s="85">
        <f>IFERROR(VLOOKUP("SV2_PROMOTIONS",'Company 8'!$B:$E,4,0),"")</f>
        <v>1</v>
      </c>
      <c r="W11" s="85">
        <f>IFERROR(VLOOKUP("SV3_SUPPLYCHAIN",'Company 8'!$B:$E,4,0),"")</f>
        <v>0</v>
      </c>
      <c r="X11" s="85">
        <f>IFERROR(VLOOKUP("SV4_CATEGORY",'Company 8'!$B:$E,4,0),"")</f>
        <v>1</v>
      </c>
      <c r="Y11" s="85">
        <f>IFERROR(VLOOKUP("SV5_DEMAND",'Company 8'!$B:$E,4,0),"")</f>
        <v>0</v>
      </c>
      <c r="Z11" s="85">
        <f>IFERROR(VLOOKUP("SV6_ACCOUNT",'Company 8'!$B:$E,4,0),"")</f>
        <v>0</v>
      </c>
      <c r="AA11" s="85">
        <f>IFERROR(VLOOKUP("SV7_OPS",'Company 8'!$B:$E,4,0),"")</f>
        <v>0</v>
      </c>
      <c r="AB11" s="85">
        <f>IFERROR(VLOOKUP("SC1_DATASENS",'Company 8'!$B:$E,4,0),"")</f>
        <v>1</v>
      </c>
      <c r="AC11" s="85">
        <f>IFERROR(VLOOKUP("SC2_COMPLIANCE",'Company 8'!$B:$E,4,0),"")</f>
        <v>1</v>
      </c>
      <c r="AD11" s="85">
        <f>IFERROR(VLOOKUP("SC3_TRUST",'Company 8'!$B:$E,4,0),"")</f>
        <v>0</v>
      </c>
      <c r="AE11" s="85">
        <f>IFERROR(VLOOKUP("SC4_DATAPROC",'Company 8'!$B:$E,4,0),"")</f>
        <v>0</v>
      </c>
      <c r="AF11" s="85">
        <f>IFERROR(VLOOKUP("SF1_REALTIME",'Company 8'!$B:$E,4,0),"")</f>
        <v>0</v>
      </c>
      <c r="AG11" s="85">
        <f>IFERROR(VLOOKUP("SF2_ACCESS",'Company 8'!$B:$E,4,0),"")</f>
        <v>0</v>
      </c>
      <c r="AH11" s="85">
        <f>IFERROR(VLOOKUP("SF3_UX",'Company 8'!$B:$E,4,0),"")</f>
        <v>0</v>
      </c>
      <c r="AI11" s="85">
        <f>IFERROR(VLOOKUP("SF4_DECISION",'Company 8'!$B:$E,4,0),"")</f>
        <v>0</v>
      </c>
      <c r="AJ11" s="85">
        <f>IFERROR(VLOOKUP("SF5_MASKING",'Company 8'!$B:$E,4,0),"")</f>
        <v>0</v>
      </c>
      <c r="AK11" s="85">
        <f>IFERROR(VLOOKUP("SD1_TRENDS",'Company 8'!$B:$E,4,0),"")</f>
        <v>1</v>
      </c>
      <c r="AL11" s="85">
        <f>IFERROR(VLOOKUP("SD2_MARKET",'Company 8'!$B:$E,4,0),"")</f>
        <v>1</v>
      </c>
      <c r="AM11" s="85">
        <f>IFERROR(VLOOKUP("SD3_CATEGORY",'Company 8'!$B:$E,4,0),"")</f>
        <v>1</v>
      </c>
      <c r="AN11" s="85">
        <f>IFERROR(VLOOKUP("SD4_SHIPMENT",'Company 8'!$B:$E,4,0),"")</f>
        <v>0</v>
      </c>
      <c r="AO11" s="85">
        <f>IFERROR(VLOOKUP("SD5_LEAD",'Company 8'!$B:$E,4,0),"")</f>
        <v>0</v>
      </c>
      <c r="AP11" s="85">
        <f>IFERROR(VLOOKUP("SD6_CONJOINT",'Company 8'!$B:$E,4,0),"")</f>
        <v>0</v>
      </c>
    </row>
    <row r="12" spans="2:42" ht="20.100000000000001" customHeight="1">
      <c r="B12" s="83" t="s">
        <v>170</v>
      </c>
      <c r="C12" s="84" t="str">
        <f>IFERROR(VLOOKUP("Interviewee Position",'Company 9'!$B:$C,2,0),"")</f>
        <v>Commercial Director</v>
      </c>
      <c r="D12" s="84" t="str">
        <f>IFERROR(VLOOKUP("Company Industry",'Company 9'!$B:$C,2,0),"")</f>
        <v>Wholesale</v>
      </c>
      <c r="E12" s="84" t="str">
        <f>IFERROR(VLOOKUP("Company Sub-Industry",'Company 9'!$B:$C,2,0),"")</f>
        <v>Wholesaler</v>
      </c>
      <c r="F12" s="3">
        <f>IFERROR(VLOOKUP("Company Size (Turnover)",'Company 9'!$B:$C,2,0),"")</f>
        <v>2000000000</v>
      </c>
      <c r="G12" s="84" t="str">
        <f>IFERROR(VLOOKUP("Country",'Company 9'!$B:$C,2,0),"")</f>
        <v>Belgium</v>
      </c>
      <c r="H12" s="85">
        <f>IFERROR(VLOOKUP("B1_INTEREST",'Company 9'!$B:$E,4,0),"")</f>
        <v>8</v>
      </c>
      <c r="I12" s="85">
        <f>IFERROR(VLOOKUP("B2_SHARING",'Company 9'!$B:$E,4,0),"")</f>
        <v>1</v>
      </c>
      <c r="J12" s="85">
        <f>IFERROR(VLOOKUP("B3_MONETIZE",'Company 9'!$B:$E,4,0),"")</f>
        <v>1</v>
      </c>
      <c r="K12" s="85">
        <f>IFERROR(VLOOKUP("B4_STRATEGIC",'Company 9'!$B:$E,4,0),"")</f>
        <v>0</v>
      </c>
      <c r="L12" s="85">
        <f>IFERROR(VLOOKUP("M1_AUTOMATED",'Company 9'!$B:$E,4,0),"")</f>
        <v>3</v>
      </c>
      <c r="M12" s="85">
        <f>IFERROR(VLOOKUP("M2_REALTIME",'Company 9'!$B:$E,4,0),"")</f>
        <v>2</v>
      </c>
      <c r="N12" s="85">
        <f>IFERROR(VLOOKUP("M3_STRATEGIC",'Company 9'!$B:$E,4,0),"")</f>
        <v>4</v>
      </c>
      <c r="O12" s="85">
        <f>IFERROR(VLOOKUP("M4_BREADTH",'Company 9'!$B:$E,4,0),"")</f>
        <v>2</v>
      </c>
      <c r="P12" s="85">
        <f>IFERROR(VLOOKUP("M5_DATATYPES",'Company 9'!$B:$E,4,0),"")</f>
        <v>5</v>
      </c>
      <c r="Q12" s="85">
        <f>IFERROR(VLOOKUP("M6_TRUST",'Company 9'!$B:$E,4,0),"")</f>
        <v>2</v>
      </c>
      <c r="R12" s="85">
        <f>IFERROR(VLOOKUP("M7_BARRIERS",'Company 9'!$B:$E,4,0),"")</f>
        <v>4</v>
      </c>
      <c r="S12" s="85">
        <f>IFERROR(VLOOKUP("M8_IMPACT",'Company 9'!$B:$E,4,0),"")</f>
        <v>4</v>
      </c>
      <c r="T12" s="85">
        <f>IFERROR(VLOOKUP("M9_WILLINGNESS",'Company 9'!$B:$E,4,0),"")</f>
        <v>6</v>
      </c>
      <c r="U12" s="85">
        <f>IFERROR(VLOOKUP("SV1_PRICING",'Company 9'!$B:$E,4,0),"")</f>
        <v>0</v>
      </c>
      <c r="V12" s="85">
        <f>IFERROR(VLOOKUP("SV2_PROMOTIONS",'Company 9'!$B:$E,4,0),"")</f>
        <v>0</v>
      </c>
      <c r="W12" s="85">
        <f>IFERROR(VLOOKUP("SV3_SUPPLYCHAIN",'Company 9'!$B:$E,4,0),"")</f>
        <v>0</v>
      </c>
      <c r="X12" s="85">
        <f>IFERROR(VLOOKUP("SV4_CATEGORY",'Company 9'!$B:$E,4,0),"")</f>
        <v>1</v>
      </c>
      <c r="Y12" s="85">
        <f>IFERROR(VLOOKUP("SV5_DEMAND",'Company 9'!$B:$E,4,0),"")</f>
        <v>1</v>
      </c>
      <c r="Z12" s="85">
        <f>IFERROR(VLOOKUP("SV6_ACCOUNT",'Company 9'!$B:$E,4,0),"")</f>
        <v>0</v>
      </c>
      <c r="AA12" s="85">
        <f>IFERROR(VLOOKUP("SV7_OPS",'Company 9'!$B:$E,4,0),"")</f>
        <v>0</v>
      </c>
      <c r="AB12" s="85">
        <f>IFERROR(VLOOKUP("SC1_DATASENS",'Company 9'!$B:$E,4,0),"")</f>
        <v>1</v>
      </c>
      <c r="AC12" s="85">
        <f>IFERROR(VLOOKUP("SC2_COMPLIANCE",'Company 9'!$B:$E,4,0),"")</f>
        <v>0</v>
      </c>
      <c r="AD12" s="85">
        <f>IFERROR(VLOOKUP("SC3_TRUST",'Company 9'!$B:$E,4,0),"")</f>
        <v>0</v>
      </c>
      <c r="AE12" s="85">
        <f>IFERROR(VLOOKUP("SC4_DATAPROC",'Company 9'!$B:$E,4,0),"")</f>
        <v>0</v>
      </c>
      <c r="AF12" s="85">
        <f>IFERROR(VLOOKUP("SF1_REALTIME",'Company 9'!$B:$E,4,0),"")</f>
        <v>0</v>
      </c>
      <c r="AG12" s="85">
        <f>IFERROR(VLOOKUP("SF2_ACCESS",'Company 9'!$B:$E,4,0),"")</f>
        <v>1</v>
      </c>
      <c r="AH12" s="85">
        <f>IFERROR(VLOOKUP("SF3_UX",'Company 9'!$B:$E,4,0),"")</f>
        <v>1</v>
      </c>
      <c r="AI12" s="85">
        <f>IFERROR(VLOOKUP("SF4_DECISION",'Company 9'!$B:$E,4,0),"")</f>
        <v>0</v>
      </c>
      <c r="AJ12" s="85">
        <f>IFERROR(VLOOKUP("SF5_MASKING",'Company 9'!$B:$E,4,0),"")</f>
        <v>0</v>
      </c>
      <c r="AK12" s="85">
        <f>IFERROR(VLOOKUP("SD1_TRENDS",'Company 9'!$B:$E,4,0),"")</f>
        <v>1</v>
      </c>
      <c r="AL12" s="85">
        <f>IFERROR(VLOOKUP("SD2_MARKET",'Company 9'!$B:$E,4,0),"")</f>
        <v>1</v>
      </c>
      <c r="AM12" s="85">
        <f>IFERROR(VLOOKUP("SD3_CATEGORY",'Company 9'!$B:$E,4,0),"")</f>
        <v>1</v>
      </c>
      <c r="AN12" s="85">
        <f>IFERROR(VLOOKUP("SD4_SHIPMENT",'Company 9'!$B:$E,4,0),"")</f>
        <v>1</v>
      </c>
      <c r="AO12" s="85">
        <f>IFERROR(VLOOKUP("SD5_LEAD",'Company 9'!$B:$E,4,0),"")</f>
        <v>0</v>
      </c>
      <c r="AP12" s="85">
        <f>IFERROR(VLOOKUP("SD6_CONJOINT",'Company 9'!$B:$E,4,0),"")</f>
        <v>0</v>
      </c>
    </row>
    <row r="13" spans="2:42" ht="20.100000000000001" customHeight="1">
      <c r="B13" s="83" t="s">
        <v>171</v>
      </c>
      <c r="C13" s="84" t="str">
        <f>IFERROR(VLOOKUP("Interviewee Position",'Company 10'!$B:$C,2,0),"")</f>
        <v>Data Insights Team</v>
      </c>
      <c r="D13" s="84" t="str">
        <f>IFERROR(VLOOKUP("Company Industry",'Company 10'!$B:$C,2,0),"")</f>
        <v>FMCG</v>
      </c>
      <c r="E13" s="84" t="str">
        <f>IFERROR(VLOOKUP("Company Sub-Industry",'Company 10'!$B:$C,2,0),"")</f>
        <v>Manufacturer</v>
      </c>
      <c r="F13" s="3">
        <f>IFERROR(VLOOKUP("Company Size (Turnover)",'Company 10'!$B:$C,2,0),"")</f>
        <v>52000000</v>
      </c>
      <c r="G13" s="84" t="str">
        <f>IFERROR(VLOOKUP("Country",'Company 10'!$B:$C,2,0),"")</f>
        <v>Denmark</v>
      </c>
      <c r="H13" s="85">
        <f>IFERROR(VLOOKUP("B1_INTEREST",'Company 10'!$B:$E,4,0),"")</f>
        <v>7</v>
      </c>
      <c r="I13" s="85">
        <f>IFERROR(VLOOKUP("B2_SHARING",'Company 10'!$B:$E,4,0),"")</f>
        <v>1</v>
      </c>
      <c r="J13" s="85">
        <f>IFERROR(VLOOKUP("B3_MONETIZE",'Company 10'!$B:$E,4,0),"")</f>
        <v>0</v>
      </c>
      <c r="K13" s="85">
        <f>IFERROR(VLOOKUP("B4_STRATEGIC",'Company 10'!$B:$E,4,0),"")</f>
        <v>1</v>
      </c>
      <c r="L13" s="85">
        <f>IFERROR(VLOOKUP("M1_AUTOMATED",'Company 10'!$B:$E,4,0),"")</f>
        <v>2</v>
      </c>
      <c r="M13" s="85">
        <f>IFERROR(VLOOKUP("M2_REALTIME",'Company 10'!$B:$E,4,0),"")</f>
        <v>2</v>
      </c>
      <c r="N13" s="85">
        <f>IFERROR(VLOOKUP("M3_STRATEGIC",'Company 10'!$B:$E,4,0),"")</f>
        <v>5</v>
      </c>
      <c r="O13" s="85">
        <f>IFERROR(VLOOKUP("M4_BREADTH",'Company 10'!$B:$E,4,0),"")</f>
        <v>3</v>
      </c>
      <c r="P13" s="85">
        <f>IFERROR(VLOOKUP("M5_DATATYPES",'Company 10'!$B:$E,4,0),"")</f>
        <v>5</v>
      </c>
      <c r="Q13" s="85">
        <f>IFERROR(VLOOKUP("M6_TRUST",'Company 10'!$B:$E,4,0),"")</f>
        <v>3</v>
      </c>
      <c r="R13" s="85">
        <f>IFERROR(VLOOKUP("M7_BARRIERS",'Company 10'!$B:$E,4,0),"")</f>
        <v>4</v>
      </c>
      <c r="S13" s="85">
        <f>IFERROR(VLOOKUP("M8_IMPACT",'Company 10'!$B:$E,4,0),"")</f>
        <v>4</v>
      </c>
      <c r="T13" s="85">
        <f>IFERROR(VLOOKUP("M9_WILLINGNESS",'Company 10'!$B:$E,4,0),"")</f>
        <v>7</v>
      </c>
      <c r="U13" s="85">
        <f>IFERROR(VLOOKUP("SV1_PRICING",'Company 10'!$B:$E,4,0),"")</f>
        <v>1</v>
      </c>
      <c r="V13" s="85">
        <f>IFERROR(VLOOKUP("SV2_PROMOTIONS",'Company 10'!$B:$E,4,0),"")</f>
        <v>0</v>
      </c>
      <c r="W13" s="85">
        <f>IFERROR(VLOOKUP("SV3_SUPPLYCHAIN",'Company 10'!$B:$E,4,0),"")</f>
        <v>1</v>
      </c>
      <c r="X13" s="85">
        <f>IFERROR(VLOOKUP("SV4_CATEGORY",'Company 10'!$B:$E,4,0),"")</f>
        <v>1</v>
      </c>
      <c r="Y13" s="85">
        <f>IFERROR(VLOOKUP("SV5_DEMAND",'Company 10'!$B:$E,4,0),"")</f>
        <v>0</v>
      </c>
      <c r="Z13" s="85">
        <f>IFERROR(VLOOKUP("SV6_ACCOUNT",'Company 10'!$B:$E,4,0),"")</f>
        <v>0</v>
      </c>
      <c r="AA13" s="85">
        <f>IFERROR(VLOOKUP("SV7_OPS",'Company 10'!$B:$E,4,0),"")</f>
        <v>0</v>
      </c>
      <c r="AB13" s="85">
        <f>IFERROR(VLOOKUP("SC1_DATASENS",'Company 10'!$B:$E,4,0),"")</f>
        <v>1</v>
      </c>
      <c r="AC13" s="85">
        <f>IFERROR(VLOOKUP("SC2_COMPLIANCE",'Company 10'!$B:$E,4,0),"")</f>
        <v>1</v>
      </c>
      <c r="AD13" s="85">
        <f>IFERROR(VLOOKUP("SC3_TRUST",'Company 10'!$B:$E,4,0),"")</f>
        <v>0</v>
      </c>
      <c r="AE13" s="85">
        <f>IFERROR(VLOOKUP("SC4_DATAPROC",'Company 10'!$B:$E,4,0),"")</f>
        <v>1</v>
      </c>
      <c r="AF13" s="85">
        <f>IFERROR(VLOOKUP("SF1_REALTIME",'Company 10'!$B:$E,4,0),"")</f>
        <v>1</v>
      </c>
      <c r="AG13" s="85">
        <f>IFERROR(VLOOKUP("SF2_ACCESS",'Company 10'!$B:$E,4,0),"")</f>
        <v>0</v>
      </c>
      <c r="AH13" s="85">
        <f>IFERROR(VLOOKUP("SF3_UX",'Company 10'!$B:$E,4,0),"")</f>
        <v>1</v>
      </c>
      <c r="AI13" s="85">
        <f>IFERROR(VLOOKUP("SF4_DECISION",'Company 10'!$B:$E,4,0),"")</f>
        <v>0</v>
      </c>
      <c r="AJ13" s="85">
        <f>IFERROR(VLOOKUP("SF5_MASKING",'Company 10'!$B:$E,4,0),"")</f>
        <v>0</v>
      </c>
      <c r="AK13" s="85">
        <f>IFERROR(VLOOKUP("SD1_TRENDS",'Company 10'!$B:$E,4,0),"")</f>
        <v>1</v>
      </c>
      <c r="AL13" s="85">
        <f>IFERROR(VLOOKUP("SD2_MARKET",'Company 10'!$B:$E,4,0),"")</f>
        <v>1</v>
      </c>
      <c r="AM13" s="85">
        <f>IFERROR(VLOOKUP("SD3_CATEGORY",'Company 10'!$B:$E,4,0),"")</f>
        <v>1</v>
      </c>
      <c r="AN13" s="85">
        <f>IFERROR(VLOOKUP("SD4_SHIPMENT",'Company 10'!$B:$E,4,0),"")</f>
        <v>0</v>
      </c>
      <c r="AO13" s="85">
        <f>IFERROR(VLOOKUP("SD5_LEAD",'Company 10'!$B:$E,4,0),"")</f>
        <v>0</v>
      </c>
      <c r="AP13" s="85">
        <f>IFERROR(VLOOKUP("SD6_CONJOINT",'Company 10'!$B:$E,4,0),"")</f>
        <v>0</v>
      </c>
    </row>
    <row r="14" spans="2:42" ht="20.100000000000001" customHeight="1">
      <c r="B14" s="83" t="s">
        <v>172</v>
      </c>
      <c r="C14" s="84" t="str">
        <f>IFERROR(VLOOKUP("Interviewee Position",'Company 11'!$B:$C,2,0),"")</f>
        <v>Marketing Strategic Role</v>
      </c>
      <c r="D14" s="84" t="str">
        <f>IFERROR(VLOOKUP("Company Industry",'Company 11'!$B:$C,2,0),"")</f>
        <v>Pharmacy/Healthcare Retail</v>
      </c>
      <c r="E14" s="84" t="str">
        <f>IFERROR(VLOOKUP("Company Sub-Industry",'Company 11'!$B:$C,2,0),"")</f>
        <v>Specialty Retail</v>
      </c>
      <c r="F14" s="3">
        <f>IFERROR(VLOOKUP("Company Size (Turnover)",'Company 11'!$B:$C,2,0),"")</f>
        <v>140000000</v>
      </c>
      <c r="G14" s="84" t="str">
        <f>IFERROR(VLOOKUP("Country",'Company 11'!$B:$C,2,0),"")</f>
        <v xml:space="preserve">Belgium </v>
      </c>
      <c r="H14" s="85">
        <f>IFERROR(VLOOKUP("B1_INTEREST",'Company 11'!$B:$E,4,0),"")</f>
        <v>9</v>
      </c>
      <c r="I14" s="85">
        <f>IFERROR(VLOOKUP("B2_SHARING",'Company 11'!$B:$E,4,0),"")</f>
        <v>1</v>
      </c>
      <c r="J14" s="85">
        <f>IFERROR(VLOOKUP("B3_MONETIZE",'Company 11'!$B:$E,4,0),"")</f>
        <v>0</v>
      </c>
      <c r="K14" s="85">
        <f>IFERROR(VLOOKUP("B4_STRATEGIC",'Company 11'!$B:$E,4,0),"")</f>
        <v>0</v>
      </c>
      <c r="L14" s="85">
        <f>IFERROR(VLOOKUP("M1_AUTOMATED",'Company 11'!$B:$E,4,0),"")</f>
        <v>1</v>
      </c>
      <c r="M14" s="85">
        <f>IFERROR(VLOOKUP("M2_REALTIME",'Company 11'!$B:$E,4,0),"")</f>
        <v>1</v>
      </c>
      <c r="N14" s="85">
        <f>IFERROR(VLOOKUP("M3_STRATEGIC",'Company 11'!$B:$E,4,0),"")</f>
        <v>2</v>
      </c>
      <c r="O14" s="85">
        <f>IFERROR(VLOOKUP("M4_BREADTH",'Company 11'!$B:$E,4,0),"")</f>
        <v>2</v>
      </c>
      <c r="P14" s="85">
        <f>IFERROR(VLOOKUP("M5_DATATYPES",'Company 11'!$B:$E,4,0),"")</f>
        <v>2</v>
      </c>
      <c r="Q14" s="85">
        <f>IFERROR(VLOOKUP("M6_TRUST",'Company 11'!$B:$E,4,0),"")</f>
        <v>0</v>
      </c>
      <c r="R14" s="85">
        <f>IFERROR(VLOOKUP("M7_BARRIERS",'Company 11'!$B:$E,4,0),"")</f>
        <v>2</v>
      </c>
      <c r="S14" s="85">
        <f>IFERROR(VLOOKUP("M8_IMPACT",'Company 11'!$B:$E,4,0),"")</f>
        <v>0</v>
      </c>
      <c r="T14" s="85">
        <f>IFERROR(VLOOKUP("M9_WILLINGNESS",'Company 11'!$B:$E,4,0),"")</f>
        <v>9</v>
      </c>
      <c r="U14" s="85">
        <f>IFERROR(VLOOKUP("SV1_PRICING",'Company 11'!$B:$E,4,0),"")</f>
        <v>1</v>
      </c>
      <c r="V14" s="85">
        <f>IFERROR(VLOOKUP("SV2_PROMOTIONS",'Company 11'!$B:$E,4,0),"")</f>
        <v>1</v>
      </c>
      <c r="W14" s="85">
        <f>IFERROR(VLOOKUP("SV3_SUPPLYCHAIN",'Company 11'!$B:$E,4,0),"")</f>
        <v>1</v>
      </c>
      <c r="X14" s="85">
        <f>IFERROR(VLOOKUP("SV4_CATEGORY",'Company 11'!$B:$E,4,0),"")</f>
        <v>1</v>
      </c>
      <c r="Y14" s="85">
        <f>IFERROR(VLOOKUP("SV5_DEMAND",'Company 11'!$B:$E,4,0),"")</f>
        <v>0</v>
      </c>
      <c r="Z14" s="85">
        <f>IFERROR(VLOOKUP("SV6_ACCOUNT",'Company 11'!$B:$E,4,0),"")</f>
        <v>0</v>
      </c>
      <c r="AA14" s="85">
        <f>IFERROR(VLOOKUP("SV7_OPS",'Company 11'!$B:$E,4,0),"")</f>
        <v>0</v>
      </c>
      <c r="AB14" s="85">
        <f>IFERROR(VLOOKUP("SC1_DATASENS",'Company 11'!$B:$E,4,0),"")</f>
        <v>1</v>
      </c>
      <c r="AC14" s="85">
        <f>IFERROR(VLOOKUP("SC2_COMPLIANCE",'Company 11'!$B:$E,4,0),"")</f>
        <v>0</v>
      </c>
      <c r="AD14" s="85">
        <f>IFERROR(VLOOKUP("SC3_TRUST",'Company 11'!$B:$E,4,0),"")</f>
        <v>0</v>
      </c>
      <c r="AE14" s="85">
        <f>IFERROR(VLOOKUP("SC4_DATAPROC",'Company 11'!$B:$E,4,0),"")</f>
        <v>1</v>
      </c>
      <c r="AF14" s="85">
        <f>IFERROR(VLOOKUP("SF1_REALTIME",'Company 11'!$B:$E,4,0),"")</f>
        <v>0</v>
      </c>
      <c r="AG14" s="85">
        <f>IFERROR(VLOOKUP("SF2_ACCESS",'Company 11'!$B:$E,4,0),"")</f>
        <v>0</v>
      </c>
      <c r="AH14" s="85">
        <f>IFERROR(VLOOKUP("SF3_UX",'Company 11'!$B:$E,4,0),"")</f>
        <v>1</v>
      </c>
      <c r="AI14" s="85">
        <f>IFERROR(VLOOKUP("SF4_DECISION",'Company 11'!$B:$E,4,0),"")</f>
        <v>0</v>
      </c>
      <c r="AJ14" s="85">
        <f>IFERROR(VLOOKUP("SF5_MASKING",'Company 11'!$B:$E,4,0),"")</f>
        <v>0</v>
      </c>
      <c r="AK14" s="85">
        <f>IFERROR(VLOOKUP("SD1_TRENDS",'Company 11'!$B:$E,4,0),"")</f>
        <v>1</v>
      </c>
      <c r="AL14" s="85">
        <f>IFERROR(VLOOKUP("SD2_MARKET",'Company 11'!$B:$E,4,0),"")</f>
        <v>1</v>
      </c>
      <c r="AM14" s="85">
        <f>IFERROR(VLOOKUP("SD3_CATEGORY",'Company 11'!$B:$E,4,0),"")</f>
        <v>1</v>
      </c>
      <c r="AN14" s="85">
        <f>IFERROR(VLOOKUP("SD4_SHIPMENT",'Company 11'!$B:$E,4,0),"")</f>
        <v>0</v>
      </c>
      <c r="AO14" s="85">
        <f>IFERROR(VLOOKUP("SD5_LEAD",'Company 11'!$B:$E,4,0),"")</f>
        <v>0</v>
      </c>
      <c r="AP14" s="85">
        <f>IFERROR(VLOOKUP("SD6_CONJOINT",'Company 11'!$B:$E,4,0),"")</f>
        <v>0</v>
      </c>
    </row>
    <row r="15" spans="2:42" ht="20.100000000000001" customHeight="1">
      <c r="B15" s="83" t="s">
        <v>173</v>
      </c>
      <c r="C15" s="84" t="str">
        <f>IFERROR(VLOOKUP("Interviewee Position",'Company 12'!$B:$C,2,0),"")</f>
        <v>Marketing / Commercial Director</v>
      </c>
      <c r="D15" s="84" t="str">
        <f>IFERROR(VLOOKUP("Company Industry",'Company 12'!$B:$C,2,0),"")</f>
        <v>Grocery Retail</v>
      </c>
      <c r="E15" s="84" t="str">
        <f>IFERROR(VLOOKUP("Company Sub-Industry",'Company 12'!$B:$C,2,0),"")</f>
        <v>Retailer</v>
      </c>
      <c r="F15" s="3">
        <f>IFERROR(VLOOKUP("Company Size (Turnover)",'Company 12'!$B:$C,2,0),"")</f>
        <v>3240000000</v>
      </c>
      <c r="G15" s="84" t="str">
        <f>IFERROR(VLOOKUP("Country",'Company 12'!$B:$C,2,0),"")</f>
        <v>Germany</v>
      </c>
      <c r="H15" s="85">
        <f>IFERROR(VLOOKUP("B1_INTEREST",'Company 12'!$B:$E,4,0),"")</f>
        <v>3</v>
      </c>
      <c r="I15" s="85">
        <f>IFERROR(VLOOKUP("B2_SHARING",'Company 12'!$B:$E,4,0),"")</f>
        <v>1</v>
      </c>
      <c r="J15" s="85">
        <f>IFERROR(VLOOKUP("B3_MONETIZE",'Company 12'!$B:$E,4,0),"")</f>
        <v>0</v>
      </c>
      <c r="K15" s="85">
        <f>IFERROR(VLOOKUP("B4_STRATEGIC",'Company 12'!$B:$E,4,0),"")</f>
        <v>1</v>
      </c>
      <c r="L15" s="85">
        <f>IFERROR(VLOOKUP("M1_AUTOMATED",'Company 12'!$B:$E,4,0),"")</f>
        <v>0</v>
      </c>
      <c r="M15" s="85">
        <f>IFERROR(VLOOKUP("M2_REALTIME",'Company 12'!$B:$E,4,0),"")</f>
        <v>0</v>
      </c>
      <c r="N15" s="85">
        <f>IFERROR(VLOOKUP("M3_STRATEGIC",'Company 12'!$B:$E,4,0),"")</f>
        <v>2</v>
      </c>
      <c r="O15" s="85">
        <f>IFERROR(VLOOKUP("M4_BREADTH",'Company 12'!$B:$E,4,0),"")</f>
        <v>1</v>
      </c>
      <c r="P15" s="85">
        <f>IFERROR(VLOOKUP("M5_DATATYPES",'Company 12'!$B:$E,4,0),"")</f>
        <v>2</v>
      </c>
      <c r="Q15" s="85">
        <f>IFERROR(VLOOKUP("M6_TRUST",'Company 12'!$B:$E,4,0),"")</f>
        <v>0</v>
      </c>
      <c r="R15" s="85">
        <f>IFERROR(VLOOKUP("M7_BARRIERS",'Company 12'!$B:$E,4,0),"")</f>
        <v>4</v>
      </c>
      <c r="S15" s="85">
        <f>IFERROR(VLOOKUP("M8_IMPACT",'Company 12'!$B:$E,4,0),"")</f>
        <v>4</v>
      </c>
      <c r="T15" s="85">
        <f>IFERROR(VLOOKUP("M9_WILLINGNESS",'Company 12'!$B:$E,4,0),"")</f>
        <v>3</v>
      </c>
      <c r="U15" s="85">
        <f>IFERROR(VLOOKUP("SV1_PRICING",'Company 12'!$B:$E,4,0),"")</f>
        <v>0</v>
      </c>
      <c r="V15" s="85">
        <f>IFERROR(VLOOKUP("SV2_PROMOTIONS",'Company 12'!$B:$E,4,0),"")</f>
        <v>1</v>
      </c>
      <c r="W15" s="85">
        <f>IFERROR(VLOOKUP("SV3_SUPPLYCHAIN",'Company 12'!$B:$E,4,0),"")</f>
        <v>1</v>
      </c>
      <c r="X15" s="85">
        <f>IFERROR(VLOOKUP("SV4_CATEGORY",'Company 12'!$B:$E,4,0),"")</f>
        <v>0</v>
      </c>
      <c r="Y15" s="85">
        <f>IFERROR(VLOOKUP("SV5_DEMAND",'Company 12'!$B:$E,4,0),"")</f>
        <v>1</v>
      </c>
      <c r="Z15" s="85">
        <f>IFERROR(VLOOKUP("SV6_ACCOUNT",'Company 12'!$B:$E,4,0),"")</f>
        <v>0</v>
      </c>
      <c r="AA15" s="85">
        <f>IFERROR(VLOOKUP("SV7_OPS",'Company 12'!$B:$E,4,0),"")</f>
        <v>0</v>
      </c>
      <c r="AB15" s="85">
        <f>IFERROR(VLOOKUP("SC1_DATASENS",'Company 12'!$B:$E,4,0),"")</f>
        <v>1</v>
      </c>
      <c r="AC15" s="85">
        <f>IFERROR(VLOOKUP("SC2_COMPLIANCE",'Company 12'!$B:$E,4,0),"")</f>
        <v>1</v>
      </c>
      <c r="AD15" s="85">
        <f>IFERROR(VLOOKUP("SC3_TRUST",'Company 12'!$B:$E,4,0),"")</f>
        <v>0</v>
      </c>
      <c r="AE15" s="85">
        <f>IFERROR(VLOOKUP("SC4_DATAPROC",'Company 12'!$B:$E,4,0),"")</f>
        <v>0</v>
      </c>
      <c r="AF15" s="85">
        <f>IFERROR(VLOOKUP("SF1_REALTIME",'Company 12'!$B:$E,4,0),"")</f>
        <v>0</v>
      </c>
      <c r="AG15" s="85">
        <f>IFERROR(VLOOKUP("SF2_ACCESS",'Company 12'!$B:$E,4,0),"")</f>
        <v>0</v>
      </c>
      <c r="AH15" s="85">
        <f>IFERROR(VLOOKUP("SF3_UX",'Company 12'!$B:$E,4,0),"")</f>
        <v>0</v>
      </c>
      <c r="AI15" s="85">
        <f>IFERROR(VLOOKUP("SF4_DECISION",'Company 12'!$B:$E,4,0),"")</f>
        <v>0</v>
      </c>
      <c r="AJ15" s="85">
        <f>IFERROR(VLOOKUP("SF5_MASKING",'Company 12'!$B:$E,4,0),"")</f>
        <v>1</v>
      </c>
      <c r="AK15" s="85">
        <f>IFERROR(VLOOKUP("SD1_TRENDS",'Company 12'!$B:$E,4,0),"")</f>
        <v>1</v>
      </c>
      <c r="AL15" s="85">
        <f>IFERROR(VLOOKUP("SD2_MARKET",'Company 12'!$B:$E,4,0),"")</f>
        <v>1</v>
      </c>
      <c r="AM15" s="85">
        <f>IFERROR(VLOOKUP("SD3_CATEGORY",'Company 12'!$B:$E,4,0),"")</f>
        <v>0</v>
      </c>
      <c r="AN15" s="85">
        <f>IFERROR(VLOOKUP("SD4_SHIPMENT",'Company 12'!$B:$E,4,0),"")</f>
        <v>1</v>
      </c>
      <c r="AO15" s="85">
        <f>IFERROR(VLOOKUP("SD5_LEAD",'Company 12'!$B:$E,4,0),"")</f>
        <v>0</v>
      </c>
      <c r="AP15" s="85">
        <f>IFERROR(VLOOKUP("SD6_CONJOINT",'Company 12'!$B:$E,4,0),"")</f>
        <v>0</v>
      </c>
    </row>
    <row r="16" spans="2:42" ht="20.100000000000001" customHeight="1">
      <c r="B16" s="83" t="s">
        <v>174</v>
      </c>
      <c r="C16" s="84" t="str">
        <f>IFERROR(VLOOKUP("Interviewee Position",'Company 13'!$B:$C,2,0),"")</f>
        <v>Data Lead / Head of IT &amp; ERP</v>
      </c>
      <c r="D16" s="84" t="str">
        <f>IFERROR(VLOOKUP("Company Industry",'Company 13'!$B:$C,2,0),"")</f>
        <v>Pet Food Manufacturing</v>
      </c>
      <c r="E16" s="84" t="str">
        <f>IFERROR(VLOOKUP("Company Sub-Industry",'Company 13'!$B:$C,2,0),"")</f>
        <v>Manufacturer</v>
      </c>
      <c r="F16" s="3">
        <f>IFERROR(VLOOKUP("Company Size (Turnover)",'Company 13'!$B:$C,2,0),"")</f>
        <v>140000000</v>
      </c>
      <c r="G16" s="84" t="str">
        <f>IFERROR(VLOOKUP("Country",'Company 13'!$B:$C,2,0),"")</f>
        <v>Belgium</v>
      </c>
      <c r="H16" s="85">
        <f>IFERROR(VLOOKUP("B1_INTEREST",'Company 13'!$B:$E,4,0),"")</f>
        <v>9</v>
      </c>
      <c r="I16" s="85">
        <f>IFERROR(VLOOKUP("B2_SHARING",'Company 13'!$B:$E,4,0),"")</f>
        <v>1</v>
      </c>
      <c r="J16" s="85">
        <f>IFERROR(VLOOKUP("B3_MONETIZE",'Company 13'!$B:$E,4,0),"")</f>
        <v>0</v>
      </c>
      <c r="K16" s="85">
        <f>IFERROR(VLOOKUP("B4_STRATEGIC",'Company 13'!$B:$E,4,0),"")</f>
        <v>0</v>
      </c>
      <c r="L16" s="85">
        <f>IFERROR(VLOOKUP("M1_AUTOMATED",'Company 13'!$B:$E,4,0),"")</f>
        <v>3</v>
      </c>
      <c r="M16" s="85">
        <f>IFERROR(VLOOKUP("M2_REALTIME",'Company 13'!$B:$E,4,0),"")</f>
        <v>3</v>
      </c>
      <c r="N16" s="85">
        <f>IFERROR(VLOOKUP("M3_STRATEGIC",'Company 13'!$B:$E,4,0),"")</f>
        <v>4</v>
      </c>
      <c r="O16" s="85">
        <f>IFERROR(VLOOKUP("M4_BREADTH",'Company 13'!$B:$E,4,0),"")</f>
        <v>3</v>
      </c>
      <c r="P16" s="85">
        <f>IFERROR(VLOOKUP("M5_DATATYPES",'Company 13'!$B:$E,4,0),"")</f>
        <v>4</v>
      </c>
      <c r="Q16" s="85">
        <f>IFERROR(VLOOKUP("M6_TRUST",'Company 13'!$B:$E,4,0),"")</f>
        <v>2</v>
      </c>
      <c r="R16" s="85">
        <f>IFERROR(VLOOKUP("M7_BARRIERS",'Company 13'!$B:$E,4,0),"")</f>
        <v>3</v>
      </c>
      <c r="S16" s="85">
        <f>IFERROR(VLOOKUP("M8_IMPACT",'Company 13'!$B:$E,4,0),"")</f>
        <v>3</v>
      </c>
      <c r="T16" s="85">
        <f>IFERROR(VLOOKUP("M9_WILLINGNESS",'Company 13'!$B:$E,4,0),"")</f>
        <v>9</v>
      </c>
      <c r="U16" s="85">
        <f>IFERROR(VLOOKUP("SV1_PRICING",'Company 13'!$B:$E,4,0),"")</f>
        <v>0</v>
      </c>
      <c r="V16" s="85">
        <f>IFERROR(VLOOKUP("SV2_PROMOTIONS",'Company 13'!$B:$E,4,0),"")</f>
        <v>1</v>
      </c>
      <c r="W16" s="85">
        <f>IFERROR(VLOOKUP("SV3_SUPPLYCHAIN",'Company 13'!$B:$E,4,0),"")</f>
        <v>1</v>
      </c>
      <c r="X16" s="85">
        <f>IFERROR(VLOOKUP("SV4_CATEGORY",'Company 13'!$B:$E,4,0),"")</f>
        <v>1</v>
      </c>
      <c r="Y16" s="85">
        <f>IFERROR(VLOOKUP("SV5_DEMAND",'Company 13'!$B:$E,4,0),"")</f>
        <v>0</v>
      </c>
      <c r="Z16" s="85">
        <f>IFERROR(VLOOKUP("SV6_ACCOUNT",'Company 13'!$B:$E,4,0),"")</f>
        <v>0</v>
      </c>
      <c r="AA16" s="85">
        <f>IFERROR(VLOOKUP("SV7_OPS",'Company 13'!$B:$E,4,0),"")</f>
        <v>1</v>
      </c>
      <c r="AB16" s="85">
        <f>IFERROR(VLOOKUP("SC1_DATASENS",'Company 13'!$B:$E,4,0),"")</f>
        <v>1</v>
      </c>
      <c r="AC16" s="85">
        <f>IFERROR(VLOOKUP("SC2_COMPLIANCE",'Company 13'!$B:$E,4,0),"")</f>
        <v>1</v>
      </c>
      <c r="AD16" s="85">
        <f>IFERROR(VLOOKUP("SC3_TRUST",'Company 13'!$B:$E,4,0),"")</f>
        <v>1</v>
      </c>
      <c r="AE16" s="85">
        <f>IFERROR(VLOOKUP("SC4_DATAPROC",'Company 13'!$B:$E,4,0),"")</f>
        <v>1</v>
      </c>
      <c r="AF16" s="85">
        <f>IFERROR(VLOOKUP("SF1_REALTIME",'Company 13'!$B:$E,4,0),"")</f>
        <v>0</v>
      </c>
      <c r="AG16" s="85">
        <f>IFERROR(VLOOKUP("SF2_ACCESS",'Company 13'!$B:$E,4,0),"")</f>
        <v>1</v>
      </c>
      <c r="AH16" s="85">
        <f>IFERROR(VLOOKUP("SF3_UX",'Company 13'!$B:$E,4,0),"")</f>
        <v>0</v>
      </c>
      <c r="AI16" s="85">
        <f>IFERROR(VLOOKUP("SF4_DECISION",'Company 13'!$B:$E,4,0),"")</f>
        <v>1</v>
      </c>
      <c r="AJ16" s="85">
        <f>IFERROR(VLOOKUP("SF5_MASKING",'Company 13'!$B:$E,4,0),"")</f>
        <v>1</v>
      </c>
      <c r="AK16" s="85">
        <f>IFERROR(VLOOKUP("SD1_TRENDS",'Company 13'!$B:$E,4,0),"")</f>
        <v>1</v>
      </c>
      <c r="AL16" s="85">
        <f>IFERROR(VLOOKUP("SD2_MARKET",'Company 13'!$B:$E,4,0),"")</f>
        <v>1</v>
      </c>
      <c r="AM16" s="85">
        <f>IFERROR(VLOOKUP("SD3_CATEGORY",'Company 13'!$B:$E,4,0),"")</f>
        <v>1</v>
      </c>
      <c r="AN16" s="85">
        <f>IFERROR(VLOOKUP("SD4_SHIPMENT",'Company 13'!$B:$E,4,0),"")</f>
        <v>1</v>
      </c>
      <c r="AO16" s="85">
        <f>IFERROR(VLOOKUP("SD5_LEAD",'Company 13'!$B:$E,4,0),"")</f>
        <v>1</v>
      </c>
      <c r="AP16" s="85">
        <f>IFERROR(VLOOKUP("SD6_CONJOINT",'Company 13'!$B:$E,4,0),"")</f>
        <v>0</v>
      </c>
    </row>
    <row r="17" spans="2:42" ht="20.100000000000001" customHeight="1">
      <c r="B17" s="83" t="s">
        <v>175</v>
      </c>
      <c r="C17" s="84" t="str">
        <f>IFERROR(VLOOKUP("Interviewee Position",#REF!,2,0),"")</f>
        <v/>
      </c>
      <c r="D17" s="84" t="str">
        <f>IFERROR(VLOOKUP("Company Industry",#REF!,2,0),"")</f>
        <v/>
      </c>
      <c r="E17" s="84" t="str">
        <f>IFERROR(VLOOKUP("Company Sub-Industry",#REF!,2,0),"")</f>
        <v/>
      </c>
      <c r="F17" s="3" t="str">
        <f>IFERROR(VLOOKUP("Company Size (Turnover)",#REF!,2,0),"")</f>
        <v/>
      </c>
      <c r="G17" s="84" t="str">
        <f>IFERROR(VLOOKUP("Country",#REF!,2,0),"")</f>
        <v/>
      </c>
      <c r="H17" s="85" t="str">
        <f>IFERROR(VLOOKUP("B1_INTEREST",#REF!,4,0),"")</f>
        <v/>
      </c>
      <c r="I17" s="85" t="str">
        <f>IFERROR(VLOOKUP("B2_SHARING",#REF!,4,0),"")</f>
        <v/>
      </c>
      <c r="J17" s="85" t="str">
        <f>IFERROR(VLOOKUP("B3_MONETIZE",#REF!,4,0),"")</f>
        <v/>
      </c>
      <c r="K17" s="85" t="str">
        <f>IFERROR(VLOOKUP("B4_STRATEGIC",#REF!,4,0),"")</f>
        <v/>
      </c>
      <c r="L17" s="85" t="str">
        <f>IFERROR(VLOOKUP("M1_AUTOMATED",#REF!,4,0),"")</f>
        <v/>
      </c>
      <c r="M17" s="85" t="str">
        <f>IFERROR(VLOOKUP("M2_REALTIME",#REF!,4,0),"")</f>
        <v/>
      </c>
      <c r="N17" s="85" t="str">
        <f>IFERROR(VLOOKUP("M3_STRATEGIC",#REF!,4,0),"")</f>
        <v/>
      </c>
      <c r="O17" s="85" t="str">
        <f>IFERROR(VLOOKUP("M4_BREADTH",#REF!,4,0),"")</f>
        <v/>
      </c>
      <c r="P17" s="85" t="str">
        <f>IFERROR(VLOOKUP("M5_DATATYPES",#REF!,4,0),"")</f>
        <v/>
      </c>
      <c r="Q17" s="85" t="str">
        <f>IFERROR(VLOOKUP("M6_TRUST",#REF!,4,0),"")</f>
        <v/>
      </c>
      <c r="R17" s="85" t="str">
        <f>IFERROR(VLOOKUP("M7_BARRIERS",#REF!,4,0),"")</f>
        <v/>
      </c>
      <c r="S17" s="85" t="str">
        <f>IFERROR(VLOOKUP("M8_IMPACT",#REF!,4,0),"")</f>
        <v/>
      </c>
      <c r="T17" s="85" t="str">
        <f>IFERROR(VLOOKUP("M9_WILLINGNESS",#REF!,4,0),"")</f>
        <v/>
      </c>
      <c r="U17" s="85" t="str">
        <f>IFERROR(VLOOKUP("SV1_PRICING",#REF!,4,0),"")</f>
        <v/>
      </c>
      <c r="V17" s="85" t="str">
        <f>IFERROR(VLOOKUP("SV2_PROMOTIONS",#REF!,4,0),"")</f>
        <v/>
      </c>
      <c r="W17" s="85" t="str">
        <f>IFERROR(VLOOKUP("SV3_SUPPLYCHAIN",#REF!,4,0),"")</f>
        <v/>
      </c>
      <c r="X17" s="85" t="str">
        <f>IFERROR(VLOOKUP("SV4_CATEGORY",#REF!,4,0),"")</f>
        <v/>
      </c>
      <c r="Y17" s="85" t="str">
        <f>IFERROR(VLOOKUP("SV5_DEMAND",#REF!,4,0),"")</f>
        <v/>
      </c>
      <c r="Z17" s="85" t="str">
        <f>IFERROR(VLOOKUP("SV6_ACCOUNT",#REF!,4,0),"")</f>
        <v/>
      </c>
      <c r="AA17" s="85" t="str">
        <f>IFERROR(VLOOKUP("SV7_OPS",#REF!,4,0),"")</f>
        <v/>
      </c>
      <c r="AB17" s="85" t="str">
        <f>IFERROR(VLOOKUP("SC1_DATASENS",#REF!,4,0),"")</f>
        <v/>
      </c>
      <c r="AC17" s="85" t="str">
        <f>IFERROR(VLOOKUP("SC2_COMPLIANCE",#REF!,4,0),"")</f>
        <v/>
      </c>
      <c r="AD17" s="85" t="str">
        <f>IFERROR(VLOOKUP("SC3_TRUST",#REF!,4,0),"")</f>
        <v/>
      </c>
      <c r="AE17" s="85" t="str">
        <f>IFERROR(VLOOKUP("SC4_DATAPROC",#REF!,4,0),"")</f>
        <v/>
      </c>
      <c r="AF17" s="85" t="str">
        <f>IFERROR(VLOOKUP("SF1_REALTIME",#REF!,4,0),"")</f>
        <v/>
      </c>
      <c r="AG17" s="85" t="str">
        <f>IFERROR(VLOOKUP("SF2_ACCESS",#REF!,4,0),"")</f>
        <v/>
      </c>
      <c r="AH17" s="85" t="str">
        <f>IFERROR(VLOOKUP("SF3_UX",#REF!,4,0),"")</f>
        <v/>
      </c>
      <c r="AI17" s="85" t="str">
        <f>IFERROR(VLOOKUP("SF4_DECISION",#REF!,4,0),"")</f>
        <v/>
      </c>
      <c r="AJ17" s="85" t="str">
        <f>IFERROR(VLOOKUP("SF5_MASKING",#REF!,4,0),"")</f>
        <v/>
      </c>
      <c r="AK17" s="85" t="str">
        <f>IFERROR(VLOOKUP("SD1_TRENDS",#REF!,4,0),"")</f>
        <v/>
      </c>
      <c r="AL17" s="85" t="str">
        <f>IFERROR(VLOOKUP("SD2_MARKET",#REF!,4,0),"")</f>
        <v/>
      </c>
      <c r="AM17" s="85" t="str">
        <f>IFERROR(VLOOKUP("SD3_CATEGORY",#REF!,4,0),"")</f>
        <v/>
      </c>
      <c r="AN17" s="85" t="str">
        <f>IFERROR(VLOOKUP("SD4_SHIPMENT",#REF!,4,0),"")</f>
        <v/>
      </c>
      <c r="AO17" s="85" t="str">
        <f>IFERROR(VLOOKUP("SD5_LEAD",#REF!,4,0),"")</f>
        <v/>
      </c>
      <c r="AP17" s="85" t="str">
        <f>IFERROR(VLOOKUP("SD6_CONJOINT",#REF!,4,0),"")</f>
        <v/>
      </c>
    </row>
    <row r="18" spans="2:42" ht="20.100000000000001" customHeight="1">
      <c r="B18" s="83" t="s">
        <v>176</v>
      </c>
      <c r="C18" s="84" t="str">
        <f>IFERROR(VLOOKUP("Interviewee Position",#REF!,2,0),"")</f>
        <v/>
      </c>
      <c r="D18" s="84" t="str">
        <f>IFERROR(VLOOKUP("Company Industry",#REF!,2,0),"")</f>
        <v/>
      </c>
      <c r="E18" s="84" t="str">
        <f>IFERROR(VLOOKUP("Company Sub-Industry",#REF!,2,0),"")</f>
        <v/>
      </c>
      <c r="F18" s="3" t="str">
        <f>IFERROR(VLOOKUP("Company Size (Turnover)",#REF!,2,0),"")</f>
        <v/>
      </c>
      <c r="G18" s="84" t="str">
        <f>IFERROR(VLOOKUP("Country",#REF!,2,0),"")</f>
        <v/>
      </c>
      <c r="H18" s="85" t="str">
        <f>IFERROR(VLOOKUP("B1_INTEREST",#REF!,4,0),"")</f>
        <v/>
      </c>
      <c r="I18" s="85" t="str">
        <f>IFERROR(VLOOKUP("B2_SHARING",#REF!,4,0),"")</f>
        <v/>
      </c>
      <c r="J18" s="85" t="str">
        <f>IFERROR(VLOOKUP("B3_MONETIZE",#REF!,4,0),"")</f>
        <v/>
      </c>
      <c r="K18" s="85" t="str">
        <f>IFERROR(VLOOKUP("B4_STRATEGIC",#REF!,4,0),"")</f>
        <v/>
      </c>
      <c r="L18" s="85" t="str">
        <f>IFERROR(VLOOKUP("M1_AUTOMATED",#REF!,4,0),"")</f>
        <v/>
      </c>
      <c r="M18" s="85" t="str">
        <f>IFERROR(VLOOKUP("M2_REALTIME",#REF!,4,0),"")</f>
        <v/>
      </c>
      <c r="N18" s="85" t="str">
        <f>IFERROR(VLOOKUP("M3_STRATEGIC",#REF!,4,0),"")</f>
        <v/>
      </c>
      <c r="O18" s="85" t="str">
        <f>IFERROR(VLOOKUP("M4_BREADTH",#REF!,4,0),"")</f>
        <v/>
      </c>
      <c r="P18" s="85" t="str">
        <f>IFERROR(VLOOKUP("M5_DATATYPES",#REF!,4,0),"")</f>
        <v/>
      </c>
      <c r="Q18" s="85" t="str">
        <f>IFERROR(VLOOKUP("M6_TRUST",#REF!,4,0),"")</f>
        <v/>
      </c>
      <c r="R18" s="85" t="str">
        <f>IFERROR(VLOOKUP("M7_BARRIERS",#REF!,4,0),"")</f>
        <v/>
      </c>
      <c r="S18" s="85" t="str">
        <f>IFERROR(VLOOKUP("M8_IMPACT",#REF!,4,0),"")</f>
        <v/>
      </c>
      <c r="T18" s="85" t="str">
        <f>IFERROR(VLOOKUP("M9_WILLINGNESS",#REF!,4,0),"")</f>
        <v/>
      </c>
      <c r="U18" s="85" t="str">
        <f>IFERROR(VLOOKUP("SV1_PRICING",#REF!,4,0),"")</f>
        <v/>
      </c>
      <c r="V18" s="85" t="str">
        <f>IFERROR(VLOOKUP("SV2_PROMOTIONS",#REF!,4,0),"")</f>
        <v/>
      </c>
      <c r="W18" s="85" t="str">
        <f>IFERROR(VLOOKUP("SV3_SUPPLYCHAIN",#REF!,4,0),"")</f>
        <v/>
      </c>
      <c r="X18" s="85" t="str">
        <f>IFERROR(VLOOKUP("SV4_CATEGORY",#REF!,4,0),"")</f>
        <v/>
      </c>
      <c r="Y18" s="85" t="str">
        <f>IFERROR(VLOOKUP("SV5_DEMAND",#REF!,4,0),"")</f>
        <v/>
      </c>
      <c r="Z18" s="85" t="str">
        <f>IFERROR(VLOOKUP("SV6_ACCOUNT",#REF!,4,0),"")</f>
        <v/>
      </c>
      <c r="AA18" s="85" t="str">
        <f>IFERROR(VLOOKUP("SV7_OPS",#REF!,4,0),"")</f>
        <v/>
      </c>
      <c r="AB18" s="85" t="str">
        <f>IFERROR(VLOOKUP("SC1_DATASENS",#REF!,4,0),"")</f>
        <v/>
      </c>
      <c r="AC18" s="85" t="str">
        <f>IFERROR(VLOOKUP("SC2_COMPLIANCE",#REF!,4,0),"")</f>
        <v/>
      </c>
      <c r="AD18" s="85" t="str">
        <f>IFERROR(VLOOKUP("SC3_TRUST",#REF!,4,0),"")</f>
        <v/>
      </c>
      <c r="AE18" s="85" t="str">
        <f>IFERROR(VLOOKUP("SC4_DATAPROC",#REF!,4,0),"")</f>
        <v/>
      </c>
      <c r="AF18" s="85" t="str">
        <f>IFERROR(VLOOKUP("SF1_REALTIME",#REF!,4,0),"")</f>
        <v/>
      </c>
      <c r="AG18" s="85" t="str">
        <f>IFERROR(VLOOKUP("SF2_ACCESS",#REF!,4,0),"")</f>
        <v/>
      </c>
      <c r="AH18" s="85" t="str">
        <f>IFERROR(VLOOKUP("SF3_UX",#REF!,4,0),"")</f>
        <v/>
      </c>
      <c r="AI18" s="85" t="str">
        <f>IFERROR(VLOOKUP("SF4_DECISION",#REF!,4,0),"")</f>
        <v/>
      </c>
      <c r="AJ18" s="85" t="str">
        <f>IFERROR(VLOOKUP("SF5_MASKING",#REF!,4,0),"")</f>
        <v/>
      </c>
      <c r="AK18" s="85" t="str">
        <f>IFERROR(VLOOKUP("SD1_TRENDS",#REF!,4,0),"")</f>
        <v/>
      </c>
      <c r="AL18" s="85" t="str">
        <f>IFERROR(VLOOKUP("SD2_MARKET",#REF!,4,0),"")</f>
        <v/>
      </c>
      <c r="AM18" s="85" t="str">
        <f>IFERROR(VLOOKUP("SD3_CATEGORY",#REF!,4,0),"")</f>
        <v/>
      </c>
      <c r="AN18" s="85" t="str">
        <f>IFERROR(VLOOKUP("SD4_SHIPMENT",#REF!,4,0),"")</f>
        <v/>
      </c>
      <c r="AO18" s="85" t="str">
        <f>IFERROR(VLOOKUP("SD5_LEAD",#REF!,4,0),"")</f>
        <v/>
      </c>
      <c r="AP18" s="85" t="str">
        <f>IFERROR(VLOOKUP("SD6_CONJOINT",#REF!,4,0),"")</f>
        <v/>
      </c>
    </row>
    <row r="19" spans="2:42" ht="20.100000000000001" customHeight="1">
      <c r="B19" s="83" t="s">
        <v>177</v>
      </c>
      <c r="C19" s="84" t="str">
        <f>IFERROR(VLOOKUP("Interviewee Position",#REF!,2,0),"")</f>
        <v/>
      </c>
      <c r="D19" s="84" t="str">
        <f>IFERROR(VLOOKUP("Company Industry",#REF!,2,0),"")</f>
        <v/>
      </c>
      <c r="E19" s="84" t="str">
        <f>IFERROR(VLOOKUP("Company Sub-Industry",#REF!,2,0),"")</f>
        <v/>
      </c>
      <c r="F19" s="3" t="str">
        <f>IFERROR(VLOOKUP("Company Size (Turnover)",#REF!,2,0),"")</f>
        <v/>
      </c>
      <c r="G19" s="84" t="str">
        <f>IFERROR(VLOOKUP("Country",#REF!,2,0),"")</f>
        <v/>
      </c>
      <c r="H19" s="85" t="str">
        <f>IFERROR(VLOOKUP("B1_INTEREST",#REF!,4,0),"")</f>
        <v/>
      </c>
      <c r="I19" s="85" t="str">
        <f>IFERROR(VLOOKUP("B2_SHARING",#REF!,4,0),"")</f>
        <v/>
      </c>
      <c r="J19" s="85" t="str">
        <f>IFERROR(VLOOKUP("B3_MONETIZE",#REF!,4,0),"")</f>
        <v/>
      </c>
      <c r="K19" s="85" t="str">
        <f>IFERROR(VLOOKUP("B4_STRATEGIC",#REF!,4,0),"")</f>
        <v/>
      </c>
      <c r="L19" s="85" t="str">
        <f>IFERROR(VLOOKUP("M1_AUTOMATED",#REF!,4,0),"")</f>
        <v/>
      </c>
      <c r="M19" s="85" t="str">
        <f>IFERROR(VLOOKUP("M2_REALTIME",#REF!,4,0),"")</f>
        <v/>
      </c>
      <c r="N19" s="85" t="str">
        <f>IFERROR(VLOOKUP("M3_STRATEGIC",#REF!,4,0),"")</f>
        <v/>
      </c>
      <c r="O19" s="85" t="str">
        <f>IFERROR(VLOOKUP("M4_BREADTH",#REF!,4,0),"")</f>
        <v/>
      </c>
      <c r="P19" s="85" t="str">
        <f>IFERROR(VLOOKUP("M5_DATATYPES",#REF!,4,0),"")</f>
        <v/>
      </c>
      <c r="Q19" s="85" t="str">
        <f>IFERROR(VLOOKUP("M6_TRUST",#REF!,4,0),"")</f>
        <v/>
      </c>
      <c r="R19" s="85" t="str">
        <f>IFERROR(VLOOKUP("M7_BARRIERS",#REF!,4,0),"")</f>
        <v/>
      </c>
      <c r="S19" s="85" t="str">
        <f>IFERROR(VLOOKUP("M8_IMPACT",#REF!,4,0),"")</f>
        <v/>
      </c>
      <c r="T19" s="85" t="str">
        <f>IFERROR(VLOOKUP("M9_WILLINGNESS",#REF!,4,0),"")</f>
        <v/>
      </c>
      <c r="U19" s="85" t="str">
        <f>IFERROR(VLOOKUP("SV1_PRICING",#REF!,4,0),"")</f>
        <v/>
      </c>
      <c r="V19" s="85" t="str">
        <f>IFERROR(VLOOKUP("SV2_PROMOTIONS",#REF!,4,0),"")</f>
        <v/>
      </c>
      <c r="W19" s="85" t="str">
        <f>IFERROR(VLOOKUP("SV3_SUPPLYCHAIN",#REF!,4,0),"")</f>
        <v/>
      </c>
      <c r="X19" s="85" t="str">
        <f>IFERROR(VLOOKUP("SV4_CATEGORY",#REF!,4,0),"")</f>
        <v/>
      </c>
      <c r="Y19" s="85" t="str">
        <f>IFERROR(VLOOKUP("SV5_DEMAND",#REF!,4,0),"")</f>
        <v/>
      </c>
      <c r="Z19" s="85" t="str">
        <f>IFERROR(VLOOKUP("SV6_ACCOUNT",#REF!,4,0),"")</f>
        <v/>
      </c>
      <c r="AA19" s="85" t="str">
        <f>IFERROR(VLOOKUP("SV7_OPS",#REF!,4,0),"")</f>
        <v/>
      </c>
      <c r="AB19" s="85" t="str">
        <f>IFERROR(VLOOKUP("SC1_DATASENS",#REF!,4,0),"")</f>
        <v/>
      </c>
      <c r="AC19" s="85" t="str">
        <f>IFERROR(VLOOKUP("SC2_COMPLIANCE",#REF!,4,0),"")</f>
        <v/>
      </c>
      <c r="AD19" s="85" t="str">
        <f>IFERROR(VLOOKUP("SC3_TRUST",#REF!,4,0),"")</f>
        <v/>
      </c>
      <c r="AE19" s="85" t="str">
        <f>IFERROR(VLOOKUP("SC4_DATAPROC",#REF!,4,0),"")</f>
        <v/>
      </c>
      <c r="AF19" s="85" t="str">
        <f>IFERROR(VLOOKUP("SF1_REALTIME",#REF!,4,0),"")</f>
        <v/>
      </c>
      <c r="AG19" s="85" t="str">
        <f>IFERROR(VLOOKUP("SF2_ACCESS",#REF!,4,0),"")</f>
        <v/>
      </c>
      <c r="AH19" s="85" t="str">
        <f>IFERROR(VLOOKUP("SF3_UX",#REF!,4,0),"")</f>
        <v/>
      </c>
      <c r="AI19" s="85" t="str">
        <f>IFERROR(VLOOKUP("SF4_DECISION",#REF!,4,0),"")</f>
        <v/>
      </c>
      <c r="AJ19" s="85" t="str">
        <f>IFERROR(VLOOKUP("SF5_MASKING",#REF!,4,0),"")</f>
        <v/>
      </c>
      <c r="AK19" s="85" t="str">
        <f>IFERROR(VLOOKUP("SD1_TRENDS",#REF!,4,0),"")</f>
        <v/>
      </c>
      <c r="AL19" s="85" t="str">
        <f>IFERROR(VLOOKUP("SD2_MARKET",#REF!,4,0),"")</f>
        <v/>
      </c>
      <c r="AM19" s="85" t="str">
        <f>IFERROR(VLOOKUP("SD3_CATEGORY",#REF!,4,0),"")</f>
        <v/>
      </c>
      <c r="AN19" s="85" t="str">
        <f>IFERROR(VLOOKUP("SD4_SHIPMENT",#REF!,4,0),"")</f>
        <v/>
      </c>
      <c r="AO19" s="85" t="str">
        <f>IFERROR(VLOOKUP("SD5_LEAD",#REF!,4,0),"")</f>
        <v/>
      </c>
      <c r="AP19" s="85" t="str">
        <f>IFERROR(VLOOKUP("SD6_CONJOINT",#REF!,4,0),"")</f>
        <v/>
      </c>
    </row>
    <row r="20" spans="2:42" ht="20.100000000000001" customHeight="1">
      <c r="B20" s="83" t="s">
        <v>178</v>
      </c>
      <c r="C20" s="84" t="str">
        <f>IFERROR(VLOOKUP("Interviewee Position",#REF!,2,0),"")</f>
        <v/>
      </c>
      <c r="D20" s="84" t="str">
        <f>IFERROR(VLOOKUP("Company Industry",#REF!,2,0),"")</f>
        <v/>
      </c>
      <c r="E20" s="84" t="str">
        <f>IFERROR(VLOOKUP("Company Sub-Industry",#REF!,2,0),"")</f>
        <v/>
      </c>
      <c r="F20" s="3" t="str">
        <f>IFERROR(VLOOKUP("Company Size (Turnover)",#REF!,2,0),"")</f>
        <v/>
      </c>
      <c r="G20" s="84" t="str">
        <f>IFERROR(VLOOKUP("Country",#REF!,2,0),"")</f>
        <v/>
      </c>
      <c r="H20" s="85" t="str">
        <f>IFERROR(VLOOKUP("B1_INTEREST",#REF!,4,0),"")</f>
        <v/>
      </c>
      <c r="I20" s="85" t="str">
        <f>IFERROR(VLOOKUP("B2_SHARING",#REF!,4,0),"")</f>
        <v/>
      </c>
      <c r="J20" s="85" t="str">
        <f>IFERROR(VLOOKUP("B3_MONETIZE",#REF!,4,0),"")</f>
        <v/>
      </c>
      <c r="K20" s="85" t="str">
        <f>IFERROR(VLOOKUP("B4_STRATEGIC",#REF!,4,0),"")</f>
        <v/>
      </c>
      <c r="L20" s="85" t="str">
        <f>IFERROR(VLOOKUP("M1_AUTOMATED",#REF!,4,0),"")</f>
        <v/>
      </c>
      <c r="M20" s="85" t="str">
        <f>IFERROR(VLOOKUP("M2_REALTIME",#REF!,4,0),"")</f>
        <v/>
      </c>
      <c r="N20" s="85" t="str">
        <f>IFERROR(VLOOKUP("M3_STRATEGIC",#REF!,4,0),"")</f>
        <v/>
      </c>
      <c r="O20" s="85" t="str">
        <f>IFERROR(VLOOKUP("M4_BREADTH",#REF!,4,0),"")</f>
        <v/>
      </c>
      <c r="P20" s="85" t="str">
        <f>IFERROR(VLOOKUP("M5_DATATYPES",#REF!,4,0),"")</f>
        <v/>
      </c>
      <c r="Q20" s="85" t="str">
        <f>IFERROR(VLOOKUP("M6_TRUST",#REF!,4,0),"")</f>
        <v/>
      </c>
      <c r="R20" s="85" t="str">
        <f>IFERROR(VLOOKUP("M7_BARRIERS",#REF!,4,0),"")</f>
        <v/>
      </c>
      <c r="S20" s="85" t="str">
        <f>IFERROR(VLOOKUP("M8_IMPACT",#REF!,4,0),"")</f>
        <v/>
      </c>
      <c r="T20" s="85" t="str">
        <f>IFERROR(VLOOKUP("M9_WILLINGNESS",#REF!,4,0),"")</f>
        <v/>
      </c>
      <c r="U20" s="85" t="str">
        <f>IFERROR(VLOOKUP("SV1_PRICING",#REF!,4,0),"")</f>
        <v/>
      </c>
      <c r="V20" s="85" t="str">
        <f>IFERROR(VLOOKUP("SV2_PROMOTIONS",#REF!,4,0),"")</f>
        <v/>
      </c>
      <c r="W20" s="85" t="str">
        <f>IFERROR(VLOOKUP("SV3_SUPPLYCHAIN",#REF!,4,0),"")</f>
        <v/>
      </c>
      <c r="X20" s="85" t="str">
        <f>IFERROR(VLOOKUP("SV4_CATEGORY",#REF!,4,0),"")</f>
        <v/>
      </c>
      <c r="Y20" s="85" t="str">
        <f>IFERROR(VLOOKUP("SV5_DEMAND",#REF!,4,0),"")</f>
        <v/>
      </c>
      <c r="Z20" s="85" t="str">
        <f>IFERROR(VLOOKUP("SV6_ACCOUNT",#REF!,4,0),"")</f>
        <v/>
      </c>
      <c r="AA20" s="85" t="str">
        <f>IFERROR(VLOOKUP("SV7_OPS",#REF!,4,0),"")</f>
        <v/>
      </c>
      <c r="AB20" s="85" t="str">
        <f>IFERROR(VLOOKUP("SC1_DATASENS",#REF!,4,0),"")</f>
        <v/>
      </c>
      <c r="AC20" s="85" t="str">
        <f>IFERROR(VLOOKUP("SC2_COMPLIANCE",#REF!,4,0),"")</f>
        <v/>
      </c>
      <c r="AD20" s="85" t="str">
        <f>IFERROR(VLOOKUP("SC3_TRUST",#REF!,4,0),"")</f>
        <v/>
      </c>
      <c r="AE20" s="85" t="str">
        <f>IFERROR(VLOOKUP("SC4_DATAPROC",#REF!,4,0),"")</f>
        <v/>
      </c>
      <c r="AF20" s="85" t="str">
        <f>IFERROR(VLOOKUP("SF1_REALTIME",#REF!,4,0),"")</f>
        <v/>
      </c>
      <c r="AG20" s="85" t="str">
        <f>IFERROR(VLOOKUP("SF2_ACCESS",#REF!,4,0),"")</f>
        <v/>
      </c>
      <c r="AH20" s="85" t="str">
        <f>IFERROR(VLOOKUP("SF3_UX",#REF!,4,0),"")</f>
        <v/>
      </c>
      <c r="AI20" s="85" t="str">
        <f>IFERROR(VLOOKUP("SF4_DECISION",#REF!,4,0),"")</f>
        <v/>
      </c>
      <c r="AJ20" s="85" t="str">
        <f>IFERROR(VLOOKUP("SF5_MASKING",#REF!,4,0),"")</f>
        <v/>
      </c>
      <c r="AK20" s="85" t="str">
        <f>IFERROR(VLOOKUP("SD1_TRENDS",#REF!,4,0),"")</f>
        <v/>
      </c>
      <c r="AL20" s="85" t="str">
        <f>IFERROR(VLOOKUP("SD2_MARKET",#REF!,4,0),"")</f>
        <v/>
      </c>
      <c r="AM20" s="85" t="str">
        <f>IFERROR(VLOOKUP("SD3_CATEGORY",#REF!,4,0),"")</f>
        <v/>
      </c>
      <c r="AN20" s="85" t="str">
        <f>IFERROR(VLOOKUP("SD4_SHIPMENT",#REF!,4,0),"")</f>
        <v/>
      </c>
      <c r="AO20" s="85" t="str">
        <f>IFERROR(VLOOKUP("SD5_LEAD",#REF!,4,0),"")</f>
        <v/>
      </c>
      <c r="AP20" s="85" t="str">
        <f>IFERROR(VLOOKUP("SD6_CONJOINT",#REF!,4,0),"")</f>
        <v/>
      </c>
    </row>
    <row r="21" spans="2:42" ht="20.100000000000001" customHeight="1">
      <c r="B21" s="83" t="s">
        <v>179</v>
      </c>
      <c r="C21" s="84">
        <f>IFERROR(VLOOKUP("Interviewee Position",'Company 18'!$B:$C,2,0),"")</f>
        <v>0</v>
      </c>
      <c r="D21" s="84">
        <f>IFERROR(VLOOKUP("Company Industry",'Company 18'!$B:$C,2,0),"")</f>
        <v>0</v>
      </c>
      <c r="E21" s="84">
        <f>IFERROR(VLOOKUP("Company Sub-Industry",'Company 18'!$B:$C,2,0),"")</f>
        <v>0</v>
      </c>
      <c r="F21" s="3">
        <f>IFERROR(VLOOKUP("Company Size (Turnover)",'Company 18'!$B:$C,2,0),"")</f>
        <v>0</v>
      </c>
      <c r="G21" s="84">
        <f>IFERROR(VLOOKUP("Country",'Company 18'!$B:$C,2,0),"")</f>
        <v>0</v>
      </c>
      <c r="H21" s="85">
        <f>IFERROR(VLOOKUP("B1_INTEREST",'Company 18'!$B:$E,4,0),"")</f>
        <v>0</v>
      </c>
      <c r="I21" s="85">
        <f>IFERROR(VLOOKUP("B2_SHARING",'Company 18'!$B:$E,4,0),"")</f>
        <v>0</v>
      </c>
      <c r="J21" s="85">
        <f>IFERROR(VLOOKUP("B3_MONETIZE",'Company 18'!$B:$E,4,0),"")</f>
        <v>0</v>
      </c>
      <c r="K21" s="85">
        <f>IFERROR(VLOOKUP("B4_STRATEGIC",'Company 18'!$B:$E,4,0),"")</f>
        <v>0</v>
      </c>
      <c r="L21" s="85">
        <f>IFERROR(VLOOKUP("M1_AUTOMATED",'Company 18'!$B:$E,4,0),"")</f>
        <v>0</v>
      </c>
      <c r="M21" s="85">
        <f>IFERROR(VLOOKUP("M2_REALTIME",'Company 18'!$B:$E,4,0),"")</f>
        <v>0</v>
      </c>
      <c r="N21" s="85">
        <f>IFERROR(VLOOKUP("M3_STRATEGIC",'Company 18'!$B:$E,4,0),"")</f>
        <v>0</v>
      </c>
      <c r="O21" s="85">
        <f>IFERROR(VLOOKUP("M4_BREADTH",'Company 18'!$B:$E,4,0),"")</f>
        <v>0</v>
      </c>
      <c r="P21" s="85">
        <f>IFERROR(VLOOKUP("M5_DATATYPES",'Company 18'!$B:$E,4,0),"")</f>
        <v>0</v>
      </c>
      <c r="Q21" s="85">
        <f>IFERROR(VLOOKUP("M6_TRUST",'Company 18'!$B:$E,4,0),"")</f>
        <v>0</v>
      </c>
      <c r="R21" s="85">
        <f>IFERROR(VLOOKUP("M7_BARRIERS",'Company 18'!$B:$E,4,0),"")</f>
        <v>0</v>
      </c>
      <c r="S21" s="85">
        <f>IFERROR(VLOOKUP("M8_IMPACT",'Company 18'!$B:$E,4,0),"")</f>
        <v>0</v>
      </c>
      <c r="T21" s="85">
        <f>IFERROR(VLOOKUP("M9_WILLINGNESS",'Company 18'!$B:$E,4,0),"")</f>
        <v>0</v>
      </c>
      <c r="U21" s="85">
        <f>IFERROR(VLOOKUP("SV1_PRICING",'Company 18'!$B:$E,4,0),"")</f>
        <v>0</v>
      </c>
      <c r="V21" s="85">
        <f>IFERROR(VLOOKUP("SV2_PROMOTIONS",'Company 18'!$B:$E,4,0),"")</f>
        <v>0</v>
      </c>
      <c r="W21" s="85">
        <f>IFERROR(VLOOKUP("SV3_SUPPLYCHAIN",'Company 18'!$B:$E,4,0),"")</f>
        <v>0</v>
      </c>
      <c r="X21" s="85">
        <f>IFERROR(VLOOKUP("SV4_CATEGORY",'Company 18'!$B:$E,4,0),"")</f>
        <v>0</v>
      </c>
      <c r="Y21" s="85">
        <f>IFERROR(VLOOKUP("SV5_DEMAND",'Company 18'!$B:$E,4,0),"")</f>
        <v>0</v>
      </c>
      <c r="Z21" s="85">
        <f>IFERROR(VLOOKUP("SV6_ACCOUNT",'Company 18'!$B:$E,4,0),"")</f>
        <v>0</v>
      </c>
      <c r="AA21" s="85">
        <f>IFERROR(VLOOKUP("SV7_OPS",'Company 18'!$B:$E,4,0),"")</f>
        <v>0</v>
      </c>
      <c r="AB21" s="85">
        <f>IFERROR(VLOOKUP("SC1_DATASENS",'Company 18'!$B:$E,4,0),"")</f>
        <v>0</v>
      </c>
      <c r="AC21" s="85">
        <f>IFERROR(VLOOKUP("SC2_COMPLIANCE",'Company 18'!$B:$E,4,0),"")</f>
        <v>0</v>
      </c>
      <c r="AD21" s="85">
        <f>IFERROR(VLOOKUP("SC3_TRUST",'Company 18'!$B:$E,4,0),"")</f>
        <v>0</v>
      </c>
      <c r="AE21" s="85">
        <f>IFERROR(VLOOKUP("SC4_DATAPROC",'Company 18'!$B:$E,4,0),"")</f>
        <v>0</v>
      </c>
      <c r="AF21" s="85">
        <f>IFERROR(VLOOKUP("SF1_REALTIME",'Company 18'!$B:$E,4,0),"")</f>
        <v>0</v>
      </c>
      <c r="AG21" s="85">
        <f>IFERROR(VLOOKUP("SF2_ACCESS",'Company 18'!$B:$E,4,0),"")</f>
        <v>0</v>
      </c>
      <c r="AH21" s="85">
        <f>IFERROR(VLOOKUP("SF3_UX",'Company 18'!$B:$E,4,0),"")</f>
        <v>0</v>
      </c>
      <c r="AI21" s="85">
        <f>IFERROR(VLOOKUP("SF4_DECISION",'Company 18'!$B:$E,4,0),"")</f>
        <v>0</v>
      </c>
      <c r="AJ21" s="85">
        <f>IFERROR(VLOOKUP("SF5_MASKING",'Company 18'!$B:$E,4,0),"")</f>
        <v>0</v>
      </c>
      <c r="AK21" s="85">
        <f>IFERROR(VLOOKUP("SD1_TRENDS",'Company 18'!$B:$E,4,0),"")</f>
        <v>0</v>
      </c>
      <c r="AL21" s="85">
        <f>IFERROR(VLOOKUP("SD2_MARKET",'Company 18'!$B:$E,4,0),"")</f>
        <v>0</v>
      </c>
      <c r="AM21" s="85">
        <f>IFERROR(VLOOKUP("SD3_CATEGORY",'Company 18'!$B:$E,4,0),"")</f>
        <v>0</v>
      </c>
      <c r="AN21" s="85">
        <f>IFERROR(VLOOKUP("SD4_SHIPMENT",'Company 18'!$B:$E,4,0),"")</f>
        <v>0</v>
      </c>
      <c r="AO21" s="85">
        <f>IFERROR(VLOOKUP("SD5_LEAD",'Company 18'!$B:$E,4,0),"")</f>
        <v>0</v>
      </c>
      <c r="AP21" s="85">
        <f>IFERROR(VLOOKUP("SD6_CONJOINT",'Company 18'!$B:$E,4,0),"")</f>
        <v>0</v>
      </c>
    </row>
    <row r="22" spans="2:42" ht="20.100000000000001" customHeight="1">
      <c r="B22" s="83" t="s">
        <v>180</v>
      </c>
      <c r="C22" s="84">
        <f>IFERROR(VLOOKUP("Interviewee Position",'Company 19'!$B:$C,2,0),"")</f>
        <v>0</v>
      </c>
      <c r="D22" s="84">
        <f>IFERROR(VLOOKUP("Company Industry",'Company 19'!$B:$C,2,0),"")</f>
        <v>0</v>
      </c>
      <c r="E22" s="84">
        <f>IFERROR(VLOOKUP("Company Sub-Industry",'Company 19'!$B:$C,2,0),"")</f>
        <v>0</v>
      </c>
      <c r="F22" s="3">
        <f>IFERROR(VLOOKUP("Company Size (Turnover)",'Company 19'!$B:$C,2,0),"")</f>
        <v>0</v>
      </c>
      <c r="G22" s="84">
        <f>IFERROR(VLOOKUP("Country",'Company 19'!$B:$C,2,0),"")</f>
        <v>0</v>
      </c>
      <c r="H22" s="85">
        <f>IFERROR(VLOOKUP("B1_INTEREST",'Company 19'!$B:$E,4,0),"")</f>
        <v>0</v>
      </c>
      <c r="I22" s="85">
        <f>IFERROR(VLOOKUP("B2_SHARING",'Company 19'!$B:$E,4,0),"")</f>
        <v>0</v>
      </c>
      <c r="J22" s="85">
        <f>IFERROR(VLOOKUP("B3_MONETIZE",'Company 19'!$B:$E,4,0),"")</f>
        <v>0</v>
      </c>
      <c r="K22" s="85">
        <f>IFERROR(VLOOKUP("B4_STRATEGIC",'Company 19'!$B:$E,4,0),"")</f>
        <v>0</v>
      </c>
      <c r="L22" s="85">
        <f>IFERROR(VLOOKUP("M1_AUTOMATED",'Company 19'!$B:$E,4,0),"")</f>
        <v>0</v>
      </c>
      <c r="M22" s="85">
        <f>IFERROR(VLOOKUP("M2_REALTIME",'Company 19'!$B:$E,4,0),"")</f>
        <v>0</v>
      </c>
      <c r="N22" s="85">
        <f>IFERROR(VLOOKUP("M3_STRATEGIC",'Company 19'!$B:$E,4,0),"")</f>
        <v>0</v>
      </c>
      <c r="O22" s="85">
        <f>IFERROR(VLOOKUP("M4_BREADTH",'Company 19'!$B:$E,4,0),"")</f>
        <v>0</v>
      </c>
      <c r="P22" s="85">
        <f>IFERROR(VLOOKUP("M5_DATATYPES",'Company 19'!$B:$E,4,0),"")</f>
        <v>0</v>
      </c>
      <c r="Q22" s="85">
        <f>IFERROR(VLOOKUP("M6_TRUST",'Company 19'!$B:$E,4,0),"")</f>
        <v>0</v>
      </c>
      <c r="R22" s="85">
        <f>IFERROR(VLOOKUP("M7_BARRIERS",'Company 19'!$B:$E,4,0),"")</f>
        <v>0</v>
      </c>
      <c r="S22" s="85">
        <f>IFERROR(VLOOKUP("M8_IMPACT",'Company 19'!$B:$E,4,0),"")</f>
        <v>0</v>
      </c>
      <c r="T22" s="85">
        <f>IFERROR(VLOOKUP("M9_WILLINGNESS",'Company 19'!$B:$E,4,0),"")</f>
        <v>0</v>
      </c>
      <c r="U22" s="85">
        <f>IFERROR(VLOOKUP("SV1_PRICING",'Company 19'!$B:$E,4,0),"")</f>
        <v>0</v>
      </c>
      <c r="V22" s="85">
        <f>IFERROR(VLOOKUP("SV2_PROMOTIONS",'Company 19'!$B:$E,4,0),"")</f>
        <v>0</v>
      </c>
      <c r="W22" s="85">
        <f>IFERROR(VLOOKUP("SV3_SUPPLYCHAIN",'Company 19'!$B:$E,4,0),"")</f>
        <v>0</v>
      </c>
      <c r="X22" s="85">
        <f>IFERROR(VLOOKUP("SV4_CATEGORY",'Company 19'!$B:$E,4,0),"")</f>
        <v>0</v>
      </c>
      <c r="Y22" s="85">
        <f>IFERROR(VLOOKUP("SV5_DEMAND",'Company 19'!$B:$E,4,0),"")</f>
        <v>0</v>
      </c>
      <c r="Z22" s="85">
        <f>IFERROR(VLOOKUP("SV6_ACCOUNT",'Company 19'!$B:$E,4,0),"")</f>
        <v>0</v>
      </c>
      <c r="AA22" s="85">
        <f>IFERROR(VLOOKUP("SV7_OPS",'Company 19'!$B:$E,4,0),"")</f>
        <v>0</v>
      </c>
      <c r="AB22" s="85">
        <f>IFERROR(VLOOKUP("SC1_DATASENS",'Company 19'!$B:$E,4,0),"")</f>
        <v>0</v>
      </c>
      <c r="AC22" s="85">
        <f>IFERROR(VLOOKUP("SC2_COMPLIANCE",'Company 19'!$B:$E,4,0),"")</f>
        <v>0</v>
      </c>
      <c r="AD22" s="85">
        <f>IFERROR(VLOOKUP("SC3_TRUST",'Company 19'!$B:$E,4,0),"")</f>
        <v>0</v>
      </c>
      <c r="AE22" s="85">
        <f>IFERROR(VLOOKUP("SC4_DATAPROC",'Company 19'!$B:$E,4,0),"")</f>
        <v>0</v>
      </c>
      <c r="AF22" s="85">
        <f>IFERROR(VLOOKUP("SF1_REALTIME",'Company 19'!$B:$E,4,0),"")</f>
        <v>0</v>
      </c>
      <c r="AG22" s="85">
        <f>IFERROR(VLOOKUP("SF2_ACCESS",'Company 19'!$B:$E,4,0),"")</f>
        <v>0</v>
      </c>
      <c r="AH22" s="85">
        <f>IFERROR(VLOOKUP("SF3_UX",'Company 19'!$B:$E,4,0),"")</f>
        <v>0</v>
      </c>
      <c r="AI22" s="85">
        <f>IFERROR(VLOOKUP("SF4_DECISION",'Company 19'!$B:$E,4,0),"")</f>
        <v>0</v>
      </c>
      <c r="AJ22" s="85">
        <f>IFERROR(VLOOKUP("SF5_MASKING",'Company 19'!$B:$E,4,0),"")</f>
        <v>0</v>
      </c>
      <c r="AK22" s="85">
        <f>IFERROR(VLOOKUP("SD1_TRENDS",'Company 19'!$B:$E,4,0),"")</f>
        <v>0</v>
      </c>
      <c r="AL22" s="85">
        <f>IFERROR(VLOOKUP("SD2_MARKET",'Company 19'!$B:$E,4,0),"")</f>
        <v>0</v>
      </c>
      <c r="AM22" s="85">
        <f>IFERROR(VLOOKUP("SD3_CATEGORY",'Company 19'!$B:$E,4,0),"")</f>
        <v>0</v>
      </c>
      <c r="AN22" s="85">
        <f>IFERROR(VLOOKUP("SD4_SHIPMENT",'Company 19'!$B:$E,4,0),"")</f>
        <v>0</v>
      </c>
      <c r="AO22" s="85">
        <f>IFERROR(VLOOKUP("SD5_LEAD",'Company 19'!$B:$E,4,0),"")</f>
        <v>0</v>
      </c>
      <c r="AP22" s="85">
        <f>IFERROR(VLOOKUP("SD6_CONJOINT",'Company 19'!$B:$E,4,0),"")</f>
        <v>0</v>
      </c>
    </row>
    <row r="23" spans="2:42" ht="20.100000000000001" customHeight="1">
      <c r="B23" s="83" t="s">
        <v>181</v>
      </c>
      <c r="C23" s="84">
        <f>IFERROR(VLOOKUP("Interviewee Position",'Company 20'!$B:$C,2,0),"")</f>
        <v>0</v>
      </c>
      <c r="D23" s="84">
        <f>IFERROR(VLOOKUP("Company Industry",'Company 20'!$B:$C,2,0),"")</f>
        <v>0</v>
      </c>
      <c r="E23" s="84">
        <f>IFERROR(VLOOKUP("Company Sub-Industry",'Company 20'!$B:$C,2,0),"")</f>
        <v>0</v>
      </c>
      <c r="F23" s="3">
        <f>IFERROR(VLOOKUP("Company Size (Turnover)",'Company 20'!$B:$C,2,0),"")</f>
        <v>0</v>
      </c>
      <c r="G23" s="84">
        <f>IFERROR(VLOOKUP("Country",'Company 20'!$B:$C,2,0),"")</f>
        <v>0</v>
      </c>
      <c r="H23" s="85">
        <f>IFERROR(VLOOKUP("B1_INTEREST",'Company 20'!$B:$E,4,0),"")</f>
        <v>0</v>
      </c>
      <c r="I23" s="85">
        <f>IFERROR(VLOOKUP("B2_SHARING",'Company 20'!$B:$E,4,0),"")</f>
        <v>0</v>
      </c>
      <c r="J23" s="85">
        <f>IFERROR(VLOOKUP("B3_MONETIZE",'Company 20'!$B:$E,4,0),"")</f>
        <v>0</v>
      </c>
      <c r="K23" s="85">
        <f>IFERROR(VLOOKUP("B4_STRATEGIC",'Company 20'!$B:$E,4,0),"")</f>
        <v>0</v>
      </c>
      <c r="L23" s="85">
        <f>IFERROR(VLOOKUP("M1_AUTOMATED",'Company 20'!$B:$E,4,0),"")</f>
        <v>0</v>
      </c>
      <c r="M23" s="85">
        <f>IFERROR(VLOOKUP("M2_REALTIME",'Company 20'!$B:$E,4,0),"")</f>
        <v>0</v>
      </c>
      <c r="N23" s="85">
        <f>IFERROR(VLOOKUP("M3_STRATEGIC",'Company 20'!$B:$E,4,0),"")</f>
        <v>0</v>
      </c>
      <c r="O23" s="85">
        <f>IFERROR(VLOOKUP("M4_BREADTH",'Company 20'!$B:$E,4,0),"")</f>
        <v>0</v>
      </c>
      <c r="P23" s="85">
        <f>IFERROR(VLOOKUP("M5_DATATYPES",'Company 20'!$B:$E,4,0),"")</f>
        <v>0</v>
      </c>
      <c r="Q23" s="85">
        <f>IFERROR(VLOOKUP("M6_TRUST",'Company 20'!$B:$E,4,0),"")</f>
        <v>0</v>
      </c>
      <c r="R23" s="85">
        <f>IFERROR(VLOOKUP("M7_BARRIERS",'Company 20'!$B:$E,4,0),"")</f>
        <v>0</v>
      </c>
      <c r="S23" s="85">
        <f>IFERROR(VLOOKUP("M8_IMPACT",'Company 20'!$B:$E,4,0),"")</f>
        <v>0</v>
      </c>
      <c r="T23" s="85">
        <f>IFERROR(VLOOKUP("M9_WILLINGNESS",'Company 20'!$B:$E,4,0),"")</f>
        <v>0</v>
      </c>
      <c r="U23" s="85">
        <f>IFERROR(VLOOKUP("SV1_PRICING",'Company 20'!$B:$E,4,0),"")</f>
        <v>0</v>
      </c>
      <c r="V23" s="85">
        <f>IFERROR(VLOOKUP("SV2_PROMOTIONS",'Company 20'!$B:$E,4,0),"")</f>
        <v>0</v>
      </c>
      <c r="W23" s="85">
        <f>IFERROR(VLOOKUP("SV3_SUPPLYCHAIN",'Company 20'!$B:$E,4,0),"")</f>
        <v>0</v>
      </c>
      <c r="X23" s="85">
        <f>IFERROR(VLOOKUP("SV4_CATEGORY",'Company 20'!$B:$E,4,0),"")</f>
        <v>0</v>
      </c>
      <c r="Y23" s="85">
        <f>IFERROR(VLOOKUP("SV5_DEMAND",'Company 20'!$B:$E,4,0),"")</f>
        <v>0</v>
      </c>
      <c r="Z23" s="85">
        <f>IFERROR(VLOOKUP("SV6_ACCOUNT",'Company 20'!$B:$E,4,0),"")</f>
        <v>0</v>
      </c>
      <c r="AA23" s="85">
        <f>IFERROR(VLOOKUP("SV7_OPS",'Company 20'!$B:$E,4,0),"")</f>
        <v>0</v>
      </c>
      <c r="AB23" s="85">
        <f>IFERROR(VLOOKUP("SC1_DATASENS",'Company 20'!$B:$E,4,0),"")</f>
        <v>0</v>
      </c>
      <c r="AC23" s="85">
        <f>IFERROR(VLOOKUP("SC2_COMPLIANCE",'Company 20'!$B:$E,4,0),"")</f>
        <v>0</v>
      </c>
      <c r="AD23" s="85">
        <f>IFERROR(VLOOKUP("SC3_TRUST",'Company 20'!$B:$E,4,0),"")</f>
        <v>0</v>
      </c>
      <c r="AE23" s="85">
        <f>IFERROR(VLOOKUP("SC4_DATAPROC",'Company 20'!$B:$E,4,0),"")</f>
        <v>0</v>
      </c>
      <c r="AF23" s="85">
        <f>IFERROR(VLOOKUP("SF1_REALTIME",'Company 20'!$B:$E,4,0),"")</f>
        <v>0</v>
      </c>
      <c r="AG23" s="85">
        <f>IFERROR(VLOOKUP("SF2_ACCESS",'Company 20'!$B:$E,4,0),"")</f>
        <v>0</v>
      </c>
      <c r="AH23" s="85">
        <f>IFERROR(VLOOKUP("SF3_UX",'Company 20'!$B:$E,4,0),"")</f>
        <v>0</v>
      </c>
      <c r="AI23" s="85">
        <f>IFERROR(VLOOKUP("SF4_DECISION",'Company 20'!$B:$E,4,0),"")</f>
        <v>0</v>
      </c>
      <c r="AJ23" s="85">
        <f>IFERROR(VLOOKUP("SF5_MASKING",'Company 20'!$B:$E,4,0),"")</f>
        <v>0</v>
      </c>
      <c r="AK23" s="85">
        <f>IFERROR(VLOOKUP("SD1_TRENDS",'Company 20'!$B:$E,4,0),"")</f>
        <v>0</v>
      </c>
      <c r="AL23" s="85">
        <f>IFERROR(VLOOKUP("SD2_MARKET",'Company 20'!$B:$E,4,0),"")</f>
        <v>0</v>
      </c>
      <c r="AM23" s="85">
        <f>IFERROR(VLOOKUP("SD3_CATEGORY",'Company 20'!$B:$E,4,0),"")</f>
        <v>0</v>
      </c>
      <c r="AN23" s="85">
        <f>IFERROR(VLOOKUP("SD4_SHIPMENT",'Company 20'!$B:$E,4,0),"")</f>
        <v>0</v>
      </c>
      <c r="AO23" s="85">
        <f>IFERROR(VLOOKUP("SD5_LEAD",'Company 20'!$B:$E,4,0),"")</f>
        <v>0</v>
      </c>
      <c r="AP23" s="85">
        <f>IFERROR(VLOOKUP("SD6_CONJOINT",'Company 20'!$B:$E,4,0),"")</f>
        <v>0</v>
      </c>
    </row>
    <row r="24" spans="2:42" ht="20.100000000000001" customHeight="1">
      <c r="B24" s="83" t="s">
        <v>182</v>
      </c>
      <c r="C24" s="84">
        <f>IFERROR(VLOOKUP("Interviewee Position",'Company 21'!$B:$C,2,0),"")</f>
        <v>0</v>
      </c>
      <c r="D24" s="84">
        <f>IFERROR(VLOOKUP("Company Industry",'Company 21'!$B:$C,2,0),"")</f>
        <v>0</v>
      </c>
      <c r="E24" s="84">
        <f>IFERROR(VLOOKUP("Company Sub-Industry",'Company 21'!$B:$C,2,0),"")</f>
        <v>0</v>
      </c>
      <c r="F24" s="3">
        <f>IFERROR(VLOOKUP("Company Size (Turnover)",'Company 21'!$B:$C,2,0),"")</f>
        <v>0</v>
      </c>
      <c r="G24" s="84">
        <f>IFERROR(VLOOKUP("Country",'Company 21'!$B:$C,2,0),"")</f>
        <v>0</v>
      </c>
      <c r="H24" s="85">
        <f>IFERROR(VLOOKUP("B1_INTEREST",'Company 21'!$B:$E,4,0),"")</f>
        <v>0</v>
      </c>
      <c r="I24" s="85">
        <f>IFERROR(VLOOKUP("B2_SHARING",'Company 21'!$B:$E,4,0),"")</f>
        <v>0</v>
      </c>
      <c r="J24" s="85">
        <f>IFERROR(VLOOKUP("B3_MONETIZE",'Company 21'!$B:$E,4,0),"")</f>
        <v>0</v>
      </c>
      <c r="K24" s="85">
        <f>IFERROR(VLOOKUP("B4_STRATEGIC",'Company 21'!$B:$E,4,0),"")</f>
        <v>0</v>
      </c>
      <c r="L24" s="85">
        <f>IFERROR(VLOOKUP("M1_AUTOMATED",'Company 21'!$B:$E,4,0),"")</f>
        <v>0</v>
      </c>
      <c r="M24" s="85">
        <f>IFERROR(VLOOKUP("M2_REALTIME",'Company 21'!$B:$E,4,0),"")</f>
        <v>0</v>
      </c>
      <c r="N24" s="85">
        <f>IFERROR(VLOOKUP("M3_STRATEGIC",'Company 21'!$B:$E,4,0),"")</f>
        <v>0</v>
      </c>
      <c r="O24" s="85">
        <f>IFERROR(VLOOKUP("M4_BREADTH",'Company 21'!$B:$E,4,0),"")</f>
        <v>0</v>
      </c>
      <c r="P24" s="85">
        <f>IFERROR(VLOOKUP("M5_DATATYPES",'Company 21'!$B:$E,4,0),"")</f>
        <v>0</v>
      </c>
      <c r="Q24" s="85">
        <f>IFERROR(VLOOKUP("M6_TRUST",'Company 21'!$B:$E,4,0),"")</f>
        <v>0</v>
      </c>
      <c r="R24" s="85">
        <f>IFERROR(VLOOKUP("M7_BARRIERS",'Company 21'!$B:$E,4,0),"")</f>
        <v>0</v>
      </c>
      <c r="S24" s="85">
        <f>IFERROR(VLOOKUP("M8_IMPACT",'Company 21'!$B:$E,4,0),"")</f>
        <v>0</v>
      </c>
      <c r="T24" s="85">
        <f>IFERROR(VLOOKUP("M9_WILLINGNESS",'Company 21'!$B:$E,4,0),"")</f>
        <v>0</v>
      </c>
      <c r="U24" s="85">
        <f>IFERROR(VLOOKUP("SV1_PRICING",'Company 21'!$B:$E,4,0),"")</f>
        <v>0</v>
      </c>
      <c r="V24" s="85">
        <f>IFERROR(VLOOKUP("SV2_PROMOTIONS",'Company 21'!$B:$E,4,0),"")</f>
        <v>0</v>
      </c>
      <c r="W24" s="85">
        <f>IFERROR(VLOOKUP("SV3_SUPPLYCHAIN",'Company 21'!$B:$E,4,0),"")</f>
        <v>0</v>
      </c>
      <c r="X24" s="85">
        <f>IFERROR(VLOOKUP("SV4_CATEGORY",'Company 21'!$B:$E,4,0),"")</f>
        <v>0</v>
      </c>
      <c r="Y24" s="85">
        <f>IFERROR(VLOOKUP("SV5_DEMAND",'Company 21'!$B:$E,4,0),"")</f>
        <v>0</v>
      </c>
      <c r="Z24" s="85">
        <f>IFERROR(VLOOKUP("SV6_ACCOUNT",'Company 21'!$B:$E,4,0),"")</f>
        <v>0</v>
      </c>
      <c r="AA24" s="85">
        <f>IFERROR(VLOOKUP("SV7_OPS",'Company 21'!$B:$E,4,0),"")</f>
        <v>0</v>
      </c>
      <c r="AB24" s="85">
        <f>IFERROR(VLOOKUP("SC1_DATASENS",'Company 21'!$B:$E,4,0),"")</f>
        <v>0</v>
      </c>
      <c r="AC24" s="85">
        <f>IFERROR(VLOOKUP("SC2_COMPLIANCE",'Company 21'!$B:$E,4,0),"")</f>
        <v>0</v>
      </c>
      <c r="AD24" s="85">
        <f>IFERROR(VLOOKUP("SC3_TRUST",'Company 21'!$B:$E,4,0),"")</f>
        <v>0</v>
      </c>
      <c r="AE24" s="85">
        <f>IFERROR(VLOOKUP("SC4_DATAPROC",'Company 21'!$B:$E,4,0),"")</f>
        <v>0</v>
      </c>
      <c r="AF24" s="85">
        <f>IFERROR(VLOOKUP("SF1_REALTIME",'Company 21'!$B:$E,4,0),"")</f>
        <v>0</v>
      </c>
      <c r="AG24" s="85">
        <f>IFERROR(VLOOKUP("SF2_ACCESS",'Company 21'!$B:$E,4,0),"")</f>
        <v>0</v>
      </c>
      <c r="AH24" s="85">
        <f>IFERROR(VLOOKUP("SF3_UX",'Company 21'!$B:$E,4,0),"")</f>
        <v>0</v>
      </c>
      <c r="AI24" s="85">
        <f>IFERROR(VLOOKUP("SF4_DECISION",'Company 21'!$B:$E,4,0),"")</f>
        <v>0</v>
      </c>
      <c r="AJ24" s="85">
        <f>IFERROR(VLOOKUP("SF5_MASKING",'Company 21'!$B:$E,4,0),"")</f>
        <v>0</v>
      </c>
      <c r="AK24" s="85">
        <f>IFERROR(VLOOKUP("SD1_TRENDS",'Company 21'!$B:$E,4,0),"")</f>
        <v>0</v>
      </c>
      <c r="AL24" s="85">
        <f>IFERROR(VLOOKUP("SD2_MARKET",'Company 21'!$B:$E,4,0),"")</f>
        <v>0</v>
      </c>
      <c r="AM24" s="85">
        <f>IFERROR(VLOOKUP("SD3_CATEGORY",'Company 21'!$B:$E,4,0),"")</f>
        <v>0</v>
      </c>
      <c r="AN24" s="85">
        <f>IFERROR(VLOOKUP("SD4_SHIPMENT",'Company 21'!$B:$E,4,0),"")</f>
        <v>0</v>
      </c>
      <c r="AO24" s="85">
        <f>IFERROR(VLOOKUP("SD5_LEAD",'Company 21'!$B:$E,4,0),"")</f>
        <v>0</v>
      </c>
      <c r="AP24" s="85">
        <f>IFERROR(VLOOKUP("SD6_CONJOINT",'Company 21'!$B:$E,4,0),"")</f>
        <v>0</v>
      </c>
    </row>
    <row r="25" spans="2:42" ht="20.100000000000001" customHeight="1">
      <c r="B25" s="83" t="s">
        <v>183</v>
      </c>
      <c r="C25" s="84">
        <f>IFERROR(VLOOKUP("Interviewee Position",'Company 22'!$B:$C,2,0),"")</f>
        <v>0</v>
      </c>
      <c r="D25" s="84">
        <f>IFERROR(VLOOKUP("Company Industry",'Company 22'!$B:$C,2,0),"")</f>
        <v>0</v>
      </c>
      <c r="E25" s="84">
        <f>IFERROR(VLOOKUP("Company Sub-Industry",'Company 22'!$B:$C,2,0),"")</f>
        <v>0</v>
      </c>
      <c r="F25" s="3">
        <f>IFERROR(VLOOKUP("Company Size (Turnover)",'Company 22'!$B:$C,2,0),"")</f>
        <v>0</v>
      </c>
      <c r="G25" s="84">
        <f>IFERROR(VLOOKUP("Country",'Company 22'!$B:$C,2,0),"")</f>
        <v>0</v>
      </c>
      <c r="H25" s="85">
        <f>IFERROR(VLOOKUP("B1_INTEREST",'Company 22'!$B:$E,4,0),"")</f>
        <v>0</v>
      </c>
      <c r="I25" s="85">
        <f>IFERROR(VLOOKUP("B2_SHARING",'Company 22'!$B:$E,4,0),"")</f>
        <v>0</v>
      </c>
      <c r="J25" s="85">
        <f>IFERROR(VLOOKUP("B3_MONETIZE",'Company 22'!$B:$E,4,0),"")</f>
        <v>0</v>
      </c>
      <c r="K25" s="85">
        <f>IFERROR(VLOOKUP("B4_STRATEGIC",'Company 22'!$B:$E,4,0),"")</f>
        <v>0</v>
      </c>
      <c r="L25" s="85">
        <f>IFERROR(VLOOKUP("M1_AUTOMATED",'Company 22'!$B:$E,4,0),"")</f>
        <v>0</v>
      </c>
      <c r="M25" s="85">
        <f>IFERROR(VLOOKUP("M2_REALTIME",'Company 22'!$B:$E,4,0),"")</f>
        <v>0</v>
      </c>
      <c r="N25" s="85">
        <f>IFERROR(VLOOKUP("M3_STRATEGIC",'Company 22'!$B:$E,4,0),"")</f>
        <v>0</v>
      </c>
      <c r="O25" s="85">
        <f>IFERROR(VLOOKUP("M4_BREADTH",'Company 22'!$B:$E,4,0),"")</f>
        <v>0</v>
      </c>
      <c r="P25" s="85">
        <f>IFERROR(VLOOKUP("M5_DATATYPES",'Company 22'!$B:$E,4,0),"")</f>
        <v>0</v>
      </c>
      <c r="Q25" s="85">
        <f>IFERROR(VLOOKUP("M6_TRUST",'Company 22'!$B:$E,4,0),"")</f>
        <v>0</v>
      </c>
      <c r="R25" s="85">
        <f>IFERROR(VLOOKUP("M7_BARRIERS",'Company 22'!$B:$E,4,0),"")</f>
        <v>0</v>
      </c>
      <c r="S25" s="85">
        <f>IFERROR(VLOOKUP("M8_IMPACT",'Company 22'!$B:$E,4,0),"")</f>
        <v>0</v>
      </c>
      <c r="T25" s="85">
        <f>IFERROR(VLOOKUP("M9_WILLINGNESS",'Company 22'!$B:$E,4,0),"")</f>
        <v>0</v>
      </c>
      <c r="U25" s="85">
        <f>IFERROR(VLOOKUP("SV1_PRICING",'Company 22'!$B:$E,4,0),"")</f>
        <v>0</v>
      </c>
      <c r="V25" s="85">
        <f>IFERROR(VLOOKUP("SV2_PROMOTIONS",'Company 22'!$B:$E,4,0),"")</f>
        <v>0</v>
      </c>
      <c r="W25" s="85">
        <f>IFERROR(VLOOKUP("SV3_SUPPLYCHAIN",'Company 22'!$B:$E,4,0),"")</f>
        <v>0</v>
      </c>
      <c r="X25" s="85">
        <f>IFERROR(VLOOKUP("SV4_CATEGORY",'Company 22'!$B:$E,4,0),"")</f>
        <v>0</v>
      </c>
      <c r="Y25" s="85">
        <f>IFERROR(VLOOKUP("SV5_DEMAND",'Company 22'!$B:$E,4,0),"")</f>
        <v>0</v>
      </c>
      <c r="Z25" s="85">
        <f>IFERROR(VLOOKUP("SV6_ACCOUNT",'Company 22'!$B:$E,4,0),"")</f>
        <v>0</v>
      </c>
      <c r="AA25" s="85">
        <f>IFERROR(VLOOKUP("SV7_OPS",'Company 22'!$B:$E,4,0),"")</f>
        <v>0</v>
      </c>
      <c r="AB25" s="85">
        <f>IFERROR(VLOOKUP("SC1_DATASENS",'Company 22'!$B:$E,4,0),"")</f>
        <v>0</v>
      </c>
      <c r="AC25" s="85">
        <f>IFERROR(VLOOKUP("SC2_COMPLIANCE",'Company 22'!$B:$E,4,0),"")</f>
        <v>0</v>
      </c>
      <c r="AD25" s="85">
        <f>IFERROR(VLOOKUP("SC3_TRUST",'Company 22'!$B:$E,4,0),"")</f>
        <v>0</v>
      </c>
      <c r="AE25" s="85">
        <f>IFERROR(VLOOKUP("SC4_DATAPROC",'Company 22'!$B:$E,4,0),"")</f>
        <v>0</v>
      </c>
      <c r="AF25" s="85">
        <f>IFERROR(VLOOKUP("SF1_REALTIME",'Company 22'!$B:$E,4,0),"")</f>
        <v>0</v>
      </c>
      <c r="AG25" s="85">
        <f>IFERROR(VLOOKUP("SF2_ACCESS",'Company 22'!$B:$E,4,0),"")</f>
        <v>0</v>
      </c>
      <c r="AH25" s="85">
        <f>IFERROR(VLOOKUP("SF3_UX",'Company 22'!$B:$E,4,0),"")</f>
        <v>0</v>
      </c>
      <c r="AI25" s="85">
        <f>IFERROR(VLOOKUP("SF4_DECISION",'Company 22'!$B:$E,4,0),"")</f>
        <v>0</v>
      </c>
      <c r="AJ25" s="85">
        <f>IFERROR(VLOOKUP("SF5_MASKING",'Company 22'!$B:$E,4,0),"")</f>
        <v>0</v>
      </c>
      <c r="AK25" s="85">
        <f>IFERROR(VLOOKUP("SD1_TRENDS",'Company 22'!$B:$E,4,0),"")</f>
        <v>0</v>
      </c>
      <c r="AL25" s="85">
        <f>IFERROR(VLOOKUP("SD2_MARKET",'Company 22'!$B:$E,4,0),"")</f>
        <v>0</v>
      </c>
      <c r="AM25" s="85">
        <f>IFERROR(VLOOKUP("SD3_CATEGORY",'Company 22'!$B:$E,4,0),"")</f>
        <v>0</v>
      </c>
      <c r="AN25" s="85">
        <f>IFERROR(VLOOKUP("SD4_SHIPMENT",'Company 22'!$B:$E,4,0),"")</f>
        <v>0</v>
      </c>
      <c r="AO25" s="85">
        <f>IFERROR(VLOOKUP("SD5_LEAD",'Company 22'!$B:$E,4,0),"")</f>
        <v>0</v>
      </c>
      <c r="AP25" s="85">
        <f>IFERROR(VLOOKUP("SD6_CONJOINT",'Company 22'!$B:$E,4,0),"")</f>
        <v>0</v>
      </c>
    </row>
    <row r="26" spans="2:42" ht="20.100000000000001" customHeight="1">
      <c r="B26" s="83" t="s">
        <v>184</v>
      </c>
      <c r="C26" s="84">
        <f>IFERROR(VLOOKUP("Interviewee Position",'Company 23'!$B:$C,2,0),"")</f>
        <v>0</v>
      </c>
      <c r="D26" s="84">
        <f>IFERROR(VLOOKUP("Company Industry",'Company 23'!$B:$C,2,0),"")</f>
        <v>0</v>
      </c>
      <c r="E26" s="84">
        <f>IFERROR(VLOOKUP("Company Sub-Industry",'Company 23'!$B:$C,2,0),"")</f>
        <v>0</v>
      </c>
      <c r="F26" s="3">
        <f>IFERROR(VLOOKUP("Company Size (Turnover)",'Company 23'!$B:$C,2,0),"")</f>
        <v>0</v>
      </c>
      <c r="G26" s="84">
        <f>IFERROR(VLOOKUP("Country",'Company 23'!$B:$C,2,0),"")</f>
        <v>0</v>
      </c>
      <c r="H26" s="85">
        <f>IFERROR(VLOOKUP("B1_INTEREST",'Company 23'!$B:$E,4,0),"")</f>
        <v>0</v>
      </c>
      <c r="I26" s="85">
        <f>IFERROR(VLOOKUP("B2_SHARING",'Company 23'!$B:$E,4,0),"")</f>
        <v>0</v>
      </c>
      <c r="J26" s="85">
        <f>IFERROR(VLOOKUP("B3_MONETIZE",'Company 23'!$B:$E,4,0),"")</f>
        <v>0</v>
      </c>
      <c r="K26" s="85">
        <f>IFERROR(VLOOKUP("B4_STRATEGIC",'Company 23'!$B:$E,4,0),"")</f>
        <v>0</v>
      </c>
      <c r="L26" s="85">
        <f>IFERROR(VLOOKUP("M1_AUTOMATED",'Company 23'!$B:$E,4,0),"")</f>
        <v>0</v>
      </c>
      <c r="M26" s="85">
        <f>IFERROR(VLOOKUP("M2_REALTIME",'Company 23'!$B:$E,4,0),"")</f>
        <v>0</v>
      </c>
      <c r="N26" s="85">
        <f>IFERROR(VLOOKUP("M3_STRATEGIC",'Company 23'!$B:$E,4,0),"")</f>
        <v>0</v>
      </c>
      <c r="O26" s="85">
        <f>IFERROR(VLOOKUP("M4_BREADTH",'Company 23'!$B:$E,4,0),"")</f>
        <v>0</v>
      </c>
      <c r="P26" s="85">
        <f>IFERROR(VLOOKUP("M5_DATATYPES",'Company 23'!$B:$E,4,0),"")</f>
        <v>0</v>
      </c>
      <c r="Q26" s="85">
        <f>IFERROR(VLOOKUP("M6_TRUST",'Company 23'!$B:$E,4,0),"")</f>
        <v>0</v>
      </c>
      <c r="R26" s="85">
        <f>IFERROR(VLOOKUP("M7_BARRIERS",'Company 23'!$B:$E,4,0),"")</f>
        <v>0</v>
      </c>
      <c r="S26" s="85">
        <f>IFERROR(VLOOKUP("M8_IMPACT",'Company 23'!$B:$E,4,0),"")</f>
        <v>0</v>
      </c>
      <c r="T26" s="85">
        <f>IFERROR(VLOOKUP("M9_WILLINGNESS",'Company 23'!$B:$E,4,0),"")</f>
        <v>0</v>
      </c>
      <c r="U26" s="85">
        <f>IFERROR(VLOOKUP("SV1_PRICING",'Company 23'!$B:$E,4,0),"")</f>
        <v>0</v>
      </c>
      <c r="V26" s="85">
        <f>IFERROR(VLOOKUP("SV2_PROMOTIONS",'Company 23'!$B:$E,4,0),"")</f>
        <v>0</v>
      </c>
      <c r="W26" s="85">
        <f>IFERROR(VLOOKUP("SV3_SUPPLYCHAIN",'Company 23'!$B:$E,4,0),"")</f>
        <v>0</v>
      </c>
      <c r="X26" s="85">
        <f>IFERROR(VLOOKUP("SV4_CATEGORY",'Company 23'!$B:$E,4,0),"")</f>
        <v>0</v>
      </c>
      <c r="Y26" s="85">
        <f>IFERROR(VLOOKUP("SV5_DEMAND",'Company 23'!$B:$E,4,0),"")</f>
        <v>0</v>
      </c>
      <c r="Z26" s="85">
        <f>IFERROR(VLOOKUP("SV6_ACCOUNT",'Company 23'!$B:$E,4,0),"")</f>
        <v>0</v>
      </c>
      <c r="AA26" s="85">
        <f>IFERROR(VLOOKUP("SV7_OPS",'Company 23'!$B:$E,4,0),"")</f>
        <v>0</v>
      </c>
      <c r="AB26" s="85">
        <f>IFERROR(VLOOKUP("SC1_DATASENS",'Company 23'!$B:$E,4,0),"")</f>
        <v>0</v>
      </c>
      <c r="AC26" s="85">
        <f>IFERROR(VLOOKUP("SC2_COMPLIANCE",'Company 23'!$B:$E,4,0),"")</f>
        <v>0</v>
      </c>
      <c r="AD26" s="85">
        <f>IFERROR(VLOOKUP("SC3_TRUST",'Company 23'!$B:$E,4,0),"")</f>
        <v>0</v>
      </c>
      <c r="AE26" s="85">
        <f>IFERROR(VLOOKUP("SC4_DATAPROC",'Company 23'!$B:$E,4,0),"")</f>
        <v>0</v>
      </c>
      <c r="AF26" s="85">
        <f>IFERROR(VLOOKUP("SF1_REALTIME",'Company 23'!$B:$E,4,0),"")</f>
        <v>0</v>
      </c>
      <c r="AG26" s="85">
        <f>IFERROR(VLOOKUP("SF2_ACCESS",'Company 23'!$B:$E,4,0),"")</f>
        <v>0</v>
      </c>
      <c r="AH26" s="85">
        <f>IFERROR(VLOOKUP("SF3_UX",'Company 23'!$B:$E,4,0),"")</f>
        <v>0</v>
      </c>
      <c r="AI26" s="85">
        <f>IFERROR(VLOOKUP("SF4_DECISION",'Company 23'!$B:$E,4,0),"")</f>
        <v>0</v>
      </c>
      <c r="AJ26" s="85">
        <f>IFERROR(VLOOKUP("SF5_MASKING",'Company 23'!$B:$E,4,0),"")</f>
        <v>0</v>
      </c>
      <c r="AK26" s="85">
        <f>IFERROR(VLOOKUP("SD1_TRENDS",'Company 23'!$B:$E,4,0),"")</f>
        <v>0</v>
      </c>
      <c r="AL26" s="85">
        <f>IFERROR(VLOOKUP("SD2_MARKET",'Company 23'!$B:$E,4,0),"")</f>
        <v>0</v>
      </c>
      <c r="AM26" s="85">
        <f>IFERROR(VLOOKUP("SD3_CATEGORY",'Company 23'!$B:$E,4,0),"")</f>
        <v>0</v>
      </c>
      <c r="AN26" s="85">
        <f>IFERROR(VLOOKUP("SD4_SHIPMENT",'Company 23'!$B:$E,4,0),"")</f>
        <v>0</v>
      </c>
      <c r="AO26" s="85">
        <f>IFERROR(VLOOKUP("SD5_LEAD",'Company 23'!$B:$E,4,0),"")</f>
        <v>0</v>
      </c>
      <c r="AP26" s="85">
        <f>IFERROR(VLOOKUP("SD6_CONJOINT",'Company 23'!$B:$E,4,0),"")</f>
        <v>0</v>
      </c>
    </row>
    <row r="27" spans="2:42" ht="20.100000000000001" customHeight="1">
      <c r="B27" s="83" t="s">
        <v>185</v>
      </c>
      <c r="C27" s="84">
        <f>IFERROR(VLOOKUP("Interviewee Position",'Company 24'!$B:$C,2,0),"")</f>
        <v>0</v>
      </c>
      <c r="D27" s="84">
        <f>IFERROR(VLOOKUP("Company Industry",'Company 24'!$B:$C,2,0),"")</f>
        <v>0</v>
      </c>
      <c r="E27" s="84">
        <f>IFERROR(VLOOKUP("Company Sub-Industry",'Company 24'!$B:$C,2,0),"")</f>
        <v>0</v>
      </c>
      <c r="F27" s="3">
        <f>IFERROR(VLOOKUP("Company Size (Turnover)",'Company 24'!$B:$C,2,0),"")</f>
        <v>0</v>
      </c>
      <c r="G27" s="84">
        <f>IFERROR(VLOOKUP("Country",'Company 24'!$B:$C,2,0),"")</f>
        <v>0</v>
      </c>
      <c r="H27" s="85">
        <f>IFERROR(VLOOKUP("B1_INTEREST",'Company 24'!$B:$E,4,0),"")</f>
        <v>0</v>
      </c>
      <c r="I27" s="85">
        <f>IFERROR(VLOOKUP("B2_SHARING",'Company 24'!$B:$E,4,0),"")</f>
        <v>0</v>
      </c>
      <c r="J27" s="85">
        <f>IFERROR(VLOOKUP("B3_MONETIZE",'Company 24'!$B:$E,4,0),"")</f>
        <v>0</v>
      </c>
      <c r="K27" s="85">
        <f>IFERROR(VLOOKUP("B4_STRATEGIC",'Company 24'!$B:$E,4,0),"")</f>
        <v>0</v>
      </c>
      <c r="L27" s="85">
        <f>IFERROR(VLOOKUP("M1_AUTOMATED",'Company 24'!$B:$E,4,0),"")</f>
        <v>0</v>
      </c>
      <c r="M27" s="85">
        <f>IFERROR(VLOOKUP("M2_REALTIME",'Company 24'!$B:$E,4,0),"")</f>
        <v>0</v>
      </c>
      <c r="N27" s="85">
        <f>IFERROR(VLOOKUP("M3_STRATEGIC",'Company 24'!$B:$E,4,0),"")</f>
        <v>0</v>
      </c>
      <c r="O27" s="85">
        <f>IFERROR(VLOOKUP("M4_BREADTH",'Company 24'!$B:$E,4,0),"")</f>
        <v>0</v>
      </c>
      <c r="P27" s="85">
        <f>IFERROR(VLOOKUP("M5_DATATYPES",'Company 24'!$B:$E,4,0),"")</f>
        <v>0</v>
      </c>
      <c r="Q27" s="85">
        <f>IFERROR(VLOOKUP("M6_TRUST",'Company 24'!$B:$E,4,0),"")</f>
        <v>0</v>
      </c>
      <c r="R27" s="85">
        <f>IFERROR(VLOOKUP("M7_BARRIERS",'Company 24'!$B:$E,4,0),"")</f>
        <v>0</v>
      </c>
      <c r="S27" s="85">
        <f>IFERROR(VLOOKUP("M8_IMPACT",'Company 24'!$B:$E,4,0),"")</f>
        <v>0</v>
      </c>
      <c r="T27" s="85">
        <f>IFERROR(VLOOKUP("M9_WILLINGNESS",'Company 24'!$B:$E,4,0),"")</f>
        <v>0</v>
      </c>
      <c r="U27" s="85">
        <f>IFERROR(VLOOKUP("SV1_PRICING",'Company 24'!$B:$E,4,0),"")</f>
        <v>0</v>
      </c>
      <c r="V27" s="85">
        <f>IFERROR(VLOOKUP("SV2_PROMOTIONS",'Company 24'!$B:$E,4,0),"")</f>
        <v>0</v>
      </c>
      <c r="W27" s="85">
        <f>IFERROR(VLOOKUP("SV3_SUPPLYCHAIN",'Company 24'!$B:$E,4,0),"")</f>
        <v>0</v>
      </c>
      <c r="X27" s="85">
        <f>IFERROR(VLOOKUP("SV4_CATEGORY",'Company 24'!$B:$E,4,0),"")</f>
        <v>0</v>
      </c>
      <c r="Y27" s="85">
        <f>IFERROR(VLOOKUP("SV5_DEMAND",'Company 24'!$B:$E,4,0),"")</f>
        <v>0</v>
      </c>
      <c r="Z27" s="85">
        <f>IFERROR(VLOOKUP("SV6_ACCOUNT",'Company 24'!$B:$E,4,0),"")</f>
        <v>0</v>
      </c>
      <c r="AA27" s="85">
        <f>IFERROR(VLOOKUP("SV7_OPS",'Company 24'!$B:$E,4,0),"")</f>
        <v>0</v>
      </c>
      <c r="AB27" s="85">
        <f>IFERROR(VLOOKUP("SC1_DATASENS",'Company 24'!$B:$E,4,0),"")</f>
        <v>0</v>
      </c>
      <c r="AC27" s="85">
        <f>IFERROR(VLOOKUP("SC2_COMPLIANCE",'Company 24'!$B:$E,4,0),"")</f>
        <v>0</v>
      </c>
      <c r="AD27" s="85">
        <f>IFERROR(VLOOKUP("SC3_TRUST",'Company 24'!$B:$E,4,0),"")</f>
        <v>0</v>
      </c>
      <c r="AE27" s="85">
        <f>IFERROR(VLOOKUP("SC4_DATAPROC",'Company 24'!$B:$E,4,0),"")</f>
        <v>0</v>
      </c>
      <c r="AF27" s="85">
        <f>IFERROR(VLOOKUP("SF1_REALTIME",'Company 24'!$B:$E,4,0),"")</f>
        <v>0</v>
      </c>
      <c r="AG27" s="85">
        <f>IFERROR(VLOOKUP("SF2_ACCESS",'Company 24'!$B:$E,4,0),"")</f>
        <v>0</v>
      </c>
      <c r="AH27" s="85">
        <f>IFERROR(VLOOKUP("SF3_UX",'Company 24'!$B:$E,4,0),"")</f>
        <v>0</v>
      </c>
      <c r="AI27" s="85">
        <f>IFERROR(VLOOKUP("SF4_DECISION",'Company 24'!$B:$E,4,0),"")</f>
        <v>0</v>
      </c>
      <c r="AJ27" s="85">
        <f>IFERROR(VLOOKUP("SF5_MASKING",'Company 24'!$B:$E,4,0),"")</f>
        <v>0</v>
      </c>
      <c r="AK27" s="85">
        <f>IFERROR(VLOOKUP("SD1_TRENDS",'Company 24'!$B:$E,4,0),"")</f>
        <v>0</v>
      </c>
      <c r="AL27" s="85">
        <f>IFERROR(VLOOKUP("SD2_MARKET",'Company 24'!$B:$E,4,0),"")</f>
        <v>0</v>
      </c>
      <c r="AM27" s="85">
        <f>IFERROR(VLOOKUP("SD3_CATEGORY",'Company 24'!$B:$E,4,0),"")</f>
        <v>0</v>
      </c>
      <c r="AN27" s="85">
        <f>IFERROR(VLOOKUP("SD4_SHIPMENT",'Company 24'!$B:$E,4,0),"")</f>
        <v>0</v>
      </c>
      <c r="AO27" s="85">
        <f>IFERROR(VLOOKUP("SD5_LEAD",'Company 24'!$B:$E,4,0),"")</f>
        <v>0</v>
      </c>
      <c r="AP27" s="85">
        <f>IFERROR(VLOOKUP("SD6_CONJOINT",'Company 24'!$B:$E,4,0),"")</f>
        <v>0</v>
      </c>
    </row>
    <row r="28" spans="2:42" ht="20.100000000000001" customHeight="1">
      <c r="B28" s="83" t="s">
        <v>186</v>
      </c>
      <c r="C28" s="84">
        <f>IFERROR(VLOOKUP("Interviewee Position",'Company 25'!$B:$C,2,0),"")</f>
        <v>0</v>
      </c>
      <c r="D28" s="84">
        <f>IFERROR(VLOOKUP("Company Industry",'Company 25'!$B:$C,2,0),"")</f>
        <v>0</v>
      </c>
      <c r="E28" s="84">
        <f>IFERROR(VLOOKUP("Company Sub-Industry",'Company 25'!$B:$C,2,0),"")</f>
        <v>0</v>
      </c>
      <c r="F28" s="3">
        <f>IFERROR(VLOOKUP("Company Size (Turnover)",'Company 25'!$B:$C,2,0),"")</f>
        <v>0</v>
      </c>
      <c r="G28" s="84">
        <f>IFERROR(VLOOKUP("Country",'Company 25'!$B:$C,2,0),"")</f>
        <v>0</v>
      </c>
      <c r="H28" s="85">
        <f>IFERROR(VLOOKUP("B1_INTEREST",'Company 25'!$B:$E,4,0),"")</f>
        <v>0</v>
      </c>
      <c r="I28" s="85">
        <f>IFERROR(VLOOKUP("B2_SHARING",'Company 25'!$B:$E,4,0),"")</f>
        <v>0</v>
      </c>
      <c r="J28" s="85">
        <f>IFERROR(VLOOKUP("B3_MONETIZE",'Company 25'!$B:$E,4,0),"")</f>
        <v>0</v>
      </c>
      <c r="K28" s="85">
        <f>IFERROR(VLOOKUP("B4_STRATEGIC",'Company 25'!$B:$E,4,0),"")</f>
        <v>0</v>
      </c>
      <c r="L28" s="85">
        <f>IFERROR(VLOOKUP("M1_AUTOMATED",'Company 25'!$B:$E,4,0),"")</f>
        <v>0</v>
      </c>
      <c r="M28" s="85">
        <f>IFERROR(VLOOKUP("M2_REALTIME",'Company 25'!$B:$E,4,0),"")</f>
        <v>0</v>
      </c>
      <c r="N28" s="85">
        <f>IFERROR(VLOOKUP("M3_STRATEGIC",'Company 25'!$B:$E,4,0),"")</f>
        <v>0</v>
      </c>
      <c r="O28" s="85">
        <f>IFERROR(VLOOKUP("M4_BREADTH",'Company 25'!$B:$E,4,0),"")</f>
        <v>0</v>
      </c>
      <c r="P28" s="85">
        <f>IFERROR(VLOOKUP("M5_DATATYPES",'Company 25'!$B:$E,4,0),"")</f>
        <v>0</v>
      </c>
      <c r="Q28" s="85">
        <f>IFERROR(VLOOKUP("M6_TRUST",'Company 25'!$B:$E,4,0),"")</f>
        <v>0</v>
      </c>
      <c r="R28" s="85">
        <f>IFERROR(VLOOKUP("M7_BARRIERS",'Company 25'!$B:$E,4,0),"")</f>
        <v>0</v>
      </c>
      <c r="S28" s="85">
        <f>IFERROR(VLOOKUP("M8_IMPACT",'Company 25'!$B:$E,4,0),"")</f>
        <v>0</v>
      </c>
      <c r="T28" s="85">
        <f>IFERROR(VLOOKUP("M9_WILLINGNESS",'Company 25'!$B:$E,4,0),"")</f>
        <v>0</v>
      </c>
      <c r="U28" s="85">
        <f>IFERROR(VLOOKUP("SV1_PRICING",'Company 25'!$B:$E,4,0),"")</f>
        <v>0</v>
      </c>
      <c r="V28" s="85">
        <f>IFERROR(VLOOKUP("SV2_PROMOTIONS",'Company 25'!$B:$E,4,0),"")</f>
        <v>0</v>
      </c>
      <c r="W28" s="85">
        <f>IFERROR(VLOOKUP("SV3_SUPPLYCHAIN",'Company 25'!$B:$E,4,0),"")</f>
        <v>0</v>
      </c>
      <c r="X28" s="85">
        <f>IFERROR(VLOOKUP("SV4_CATEGORY",'Company 25'!$B:$E,4,0),"")</f>
        <v>0</v>
      </c>
      <c r="Y28" s="85">
        <f>IFERROR(VLOOKUP("SV5_DEMAND",'Company 25'!$B:$E,4,0),"")</f>
        <v>0</v>
      </c>
      <c r="Z28" s="85">
        <f>IFERROR(VLOOKUP("SV6_ACCOUNT",'Company 25'!$B:$E,4,0),"")</f>
        <v>0</v>
      </c>
      <c r="AA28" s="85">
        <f>IFERROR(VLOOKUP("SV7_OPS",'Company 25'!$B:$E,4,0),"")</f>
        <v>0</v>
      </c>
      <c r="AB28" s="85">
        <f>IFERROR(VLOOKUP("SC1_DATASENS",'Company 25'!$B:$E,4,0),"")</f>
        <v>0</v>
      </c>
      <c r="AC28" s="85">
        <f>IFERROR(VLOOKUP("SC2_COMPLIANCE",'Company 25'!$B:$E,4,0),"")</f>
        <v>0</v>
      </c>
      <c r="AD28" s="85">
        <f>IFERROR(VLOOKUP("SC3_TRUST",'Company 25'!$B:$E,4,0),"")</f>
        <v>0</v>
      </c>
      <c r="AE28" s="85">
        <f>IFERROR(VLOOKUP("SC4_DATAPROC",'Company 25'!$B:$E,4,0),"")</f>
        <v>0</v>
      </c>
      <c r="AF28" s="85">
        <f>IFERROR(VLOOKUP("SF1_REALTIME",'Company 25'!$B:$E,4,0),"")</f>
        <v>0</v>
      </c>
      <c r="AG28" s="85">
        <f>IFERROR(VLOOKUP("SF2_ACCESS",'Company 25'!$B:$E,4,0),"")</f>
        <v>0</v>
      </c>
      <c r="AH28" s="85">
        <f>IFERROR(VLOOKUP("SF3_UX",'Company 25'!$B:$E,4,0),"")</f>
        <v>0</v>
      </c>
      <c r="AI28" s="85">
        <f>IFERROR(VLOOKUP("SF4_DECISION",'Company 25'!$B:$E,4,0),"")</f>
        <v>0</v>
      </c>
      <c r="AJ28" s="85">
        <f>IFERROR(VLOOKUP("SF5_MASKING",'Company 25'!$B:$E,4,0),"")</f>
        <v>0</v>
      </c>
      <c r="AK28" s="85">
        <f>IFERROR(VLOOKUP("SD1_TRENDS",'Company 25'!$B:$E,4,0),"")</f>
        <v>0</v>
      </c>
      <c r="AL28" s="85">
        <f>IFERROR(VLOOKUP("SD2_MARKET",'Company 25'!$B:$E,4,0),"")</f>
        <v>0</v>
      </c>
      <c r="AM28" s="85">
        <f>IFERROR(VLOOKUP("SD3_CATEGORY",'Company 25'!$B:$E,4,0),"")</f>
        <v>0</v>
      </c>
      <c r="AN28" s="85">
        <f>IFERROR(VLOOKUP("SD4_SHIPMENT",'Company 25'!$B:$E,4,0),"")</f>
        <v>0</v>
      </c>
      <c r="AO28" s="85">
        <f>IFERROR(VLOOKUP("SD5_LEAD",'Company 25'!$B:$E,4,0),"")</f>
        <v>0</v>
      </c>
      <c r="AP28" s="85">
        <f>IFERROR(VLOOKUP("SD6_CONJOINT",'Company 25'!$B:$E,4,0),"")</f>
        <v>0</v>
      </c>
    </row>
    <row r="29" spans="2:42" ht="20.100000000000001" customHeight="1">
      <c r="B29" s="83" t="s">
        <v>187</v>
      </c>
      <c r="C29" s="84">
        <f>IFERROR(VLOOKUP("Interviewee Position",'Company 26'!$B:$C,2,0),"")</f>
        <v>0</v>
      </c>
      <c r="D29" s="84">
        <f>IFERROR(VLOOKUP("Company Industry",'Company 26'!$B:$C,2,0),"")</f>
        <v>0</v>
      </c>
      <c r="E29" s="84">
        <f>IFERROR(VLOOKUP("Company Sub-Industry",'Company 26'!$B:$C,2,0),"")</f>
        <v>0</v>
      </c>
      <c r="F29" s="3">
        <f>IFERROR(VLOOKUP("Company Size (Turnover)",'Company 26'!$B:$C,2,0),"")</f>
        <v>0</v>
      </c>
      <c r="G29" s="84">
        <f>IFERROR(VLOOKUP("Country",'Company 26'!$B:$C,2,0),"")</f>
        <v>0</v>
      </c>
      <c r="H29" s="85">
        <f>IFERROR(VLOOKUP("B1_INTEREST",'Company 26'!$B:$E,4,0),"")</f>
        <v>0</v>
      </c>
      <c r="I29" s="85">
        <f>IFERROR(VLOOKUP("B2_SHARING",'Company 26'!$B:$E,4,0),"")</f>
        <v>0</v>
      </c>
      <c r="J29" s="85">
        <f>IFERROR(VLOOKUP("B3_MONETIZE",'Company 26'!$B:$E,4,0),"")</f>
        <v>0</v>
      </c>
      <c r="K29" s="85">
        <f>IFERROR(VLOOKUP("B4_STRATEGIC",'Company 26'!$B:$E,4,0),"")</f>
        <v>0</v>
      </c>
      <c r="L29" s="85">
        <f>IFERROR(VLOOKUP("M1_AUTOMATED",'Company 26'!$B:$E,4,0),"")</f>
        <v>0</v>
      </c>
      <c r="M29" s="85">
        <f>IFERROR(VLOOKUP("M2_REALTIME",'Company 26'!$B:$E,4,0),"")</f>
        <v>0</v>
      </c>
      <c r="N29" s="85">
        <f>IFERROR(VLOOKUP("M3_STRATEGIC",'Company 26'!$B:$E,4,0),"")</f>
        <v>0</v>
      </c>
      <c r="O29" s="85">
        <f>IFERROR(VLOOKUP("M4_BREADTH",'Company 26'!$B:$E,4,0),"")</f>
        <v>0</v>
      </c>
      <c r="P29" s="85">
        <f>IFERROR(VLOOKUP("M5_DATATYPES",'Company 26'!$B:$E,4,0),"")</f>
        <v>0</v>
      </c>
      <c r="Q29" s="85">
        <f>IFERROR(VLOOKUP("M6_TRUST",'Company 26'!$B:$E,4,0),"")</f>
        <v>0</v>
      </c>
      <c r="R29" s="85">
        <f>IFERROR(VLOOKUP("M7_BARRIERS",'Company 26'!$B:$E,4,0),"")</f>
        <v>0</v>
      </c>
      <c r="S29" s="85">
        <f>IFERROR(VLOOKUP("M8_IMPACT",'Company 26'!$B:$E,4,0),"")</f>
        <v>0</v>
      </c>
      <c r="T29" s="85">
        <f>IFERROR(VLOOKUP("M9_WILLINGNESS",'Company 26'!$B:$E,4,0),"")</f>
        <v>0</v>
      </c>
      <c r="U29" s="85">
        <f>IFERROR(VLOOKUP("SV1_PRICING",'Company 26'!$B:$E,4,0),"")</f>
        <v>0</v>
      </c>
      <c r="V29" s="85">
        <f>IFERROR(VLOOKUP("SV2_PROMOTIONS",'Company 26'!$B:$E,4,0),"")</f>
        <v>0</v>
      </c>
      <c r="W29" s="85">
        <f>IFERROR(VLOOKUP("SV3_SUPPLYCHAIN",'Company 26'!$B:$E,4,0),"")</f>
        <v>0</v>
      </c>
      <c r="X29" s="85">
        <f>IFERROR(VLOOKUP("SV4_CATEGORY",'Company 26'!$B:$E,4,0),"")</f>
        <v>0</v>
      </c>
      <c r="Y29" s="85">
        <f>IFERROR(VLOOKUP("SV5_DEMAND",'Company 26'!$B:$E,4,0),"")</f>
        <v>0</v>
      </c>
      <c r="Z29" s="85">
        <f>IFERROR(VLOOKUP("SV6_ACCOUNT",'Company 26'!$B:$E,4,0),"")</f>
        <v>0</v>
      </c>
      <c r="AA29" s="85">
        <f>IFERROR(VLOOKUP("SV7_OPS",'Company 26'!$B:$E,4,0),"")</f>
        <v>0</v>
      </c>
      <c r="AB29" s="85">
        <f>IFERROR(VLOOKUP("SC1_DATASENS",'Company 26'!$B:$E,4,0),"")</f>
        <v>0</v>
      </c>
      <c r="AC29" s="85">
        <f>IFERROR(VLOOKUP("SC2_COMPLIANCE",'Company 26'!$B:$E,4,0),"")</f>
        <v>0</v>
      </c>
      <c r="AD29" s="85">
        <f>IFERROR(VLOOKUP("SC3_TRUST",'Company 26'!$B:$E,4,0),"")</f>
        <v>0</v>
      </c>
      <c r="AE29" s="85">
        <f>IFERROR(VLOOKUP("SC4_DATAPROC",'Company 26'!$B:$E,4,0),"")</f>
        <v>0</v>
      </c>
      <c r="AF29" s="85">
        <f>IFERROR(VLOOKUP("SF1_REALTIME",'Company 26'!$B:$E,4,0),"")</f>
        <v>0</v>
      </c>
      <c r="AG29" s="85">
        <f>IFERROR(VLOOKUP("SF2_ACCESS",'Company 26'!$B:$E,4,0),"")</f>
        <v>0</v>
      </c>
      <c r="AH29" s="85">
        <f>IFERROR(VLOOKUP("SF3_UX",'Company 26'!$B:$E,4,0),"")</f>
        <v>0</v>
      </c>
      <c r="AI29" s="85">
        <f>IFERROR(VLOOKUP("SF4_DECISION",'Company 26'!$B:$E,4,0),"")</f>
        <v>0</v>
      </c>
      <c r="AJ29" s="85">
        <f>IFERROR(VLOOKUP("SF5_MASKING",'Company 26'!$B:$E,4,0),"")</f>
        <v>0</v>
      </c>
      <c r="AK29" s="85">
        <f>IFERROR(VLOOKUP("SD1_TRENDS",'Company 26'!$B:$E,4,0),"")</f>
        <v>0</v>
      </c>
      <c r="AL29" s="85">
        <f>IFERROR(VLOOKUP("SD2_MARKET",'Company 26'!$B:$E,4,0),"")</f>
        <v>0</v>
      </c>
      <c r="AM29" s="85">
        <f>IFERROR(VLOOKUP("SD3_CATEGORY",'Company 26'!$B:$E,4,0),"")</f>
        <v>0</v>
      </c>
      <c r="AN29" s="85">
        <f>IFERROR(VLOOKUP("SD4_SHIPMENT",'Company 26'!$B:$E,4,0),"")</f>
        <v>0</v>
      </c>
      <c r="AO29" s="85">
        <f>IFERROR(VLOOKUP("SD5_LEAD",'Company 26'!$B:$E,4,0),"")</f>
        <v>0</v>
      </c>
      <c r="AP29" s="85">
        <f>IFERROR(VLOOKUP("SD6_CONJOINT",'Company 26'!$B:$E,4,0),"")</f>
        <v>0</v>
      </c>
    </row>
    <row r="30" spans="2:42" ht="20.100000000000001" customHeight="1">
      <c r="B30" s="83" t="s">
        <v>188</v>
      </c>
      <c r="C30" s="84">
        <f>IFERROR(VLOOKUP("Interviewee Position",'Company 27'!$B:$C,2,0),"")</f>
        <v>0</v>
      </c>
      <c r="D30" s="84">
        <f>IFERROR(VLOOKUP("Company Industry",'Company 27'!$B:$C,2,0),"")</f>
        <v>0</v>
      </c>
      <c r="E30" s="84">
        <f>IFERROR(VLOOKUP("Company Sub-Industry",'Company 27'!$B:$C,2,0),"")</f>
        <v>0</v>
      </c>
      <c r="F30" s="3">
        <f>IFERROR(VLOOKUP("Company Size (Turnover)",'Company 27'!$B:$C,2,0),"")</f>
        <v>0</v>
      </c>
      <c r="G30" s="84">
        <f>IFERROR(VLOOKUP("Country",'Company 27'!$B:$C,2,0),"")</f>
        <v>0</v>
      </c>
      <c r="H30" s="85">
        <f>IFERROR(VLOOKUP("B1_INTEREST",'Company 27'!$B:$E,4,0),"")</f>
        <v>0</v>
      </c>
      <c r="I30" s="85">
        <f>IFERROR(VLOOKUP("B2_SHARING",'Company 27'!$B:$E,4,0),"")</f>
        <v>0</v>
      </c>
      <c r="J30" s="85">
        <f>IFERROR(VLOOKUP("B3_MONETIZE",'Company 27'!$B:$E,4,0),"")</f>
        <v>0</v>
      </c>
      <c r="K30" s="85">
        <f>IFERROR(VLOOKUP("B4_STRATEGIC",'Company 27'!$B:$E,4,0),"")</f>
        <v>0</v>
      </c>
      <c r="L30" s="85">
        <f>IFERROR(VLOOKUP("M1_AUTOMATED",'Company 27'!$B:$E,4,0),"")</f>
        <v>0</v>
      </c>
      <c r="M30" s="85">
        <f>IFERROR(VLOOKUP("M2_REALTIME",'Company 27'!$B:$E,4,0),"")</f>
        <v>0</v>
      </c>
      <c r="N30" s="85">
        <f>IFERROR(VLOOKUP("M3_STRATEGIC",'Company 27'!$B:$E,4,0),"")</f>
        <v>0</v>
      </c>
      <c r="O30" s="85">
        <f>IFERROR(VLOOKUP("M4_BREADTH",'Company 27'!$B:$E,4,0),"")</f>
        <v>0</v>
      </c>
      <c r="P30" s="85">
        <f>IFERROR(VLOOKUP("M5_DATATYPES",'Company 27'!$B:$E,4,0),"")</f>
        <v>0</v>
      </c>
      <c r="Q30" s="85">
        <f>IFERROR(VLOOKUP("M6_TRUST",'Company 27'!$B:$E,4,0),"")</f>
        <v>0</v>
      </c>
      <c r="R30" s="85">
        <f>IFERROR(VLOOKUP("M7_BARRIERS",'Company 27'!$B:$E,4,0),"")</f>
        <v>0</v>
      </c>
      <c r="S30" s="85">
        <f>IFERROR(VLOOKUP("M8_IMPACT",'Company 27'!$B:$E,4,0),"")</f>
        <v>0</v>
      </c>
      <c r="T30" s="85">
        <f>IFERROR(VLOOKUP("M9_WILLINGNESS",'Company 27'!$B:$E,4,0),"")</f>
        <v>0</v>
      </c>
      <c r="U30" s="85">
        <f>IFERROR(VLOOKUP("SV1_PRICING",'Company 27'!$B:$E,4,0),"")</f>
        <v>0</v>
      </c>
      <c r="V30" s="85">
        <f>IFERROR(VLOOKUP("SV2_PROMOTIONS",'Company 27'!$B:$E,4,0),"")</f>
        <v>0</v>
      </c>
      <c r="W30" s="85">
        <f>IFERROR(VLOOKUP("SV3_SUPPLYCHAIN",'Company 27'!$B:$E,4,0),"")</f>
        <v>0</v>
      </c>
      <c r="X30" s="85">
        <f>IFERROR(VLOOKUP("SV4_CATEGORY",'Company 27'!$B:$E,4,0),"")</f>
        <v>0</v>
      </c>
      <c r="Y30" s="85">
        <f>IFERROR(VLOOKUP("SV5_DEMAND",'Company 27'!$B:$E,4,0),"")</f>
        <v>0</v>
      </c>
      <c r="Z30" s="85">
        <f>IFERROR(VLOOKUP("SV6_ACCOUNT",'Company 27'!$B:$E,4,0),"")</f>
        <v>0</v>
      </c>
      <c r="AA30" s="85">
        <f>IFERROR(VLOOKUP("SV7_OPS",'Company 27'!$B:$E,4,0),"")</f>
        <v>0</v>
      </c>
      <c r="AB30" s="85">
        <f>IFERROR(VLOOKUP("SC1_DATASENS",'Company 27'!$B:$E,4,0),"")</f>
        <v>0</v>
      </c>
      <c r="AC30" s="85">
        <f>IFERROR(VLOOKUP("SC2_COMPLIANCE",'Company 27'!$B:$E,4,0),"")</f>
        <v>0</v>
      </c>
      <c r="AD30" s="85">
        <f>IFERROR(VLOOKUP("SC3_TRUST",'Company 27'!$B:$E,4,0),"")</f>
        <v>0</v>
      </c>
      <c r="AE30" s="85">
        <f>IFERROR(VLOOKUP("SC4_DATAPROC",'Company 27'!$B:$E,4,0),"")</f>
        <v>0</v>
      </c>
      <c r="AF30" s="85">
        <f>IFERROR(VLOOKUP("SF1_REALTIME",'Company 27'!$B:$E,4,0),"")</f>
        <v>0</v>
      </c>
      <c r="AG30" s="85">
        <f>IFERROR(VLOOKUP("SF2_ACCESS",'Company 27'!$B:$E,4,0),"")</f>
        <v>0</v>
      </c>
      <c r="AH30" s="85">
        <f>IFERROR(VLOOKUP("SF3_UX",'Company 27'!$B:$E,4,0),"")</f>
        <v>0</v>
      </c>
      <c r="AI30" s="85">
        <f>IFERROR(VLOOKUP("SF4_DECISION",'Company 27'!$B:$E,4,0),"")</f>
        <v>0</v>
      </c>
      <c r="AJ30" s="85">
        <f>IFERROR(VLOOKUP("SF5_MASKING",'Company 27'!$B:$E,4,0),"")</f>
        <v>0</v>
      </c>
      <c r="AK30" s="85">
        <f>IFERROR(VLOOKUP("SD1_TRENDS",'Company 27'!$B:$E,4,0),"")</f>
        <v>0</v>
      </c>
      <c r="AL30" s="85">
        <f>IFERROR(VLOOKUP("SD2_MARKET",'Company 27'!$B:$E,4,0),"")</f>
        <v>0</v>
      </c>
      <c r="AM30" s="85">
        <f>IFERROR(VLOOKUP("SD3_CATEGORY",'Company 27'!$B:$E,4,0),"")</f>
        <v>0</v>
      </c>
      <c r="AN30" s="85">
        <f>IFERROR(VLOOKUP("SD4_SHIPMENT",'Company 27'!$B:$E,4,0),"")</f>
        <v>0</v>
      </c>
      <c r="AO30" s="85">
        <f>IFERROR(VLOOKUP("SD5_LEAD",'Company 27'!$B:$E,4,0),"")</f>
        <v>0</v>
      </c>
      <c r="AP30" s="85">
        <f>IFERROR(VLOOKUP("SD6_CONJOINT",'Company 27'!$B:$E,4,0),"")</f>
        <v>0</v>
      </c>
    </row>
    <row r="31" spans="2:42" ht="20.100000000000001" customHeight="1">
      <c r="B31" s="83" t="s">
        <v>189</v>
      </c>
      <c r="C31" s="84">
        <f>IFERROR(VLOOKUP("Interviewee Position",'Company 28'!$B:$C,2,0),"")</f>
        <v>0</v>
      </c>
      <c r="D31" s="84">
        <f>IFERROR(VLOOKUP("Company Industry",'Company 28'!$B:$C,2,0),"")</f>
        <v>0</v>
      </c>
      <c r="E31" s="84">
        <f>IFERROR(VLOOKUP("Company Sub-Industry",'Company 28'!$B:$C,2,0),"")</f>
        <v>0</v>
      </c>
      <c r="F31" s="3">
        <f>IFERROR(VLOOKUP("Company Size (Turnover)",'Company 28'!$B:$C,2,0),"")</f>
        <v>0</v>
      </c>
      <c r="G31" s="84">
        <f>IFERROR(VLOOKUP("Country",'Company 28'!$B:$C,2,0),"")</f>
        <v>0</v>
      </c>
      <c r="H31" s="85">
        <f>IFERROR(VLOOKUP("B1_INTEREST",'Company 28'!$B:$E,4,0),"")</f>
        <v>0</v>
      </c>
      <c r="I31" s="85">
        <f>IFERROR(VLOOKUP("B2_SHARING",'Company 28'!$B:$E,4,0),"")</f>
        <v>0</v>
      </c>
      <c r="J31" s="85">
        <f>IFERROR(VLOOKUP("B3_MONETIZE",'Company 28'!$B:$E,4,0),"")</f>
        <v>0</v>
      </c>
      <c r="K31" s="85">
        <f>IFERROR(VLOOKUP("B4_STRATEGIC",'Company 28'!$B:$E,4,0),"")</f>
        <v>0</v>
      </c>
      <c r="L31" s="85">
        <f>IFERROR(VLOOKUP("M1_AUTOMATED",'Company 28'!$B:$E,4,0),"")</f>
        <v>0</v>
      </c>
      <c r="M31" s="85">
        <f>IFERROR(VLOOKUP("M2_REALTIME",'Company 28'!$B:$E,4,0),"")</f>
        <v>0</v>
      </c>
      <c r="N31" s="85">
        <f>IFERROR(VLOOKUP("M3_STRATEGIC",'Company 28'!$B:$E,4,0),"")</f>
        <v>0</v>
      </c>
      <c r="O31" s="85">
        <f>IFERROR(VLOOKUP("M4_BREADTH",'Company 28'!$B:$E,4,0),"")</f>
        <v>0</v>
      </c>
      <c r="P31" s="85">
        <f>IFERROR(VLOOKUP("M5_DATATYPES",'Company 28'!$B:$E,4,0),"")</f>
        <v>0</v>
      </c>
      <c r="Q31" s="85">
        <f>IFERROR(VLOOKUP("M6_TRUST",'Company 28'!$B:$E,4,0),"")</f>
        <v>0</v>
      </c>
      <c r="R31" s="85">
        <f>IFERROR(VLOOKUP("M7_BARRIERS",'Company 28'!$B:$E,4,0),"")</f>
        <v>0</v>
      </c>
      <c r="S31" s="85">
        <f>IFERROR(VLOOKUP("M8_IMPACT",'Company 28'!$B:$E,4,0),"")</f>
        <v>0</v>
      </c>
      <c r="T31" s="85">
        <f>IFERROR(VLOOKUP("M9_WILLINGNESS",'Company 28'!$B:$E,4,0),"")</f>
        <v>0</v>
      </c>
      <c r="U31" s="85">
        <f>IFERROR(VLOOKUP("SV1_PRICING",'Company 28'!$B:$E,4,0),"")</f>
        <v>0</v>
      </c>
      <c r="V31" s="85">
        <f>IFERROR(VLOOKUP("SV2_PROMOTIONS",'Company 28'!$B:$E,4,0),"")</f>
        <v>0</v>
      </c>
      <c r="W31" s="85">
        <f>IFERROR(VLOOKUP("SV3_SUPPLYCHAIN",'Company 28'!$B:$E,4,0),"")</f>
        <v>0</v>
      </c>
      <c r="X31" s="85">
        <f>IFERROR(VLOOKUP("SV4_CATEGORY",'Company 28'!$B:$E,4,0),"")</f>
        <v>0</v>
      </c>
      <c r="Y31" s="85">
        <f>IFERROR(VLOOKUP("SV5_DEMAND",'Company 28'!$B:$E,4,0),"")</f>
        <v>0</v>
      </c>
      <c r="Z31" s="85">
        <f>IFERROR(VLOOKUP("SV6_ACCOUNT",'Company 28'!$B:$E,4,0),"")</f>
        <v>0</v>
      </c>
      <c r="AA31" s="85">
        <f>IFERROR(VLOOKUP("SV7_OPS",'Company 28'!$B:$E,4,0),"")</f>
        <v>0</v>
      </c>
      <c r="AB31" s="85">
        <f>IFERROR(VLOOKUP("SC1_DATASENS",'Company 28'!$B:$E,4,0),"")</f>
        <v>0</v>
      </c>
      <c r="AC31" s="85">
        <f>IFERROR(VLOOKUP("SC2_COMPLIANCE",'Company 28'!$B:$E,4,0),"")</f>
        <v>0</v>
      </c>
      <c r="AD31" s="85">
        <f>IFERROR(VLOOKUP("SC3_TRUST",'Company 28'!$B:$E,4,0),"")</f>
        <v>0</v>
      </c>
      <c r="AE31" s="85">
        <f>IFERROR(VLOOKUP("SC4_DATAPROC",'Company 28'!$B:$E,4,0),"")</f>
        <v>0</v>
      </c>
      <c r="AF31" s="85">
        <f>IFERROR(VLOOKUP("SF1_REALTIME",'Company 28'!$B:$E,4,0),"")</f>
        <v>0</v>
      </c>
      <c r="AG31" s="85">
        <f>IFERROR(VLOOKUP("SF2_ACCESS",'Company 28'!$B:$E,4,0),"")</f>
        <v>0</v>
      </c>
      <c r="AH31" s="85">
        <f>IFERROR(VLOOKUP("SF3_UX",'Company 28'!$B:$E,4,0),"")</f>
        <v>0</v>
      </c>
      <c r="AI31" s="85">
        <f>IFERROR(VLOOKUP("SF4_DECISION",'Company 28'!$B:$E,4,0),"")</f>
        <v>0</v>
      </c>
      <c r="AJ31" s="85">
        <f>IFERROR(VLOOKUP("SF5_MASKING",'Company 28'!$B:$E,4,0),"")</f>
        <v>0</v>
      </c>
      <c r="AK31" s="85">
        <f>IFERROR(VLOOKUP("SD1_TRENDS",'Company 28'!$B:$E,4,0),"")</f>
        <v>0</v>
      </c>
      <c r="AL31" s="85">
        <f>IFERROR(VLOOKUP("SD2_MARKET",'Company 28'!$B:$E,4,0),"")</f>
        <v>0</v>
      </c>
      <c r="AM31" s="85">
        <f>IFERROR(VLOOKUP("SD3_CATEGORY",'Company 28'!$B:$E,4,0),"")</f>
        <v>0</v>
      </c>
      <c r="AN31" s="85">
        <f>IFERROR(VLOOKUP("SD4_SHIPMENT",'Company 28'!$B:$E,4,0),"")</f>
        <v>0</v>
      </c>
      <c r="AO31" s="85">
        <f>IFERROR(VLOOKUP("SD5_LEAD",'Company 28'!$B:$E,4,0),"")</f>
        <v>0</v>
      </c>
      <c r="AP31" s="85">
        <f>IFERROR(VLOOKUP("SD6_CONJOINT",'Company 28'!$B:$E,4,0),"")</f>
        <v>0</v>
      </c>
    </row>
    <row r="32" spans="2:42" ht="20.100000000000001" customHeight="1">
      <c r="B32" s="83" t="s">
        <v>190</v>
      </c>
      <c r="C32" s="84">
        <f>IFERROR(VLOOKUP("Interviewee Position",'Company 29'!$B:$C,2,0),"")</f>
        <v>0</v>
      </c>
      <c r="D32" s="84">
        <f>IFERROR(VLOOKUP("Company Industry",'Company 29'!$B:$C,2,0),"")</f>
        <v>0</v>
      </c>
      <c r="E32" s="84">
        <f>IFERROR(VLOOKUP("Company Sub-Industry",'Company 29'!$B:$C,2,0),"")</f>
        <v>0</v>
      </c>
      <c r="F32" s="3">
        <f>IFERROR(VLOOKUP("Company Size (Turnover)",'Company 29'!$B:$C,2,0),"")</f>
        <v>0</v>
      </c>
      <c r="G32" s="84">
        <f>IFERROR(VLOOKUP("Country",'Company 29'!$B:$C,2,0),"")</f>
        <v>0</v>
      </c>
      <c r="H32" s="85">
        <f>IFERROR(VLOOKUP("B1_INTEREST",'Company 29'!$B:$E,4,0),"")</f>
        <v>0</v>
      </c>
      <c r="I32" s="85">
        <f>IFERROR(VLOOKUP("B2_SHARING",'Company 29'!$B:$E,4,0),"")</f>
        <v>0</v>
      </c>
      <c r="J32" s="85">
        <f>IFERROR(VLOOKUP("B3_MONETIZE",'Company 29'!$B:$E,4,0),"")</f>
        <v>0</v>
      </c>
      <c r="K32" s="85">
        <f>IFERROR(VLOOKUP("B4_STRATEGIC",'Company 29'!$B:$E,4,0),"")</f>
        <v>0</v>
      </c>
      <c r="L32" s="85">
        <f>IFERROR(VLOOKUP("M1_AUTOMATED",'Company 29'!$B:$E,4,0),"")</f>
        <v>0</v>
      </c>
      <c r="M32" s="85">
        <f>IFERROR(VLOOKUP("M2_REALTIME",'Company 29'!$B:$E,4,0),"")</f>
        <v>0</v>
      </c>
      <c r="N32" s="85">
        <f>IFERROR(VLOOKUP("M3_STRATEGIC",'Company 29'!$B:$E,4,0),"")</f>
        <v>0</v>
      </c>
      <c r="O32" s="85">
        <f>IFERROR(VLOOKUP("M4_BREADTH",'Company 29'!$B:$E,4,0),"")</f>
        <v>0</v>
      </c>
      <c r="P32" s="85">
        <f>IFERROR(VLOOKUP("M5_DATATYPES",'Company 29'!$B:$E,4,0),"")</f>
        <v>0</v>
      </c>
      <c r="Q32" s="85">
        <f>IFERROR(VLOOKUP("M6_TRUST",'Company 29'!$B:$E,4,0),"")</f>
        <v>0</v>
      </c>
      <c r="R32" s="85">
        <f>IFERROR(VLOOKUP("M7_BARRIERS",'Company 29'!$B:$E,4,0),"")</f>
        <v>0</v>
      </c>
      <c r="S32" s="85">
        <f>IFERROR(VLOOKUP("M8_IMPACT",'Company 29'!$B:$E,4,0),"")</f>
        <v>0</v>
      </c>
      <c r="T32" s="85">
        <f>IFERROR(VLOOKUP("M9_WILLINGNESS",'Company 29'!$B:$E,4,0),"")</f>
        <v>0</v>
      </c>
      <c r="U32" s="85">
        <f>IFERROR(VLOOKUP("SV1_PRICING",'Company 29'!$B:$E,4,0),"")</f>
        <v>0</v>
      </c>
      <c r="V32" s="85">
        <f>IFERROR(VLOOKUP("SV2_PROMOTIONS",'Company 29'!$B:$E,4,0),"")</f>
        <v>0</v>
      </c>
      <c r="W32" s="85">
        <f>IFERROR(VLOOKUP("SV3_SUPPLYCHAIN",'Company 29'!$B:$E,4,0),"")</f>
        <v>0</v>
      </c>
      <c r="X32" s="85">
        <f>IFERROR(VLOOKUP("SV4_CATEGORY",'Company 29'!$B:$E,4,0),"")</f>
        <v>0</v>
      </c>
      <c r="Y32" s="85">
        <f>IFERROR(VLOOKUP("SV5_DEMAND",'Company 29'!$B:$E,4,0),"")</f>
        <v>0</v>
      </c>
      <c r="Z32" s="85">
        <f>IFERROR(VLOOKUP("SV6_ACCOUNT",'Company 29'!$B:$E,4,0),"")</f>
        <v>0</v>
      </c>
      <c r="AA32" s="85">
        <f>IFERROR(VLOOKUP("SV7_OPS",'Company 29'!$B:$E,4,0),"")</f>
        <v>0</v>
      </c>
      <c r="AB32" s="85">
        <f>IFERROR(VLOOKUP("SC1_DATASENS",'Company 29'!$B:$E,4,0),"")</f>
        <v>0</v>
      </c>
      <c r="AC32" s="85">
        <f>IFERROR(VLOOKUP("SC2_COMPLIANCE",'Company 29'!$B:$E,4,0),"")</f>
        <v>0</v>
      </c>
      <c r="AD32" s="85">
        <f>IFERROR(VLOOKUP("SC3_TRUST",'Company 29'!$B:$E,4,0),"")</f>
        <v>0</v>
      </c>
      <c r="AE32" s="85">
        <f>IFERROR(VLOOKUP("SC4_DATAPROC",'Company 29'!$B:$E,4,0),"")</f>
        <v>0</v>
      </c>
      <c r="AF32" s="85">
        <f>IFERROR(VLOOKUP("SF1_REALTIME",'Company 29'!$B:$E,4,0),"")</f>
        <v>0</v>
      </c>
      <c r="AG32" s="85">
        <f>IFERROR(VLOOKUP("SF2_ACCESS",'Company 29'!$B:$E,4,0),"")</f>
        <v>0</v>
      </c>
      <c r="AH32" s="85">
        <f>IFERROR(VLOOKUP("SF3_UX",'Company 29'!$B:$E,4,0),"")</f>
        <v>0</v>
      </c>
      <c r="AI32" s="85">
        <f>IFERROR(VLOOKUP("SF4_DECISION",'Company 29'!$B:$E,4,0),"")</f>
        <v>0</v>
      </c>
      <c r="AJ32" s="85">
        <f>IFERROR(VLOOKUP("SF5_MASKING",'Company 29'!$B:$E,4,0),"")</f>
        <v>0</v>
      </c>
      <c r="AK32" s="85">
        <f>IFERROR(VLOOKUP("SD1_TRENDS",'Company 29'!$B:$E,4,0),"")</f>
        <v>0</v>
      </c>
      <c r="AL32" s="85">
        <f>IFERROR(VLOOKUP("SD2_MARKET",'Company 29'!$B:$E,4,0),"")</f>
        <v>0</v>
      </c>
      <c r="AM32" s="85">
        <f>IFERROR(VLOOKUP("SD3_CATEGORY",'Company 29'!$B:$E,4,0),"")</f>
        <v>0</v>
      </c>
      <c r="AN32" s="85">
        <f>IFERROR(VLOOKUP("SD4_SHIPMENT",'Company 29'!$B:$E,4,0),"")</f>
        <v>0</v>
      </c>
      <c r="AO32" s="85">
        <f>IFERROR(VLOOKUP("SD5_LEAD",'Company 29'!$B:$E,4,0),"")</f>
        <v>0</v>
      </c>
      <c r="AP32" s="85">
        <f>IFERROR(VLOOKUP("SD6_CONJOINT",'Company 29'!$B:$E,4,0),"")</f>
        <v>0</v>
      </c>
    </row>
    <row r="33" spans="2:42" ht="20.100000000000001" customHeight="1">
      <c r="B33" s="83" t="s">
        <v>191</v>
      </c>
      <c r="C33" s="84">
        <f>IFERROR(VLOOKUP("Interviewee Position",'Company 30'!$B:$C,2,0),"")</f>
        <v>0</v>
      </c>
      <c r="D33" s="84">
        <f>IFERROR(VLOOKUP("Company Industry",'Company 30'!$B:$C,2,0),"")</f>
        <v>0</v>
      </c>
      <c r="E33" s="84">
        <f>IFERROR(VLOOKUP("Company Sub-Industry",'Company 30'!$B:$C,2,0),"")</f>
        <v>0</v>
      </c>
      <c r="F33" s="3">
        <f>IFERROR(VLOOKUP("Company Size (Turnover)",'Company 30'!$B:$C,2,0),"")</f>
        <v>0</v>
      </c>
      <c r="G33" s="84">
        <f>IFERROR(VLOOKUP("Country",'Company 30'!$B:$C,2,0),"")</f>
        <v>0</v>
      </c>
      <c r="H33" s="85">
        <f>IFERROR(VLOOKUP("B1_INTEREST",'Company 30'!$B:$E,4,0),"")</f>
        <v>0</v>
      </c>
      <c r="I33" s="85">
        <f>IFERROR(VLOOKUP("B2_SHARING",'Company 30'!$B:$E,4,0),"")</f>
        <v>0</v>
      </c>
      <c r="J33" s="85">
        <f>IFERROR(VLOOKUP("B3_MONETIZE",'Company 30'!$B:$E,4,0),"")</f>
        <v>0</v>
      </c>
      <c r="K33" s="85">
        <f>IFERROR(VLOOKUP("B4_STRATEGIC",'Company 30'!$B:$E,4,0),"")</f>
        <v>0</v>
      </c>
      <c r="L33" s="85">
        <f>IFERROR(VLOOKUP("M1_AUTOMATED",'Company 30'!$B:$E,4,0),"")</f>
        <v>0</v>
      </c>
      <c r="M33" s="85">
        <f>IFERROR(VLOOKUP("M2_REALTIME",'Company 30'!$B:$E,4,0),"")</f>
        <v>0</v>
      </c>
      <c r="N33" s="85">
        <f>IFERROR(VLOOKUP("M3_STRATEGIC",'Company 30'!$B:$E,4,0),"")</f>
        <v>0</v>
      </c>
      <c r="O33" s="85">
        <f>IFERROR(VLOOKUP("M4_BREADTH",'Company 30'!$B:$E,4,0),"")</f>
        <v>0</v>
      </c>
      <c r="P33" s="85">
        <f>IFERROR(VLOOKUP("M5_DATATYPES",'Company 30'!$B:$E,4,0),"")</f>
        <v>0</v>
      </c>
      <c r="Q33" s="85">
        <f>IFERROR(VLOOKUP("M6_TRUST",'Company 30'!$B:$E,4,0),"")</f>
        <v>0</v>
      </c>
      <c r="R33" s="85">
        <f>IFERROR(VLOOKUP("M7_BARRIERS",'Company 30'!$B:$E,4,0),"")</f>
        <v>0</v>
      </c>
      <c r="S33" s="85">
        <f>IFERROR(VLOOKUP("M8_IMPACT",'Company 30'!$B:$E,4,0),"")</f>
        <v>0</v>
      </c>
      <c r="T33" s="85">
        <f>IFERROR(VLOOKUP("M9_WILLINGNESS",'Company 30'!$B:$E,4,0),"")</f>
        <v>0</v>
      </c>
      <c r="U33" s="85">
        <f>IFERROR(VLOOKUP("SV1_PRICING",'Company 30'!$B:$E,4,0),"")</f>
        <v>0</v>
      </c>
      <c r="V33" s="85">
        <f>IFERROR(VLOOKUP("SV2_PROMOTIONS",'Company 30'!$B:$E,4,0),"")</f>
        <v>0</v>
      </c>
      <c r="W33" s="85">
        <f>IFERROR(VLOOKUP("SV3_SUPPLYCHAIN",'Company 30'!$B:$E,4,0),"")</f>
        <v>0</v>
      </c>
      <c r="X33" s="85">
        <f>IFERROR(VLOOKUP("SV4_CATEGORY",'Company 30'!$B:$E,4,0),"")</f>
        <v>0</v>
      </c>
      <c r="Y33" s="85">
        <f>IFERROR(VLOOKUP("SV5_DEMAND",'Company 30'!$B:$E,4,0),"")</f>
        <v>0</v>
      </c>
      <c r="Z33" s="85">
        <f>IFERROR(VLOOKUP("SV6_ACCOUNT",'Company 30'!$B:$E,4,0),"")</f>
        <v>0</v>
      </c>
      <c r="AA33" s="85">
        <f>IFERROR(VLOOKUP("SV7_OPS",'Company 30'!$B:$E,4,0),"")</f>
        <v>0</v>
      </c>
      <c r="AB33" s="85">
        <f>IFERROR(VLOOKUP("SC1_DATASENS",'Company 30'!$B:$E,4,0),"")</f>
        <v>0</v>
      </c>
      <c r="AC33" s="85">
        <f>IFERROR(VLOOKUP("SC2_COMPLIANCE",'Company 30'!$B:$E,4,0),"")</f>
        <v>0</v>
      </c>
      <c r="AD33" s="85">
        <f>IFERROR(VLOOKUP("SC3_TRUST",'Company 30'!$B:$E,4,0),"")</f>
        <v>0</v>
      </c>
      <c r="AE33" s="85">
        <f>IFERROR(VLOOKUP("SC4_DATAPROC",'Company 30'!$B:$E,4,0),"")</f>
        <v>0</v>
      </c>
      <c r="AF33" s="85">
        <f>IFERROR(VLOOKUP("SF1_REALTIME",'Company 30'!$B:$E,4,0),"")</f>
        <v>0</v>
      </c>
      <c r="AG33" s="85">
        <f>IFERROR(VLOOKUP("SF2_ACCESS",'Company 30'!$B:$E,4,0),"")</f>
        <v>0</v>
      </c>
      <c r="AH33" s="85">
        <f>IFERROR(VLOOKUP("SF3_UX",'Company 30'!$B:$E,4,0),"")</f>
        <v>0</v>
      </c>
      <c r="AI33" s="85">
        <f>IFERROR(VLOOKUP("SF4_DECISION",'Company 30'!$B:$E,4,0),"")</f>
        <v>0</v>
      </c>
      <c r="AJ33" s="85">
        <f>IFERROR(VLOOKUP("SF5_MASKING",'Company 30'!$B:$E,4,0),"")</f>
        <v>0</v>
      </c>
      <c r="AK33" s="85">
        <f>IFERROR(VLOOKUP("SD1_TRENDS",'Company 30'!$B:$E,4,0),"")</f>
        <v>0</v>
      </c>
      <c r="AL33" s="85">
        <f>IFERROR(VLOOKUP("SD2_MARKET",'Company 30'!$B:$E,4,0),"")</f>
        <v>0</v>
      </c>
      <c r="AM33" s="85">
        <f>IFERROR(VLOOKUP("SD3_CATEGORY",'Company 30'!$B:$E,4,0),"")</f>
        <v>0</v>
      </c>
      <c r="AN33" s="85">
        <f>IFERROR(VLOOKUP("SD4_SHIPMENT",'Company 30'!$B:$E,4,0),"")</f>
        <v>0</v>
      </c>
      <c r="AO33" s="85">
        <f>IFERROR(VLOOKUP("SD5_LEAD",'Company 30'!$B:$E,4,0),"")</f>
        <v>0</v>
      </c>
      <c r="AP33" s="85">
        <f>IFERROR(VLOOKUP("SD6_CONJOINT",'Company 30'!$B:$E,4,0),"")</f>
        <v>0</v>
      </c>
    </row>
    <row r="35" spans="2:42" ht="21.95" customHeight="1">
      <c r="B35" s="86" t="s">
        <v>192</v>
      </c>
      <c r="C35" s="170" t="s">
        <v>193</v>
      </c>
      <c r="D35" s="199"/>
      <c r="E35" s="199"/>
      <c r="F35" s="199"/>
      <c r="G35" s="199"/>
      <c r="H35" s="199"/>
      <c r="I35" s="199"/>
      <c r="J35" s="199"/>
      <c r="K35" s="199"/>
      <c r="L35" s="199"/>
      <c r="M35" s="199"/>
      <c r="N35" s="199"/>
      <c r="O35" s="199"/>
      <c r="P35" s="199"/>
      <c r="Q35" s="199"/>
      <c r="R35" s="199"/>
      <c r="S35" s="199"/>
      <c r="T35" s="199"/>
      <c r="U35" s="199"/>
      <c r="V35" s="199"/>
      <c r="W35" s="199"/>
      <c r="X35" s="199"/>
      <c r="Y35" s="199"/>
      <c r="Z35" s="199"/>
      <c r="AA35" s="199"/>
      <c r="AB35" s="199"/>
      <c r="AC35" s="199"/>
      <c r="AD35" s="199"/>
      <c r="AE35" s="199"/>
      <c r="AF35" s="199"/>
      <c r="AG35" s="199"/>
      <c r="AH35" s="199"/>
      <c r="AI35" s="199"/>
      <c r="AJ35" s="199"/>
      <c r="AK35" s="199"/>
      <c r="AL35" s="199"/>
      <c r="AM35" s="199"/>
      <c r="AN35" s="199"/>
      <c r="AO35" s="199"/>
      <c r="AP35" s="200"/>
    </row>
    <row r="37" spans="2:42">
      <c r="B37" t="s">
        <v>194</v>
      </c>
      <c r="E37">
        <f>30-COUNT(E4:E33)</f>
        <v>17</v>
      </c>
      <c r="H37" s="5">
        <f>SUMIF(H4:H33,"&gt;0")/COUNTIF(H4:H33,"&gt;0")</f>
        <v>7.1923076923076925</v>
      </c>
      <c r="I37" s="5">
        <f>COUNTIF(I4:I33,"&gt;0")</f>
        <v>13</v>
      </c>
      <c r="J37" s="5">
        <f>COUNTIF(J4:J33,"&gt;0")</f>
        <v>4</v>
      </c>
      <c r="K37" s="5">
        <f>COUNTIF(K4:K33,"&gt;0")</f>
        <v>7</v>
      </c>
      <c r="L37" s="5">
        <f>SUMIF(L4:L33,"&gt;0")/COUNTIF(L4:L33,"&gt;0")</f>
        <v>2.7272727272727271</v>
      </c>
      <c r="M37" s="5">
        <f t="shared" ref="M37:T37" si="0">SUMIF(M4:M33,"&gt;0")/COUNTIF(M4:M33,"&gt;0")</f>
        <v>2.3636363636363638</v>
      </c>
      <c r="N37" s="5">
        <f t="shared" si="0"/>
        <v>3.2307692307692308</v>
      </c>
      <c r="O37" s="5">
        <f t="shared" si="0"/>
        <v>2.6153846153846154</v>
      </c>
      <c r="P37" s="5">
        <f t="shared" si="0"/>
        <v>3.2307692307692308</v>
      </c>
      <c r="Q37" s="5">
        <f t="shared" si="0"/>
        <v>2.6666666666666665</v>
      </c>
      <c r="R37" s="5">
        <f t="shared" si="0"/>
        <v>3.6153846153846154</v>
      </c>
      <c r="S37" s="5">
        <f t="shared" si="0"/>
        <v>3.3333333333333335</v>
      </c>
      <c r="T37" s="5">
        <f t="shared" si="0"/>
        <v>6.9230769230769234</v>
      </c>
      <c r="U37" s="5">
        <f>COUNTIF(U4:U33,"&gt;0")</f>
        <v>7</v>
      </c>
      <c r="V37" s="5">
        <f t="shared" ref="V37:AP37" si="1">COUNTIF(V4:V33,"&gt;0")</f>
        <v>8</v>
      </c>
      <c r="W37" s="5">
        <f t="shared" si="1"/>
        <v>8</v>
      </c>
      <c r="X37" s="5">
        <f t="shared" si="1"/>
        <v>10</v>
      </c>
      <c r="Y37" s="5">
        <f t="shared" si="1"/>
        <v>4</v>
      </c>
      <c r="Z37" s="5">
        <f t="shared" si="1"/>
        <v>3</v>
      </c>
      <c r="AA37" s="5">
        <f t="shared" si="1"/>
        <v>5</v>
      </c>
      <c r="AB37" s="5">
        <f t="shared" si="1"/>
        <v>12</v>
      </c>
      <c r="AC37" s="5">
        <f t="shared" si="1"/>
        <v>8</v>
      </c>
      <c r="AD37" s="5">
        <f t="shared" si="1"/>
        <v>5</v>
      </c>
      <c r="AE37" s="5">
        <f t="shared" si="1"/>
        <v>9</v>
      </c>
      <c r="AF37" s="5">
        <f t="shared" si="1"/>
        <v>5</v>
      </c>
      <c r="AG37" s="5">
        <f t="shared" si="1"/>
        <v>4</v>
      </c>
      <c r="AH37" s="5">
        <f t="shared" si="1"/>
        <v>6</v>
      </c>
      <c r="AI37" s="5">
        <f t="shared" si="1"/>
        <v>4</v>
      </c>
      <c r="AJ37" s="5">
        <f t="shared" si="1"/>
        <v>4</v>
      </c>
      <c r="AK37" s="5">
        <f t="shared" si="1"/>
        <v>8</v>
      </c>
      <c r="AL37" s="5">
        <f t="shared" si="1"/>
        <v>11</v>
      </c>
      <c r="AM37" s="5">
        <f t="shared" si="1"/>
        <v>10</v>
      </c>
      <c r="AN37" s="5">
        <f t="shared" si="1"/>
        <v>6</v>
      </c>
      <c r="AO37" s="5">
        <f t="shared" si="1"/>
        <v>3</v>
      </c>
      <c r="AP37" s="5">
        <f t="shared" si="1"/>
        <v>0</v>
      </c>
    </row>
    <row r="38" spans="2:42">
      <c r="B38" t="s">
        <v>6</v>
      </c>
      <c r="E38">
        <f>COUNTIF($E$4:$E$33,B38)</f>
        <v>5</v>
      </c>
      <c r="H38">
        <f>SUMIFS(H$4:H$33,H$4:H$33,"&gt;0",$E$4:$E$33,$B38)/$E38</f>
        <v>8.4</v>
      </c>
      <c r="I38">
        <f>SUMIFS(I$4:I$33,$E$4:$E$33,$B38)</f>
        <v>5</v>
      </c>
      <c r="J38">
        <f>SUMIFS(J$4:J$33,$E$4:$E$33,$B38)</f>
        <v>0</v>
      </c>
      <c r="K38">
        <f>SUMIFS(K$4:K$33,$E$4:$E$33,$B38)</f>
        <v>3</v>
      </c>
      <c r="L38">
        <f t="shared" ref="L38:T38" si="2">SUMIFS(L$4:L$33,L$4:L$33,"&gt;0",$E$4:$E$33,$B38)/$E38</f>
        <v>3</v>
      </c>
      <c r="M38">
        <f t="shared" si="2"/>
        <v>2.6</v>
      </c>
      <c r="N38">
        <f t="shared" si="2"/>
        <v>3.8</v>
      </c>
      <c r="O38">
        <f t="shared" si="2"/>
        <v>3.2</v>
      </c>
      <c r="P38">
        <f t="shared" si="2"/>
        <v>4</v>
      </c>
      <c r="Q38">
        <f t="shared" si="2"/>
        <v>2.6</v>
      </c>
      <c r="R38">
        <f t="shared" si="2"/>
        <v>4</v>
      </c>
      <c r="S38">
        <f t="shared" si="2"/>
        <v>3.2</v>
      </c>
      <c r="T38">
        <f t="shared" si="2"/>
        <v>8</v>
      </c>
      <c r="U38">
        <f t="shared" ref="U38:AP41" si="3">SUMIFS(U$4:U$33,$E$4:$E$33,$B38)</f>
        <v>4</v>
      </c>
      <c r="V38">
        <f t="shared" si="3"/>
        <v>4</v>
      </c>
      <c r="W38">
        <f t="shared" si="3"/>
        <v>4</v>
      </c>
      <c r="X38">
        <f t="shared" si="3"/>
        <v>4</v>
      </c>
      <c r="Y38">
        <f t="shared" si="3"/>
        <v>2</v>
      </c>
      <c r="Z38">
        <f t="shared" si="3"/>
        <v>2</v>
      </c>
      <c r="AA38">
        <f t="shared" si="3"/>
        <v>3</v>
      </c>
      <c r="AB38">
        <f t="shared" si="3"/>
        <v>5</v>
      </c>
      <c r="AC38">
        <f t="shared" si="3"/>
        <v>4</v>
      </c>
      <c r="AD38">
        <f t="shared" si="3"/>
        <v>3</v>
      </c>
      <c r="AE38">
        <f t="shared" si="3"/>
        <v>4</v>
      </c>
      <c r="AF38">
        <f t="shared" si="3"/>
        <v>3</v>
      </c>
      <c r="AG38">
        <f t="shared" si="3"/>
        <v>2</v>
      </c>
      <c r="AH38">
        <f t="shared" si="3"/>
        <v>2</v>
      </c>
      <c r="AI38">
        <f t="shared" si="3"/>
        <v>3</v>
      </c>
      <c r="AJ38">
        <f t="shared" si="3"/>
        <v>1</v>
      </c>
      <c r="AK38">
        <f t="shared" si="3"/>
        <v>4</v>
      </c>
      <c r="AL38">
        <f t="shared" si="3"/>
        <v>4</v>
      </c>
      <c r="AM38">
        <f t="shared" si="3"/>
        <v>4</v>
      </c>
      <c r="AN38">
        <f t="shared" si="3"/>
        <v>3</v>
      </c>
      <c r="AO38">
        <f t="shared" si="3"/>
        <v>2</v>
      </c>
      <c r="AP38">
        <f t="shared" si="3"/>
        <v>0</v>
      </c>
    </row>
    <row r="39" spans="2:42">
      <c r="B39" t="s">
        <v>9</v>
      </c>
      <c r="E39">
        <f>COUNTIF($E$4:$E$33,B39)</f>
        <v>3</v>
      </c>
      <c r="H39">
        <f t="shared" ref="H39:H41" si="4">SUMIFS(H$4:H$33,H$4:H$33,"&gt;0",$E$4:$E$33,$B39)/$E39</f>
        <v>6</v>
      </c>
      <c r="I39">
        <f t="shared" ref="I39:K41" si="5">SUMIFS(I$4:I$33,$E$4:$E$33,$B39)</f>
        <v>3</v>
      </c>
      <c r="J39">
        <f t="shared" si="5"/>
        <v>1</v>
      </c>
      <c r="K39">
        <f t="shared" si="5"/>
        <v>1</v>
      </c>
      <c r="L39">
        <f t="shared" ref="L39:T41" si="6">SUMIFS(L$4:L$33,L$4:L$33,"&gt;0",$E$4:$E$33,$B39)/$E39</f>
        <v>1.3333333333333333</v>
      </c>
      <c r="M39">
        <f t="shared" si="6"/>
        <v>1</v>
      </c>
      <c r="N39">
        <f t="shared" si="6"/>
        <v>1.6666666666666667</v>
      </c>
      <c r="O39">
        <f t="shared" si="6"/>
        <v>1.6666666666666667</v>
      </c>
      <c r="P39">
        <f t="shared" si="6"/>
        <v>1.6666666666666667</v>
      </c>
      <c r="Q39">
        <f t="shared" si="6"/>
        <v>1.3333333333333333</v>
      </c>
      <c r="R39">
        <f t="shared" si="6"/>
        <v>3.3333333333333335</v>
      </c>
      <c r="S39">
        <f t="shared" si="6"/>
        <v>0</v>
      </c>
      <c r="T39">
        <f t="shared" si="6"/>
        <v>5.666666666666667</v>
      </c>
      <c r="U39">
        <f t="shared" si="3"/>
        <v>1</v>
      </c>
      <c r="V39">
        <f t="shared" si="3"/>
        <v>1</v>
      </c>
      <c r="W39">
        <f t="shared" si="3"/>
        <v>2</v>
      </c>
      <c r="X39">
        <f t="shared" si="3"/>
        <v>2</v>
      </c>
      <c r="Y39">
        <f t="shared" si="3"/>
        <v>0</v>
      </c>
      <c r="Z39">
        <f t="shared" si="3"/>
        <v>0</v>
      </c>
      <c r="AA39">
        <f t="shared" si="3"/>
        <v>0</v>
      </c>
      <c r="AB39">
        <f t="shared" si="3"/>
        <v>3</v>
      </c>
      <c r="AC39">
        <f t="shared" si="3"/>
        <v>1</v>
      </c>
      <c r="AD39">
        <f t="shared" si="3"/>
        <v>0</v>
      </c>
      <c r="AE39">
        <f t="shared" si="3"/>
        <v>2</v>
      </c>
      <c r="AF39">
        <f t="shared" si="3"/>
        <v>0</v>
      </c>
      <c r="AG39">
        <f t="shared" si="3"/>
        <v>0</v>
      </c>
      <c r="AH39">
        <f t="shared" si="3"/>
        <v>1</v>
      </c>
      <c r="AI39">
        <f t="shared" si="3"/>
        <v>0</v>
      </c>
      <c r="AJ39">
        <f t="shared" si="3"/>
        <v>2</v>
      </c>
      <c r="AK39">
        <f t="shared" si="3"/>
        <v>2</v>
      </c>
      <c r="AL39">
        <f t="shared" si="3"/>
        <v>3</v>
      </c>
      <c r="AM39">
        <f t="shared" si="3"/>
        <v>2</v>
      </c>
      <c r="AN39">
        <f t="shared" si="3"/>
        <v>0</v>
      </c>
      <c r="AO39">
        <f t="shared" si="3"/>
        <v>0</v>
      </c>
      <c r="AP39">
        <f t="shared" si="3"/>
        <v>0</v>
      </c>
    </row>
    <row r="40" spans="2:42">
      <c r="B40" t="s">
        <v>12</v>
      </c>
      <c r="E40">
        <f>COUNTIF($E$4:$E$33,B40)</f>
        <v>4</v>
      </c>
      <c r="H40">
        <f t="shared" si="4"/>
        <v>7.625</v>
      </c>
      <c r="I40">
        <f t="shared" si="5"/>
        <v>4</v>
      </c>
      <c r="J40">
        <f t="shared" si="5"/>
        <v>3</v>
      </c>
      <c r="K40">
        <f t="shared" si="5"/>
        <v>2</v>
      </c>
      <c r="L40">
        <f t="shared" si="6"/>
        <v>2.75</v>
      </c>
      <c r="M40">
        <f t="shared" si="6"/>
        <v>2.5</v>
      </c>
      <c r="N40">
        <f t="shared" si="6"/>
        <v>4</v>
      </c>
      <c r="O40">
        <f t="shared" si="6"/>
        <v>3</v>
      </c>
      <c r="P40">
        <f t="shared" si="6"/>
        <v>3.75</v>
      </c>
      <c r="Q40">
        <f t="shared" si="6"/>
        <v>1.75</v>
      </c>
      <c r="R40">
        <f t="shared" si="6"/>
        <v>3.25</v>
      </c>
      <c r="S40">
        <f t="shared" si="6"/>
        <v>2.5</v>
      </c>
      <c r="T40">
        <f t="shared" si="6"/>
        <v>7.5</v>
      </c>
      <c r="U40">
        <f t="shared" si="3"/>
        <v>2</v>
      </c>
      <c r="V40">
        <f t="shared" si="3"/>
        <v>2</v>
      </c>
      <c r="W40">
        <f t="shared" si="3"/>
        <v>1</v>
      </c>
      <c r="X40">
        <f t="shared" si="3"/>
        <v>4</v>
      </c>
      <c r="Y40">
        <f t="shared" si="3"/>
        <v>1</v>
      </c>
      <c r="Z40">
        <f t="shared" si="3"/>
        <v>1</v>
      </c>
      <c r="AA40">
        <f t="shared" si="3"/>
        <v>2</v>
      </c>
      <c r="AB40">
        <f t="shared" si="3"/>
        <v>3</v>
      </c>
      <c r="AC40">
        <f t="shared" si="3"/>
        <v>2</v>
      </c>
      <c r="AD40">
        <f t="shared" si="3"/>
        <v>2</v>
      </c>
      <c r="AE40">
        <f t="shared" si="3"/>
        <v>3</v>
      </c>
      <c r="AF40">
        <f t="shared" si="3"/>
        <v>2</v>
      </c>
      <c r="AG40">
        <f t="shared" si="3"/>
        <v>2</v>
      </c>
      <c r="AH40">
        <f t="shared" si="3"/>
        <v>3</v>
      </c>
      <c r="AI40">
        <f t="shared" si="3"/>
        <v>1</v>
      </c>
      <c r="AJ40">
        <f t="shared" si="3"/>
        <v>0</v>
      </c>
      <c r="AK40">
        <f t="shared" si="3"/>
        <v>1</v>
      </c>
      <c r="AL40">
        <f t="shared" si="3"/>
        <v>3</v>
      </c>
      <c r="AM40">
        <f t="shared" si="3"/>
        <v>4</v>
      </c>
      <c r="AN40">
        <f t="shared" si="3"/>
        <v>2</v>
      </c>
      <c r="AO40">
        <f t="shared" si="3"/>
        <v>1</v>
      </c>
      <c r="AP40">
        <f t="shared" si="3"/>
        <v>0</v>
      </c>
    </row>
    <row r="41" spans="2:42">
      <c r="B41" t="s">
        <v>13</v>
      </c>
      <c r="E41">
        <f>COUNTIF($E$4:$E$33,B41)</f>
        <v>1</v>
      </c>
      <c r="H41">
        <f t="shared" si="4"/>
        <v>3</v>
      </c>
      <c r="I41">
        <f t="shared" si="5"/>
        <v>1</v>
      </c>
      <c r="J41">
        <f t="shared" si="5"/>
        <v>0</v>
      </c>
      <c r="K41">
        <f t="shared" si="5"/>
        <v>1</v>
      </c>
      <c r="L41">
        <f t="shared" si="6"/>
        <v>0</v>
      </c>
      <c r="M41">
        <f t="shared" si="6"/>
        <v>0</v>
      </c>
      <c r="N41">
        <f t="shared" si="6"/>
        <v>2</v>
      </c>
      <c r="O41">
        <f t="shared" si="6"/>
        <v>1</v>
      </c>
      <c r="P41">
        <f t="shared" si="6"/>
        <v>2</v>
      </c>
      <c r="Q41">
        <f t="shared" si="6"/>
        <v>0</v>
      </c>
      <c r="R41">
        <f t="shared" si="6"/>
        <v>4</v>
      </c>
      <c r="S41">
        <f t="shared" si="6"/>
        <v>4</v>
      </c>
      <c r="T41">
        <f t="shared" si="6"/>
        <v>3</v>
      </c>
      <c r="U41">
        <f t="shared" si="3"/>
        <v>0</v>
      </c>
      <c r="V41">
        <f t="shared" si="3"/>
        <v>1</v>
      </c>
      <c r="W41">
        <f t="shared" si="3"/>
        <v>1</v>
      </c>
      <c r="X41">
        <f t="shared" si="3"/>
        <v>0</v>
      </c>
      <c r="Y41">
        <f t="shared" si="3"/>
        <v>1</v>
      </c>
      <c r="Z41">
        <f t="shared" si="3"/>
        <v>0</v>
      </c>
      <c r="AA41">
        <f t="shared" si="3"/>
        <v>0</v>
      </c>
      <c r="AB41">
        <f t="shared" si="3"/>
        <v>1</v>
      </c>
      <c r="AC41">
        <f t="shared" si="3"/>
        <v>1</v>
      </c>
      <c r="AD41">
        <f t="shared" si="3"/>
        <v>0</v>
      </c>
      <c r="AE41">
        <f t="shared" si="3"/>
        <v>0</v>
      </c>
      <c r="AF41">
        <f t="shared" si="3"/>
        <v>0</v>
      </c>
      <c r="AG41">
        <f t="shared" si="3"/>
        <v>0</v>
      </c>
      <c r="AH41">
        <f t="shared" si="3"/>
        <v>0</v>
      </c>
      <c r="AI41">
        <f t="shared" si="3"/>
        <v>0</v>
      </c>
      <c r="AJ41">
        <f t="shared" si="3"/>
        <v>1</v>
      </c>
      <c r="AK41">
        <f t="shared" si="3"/>
        <v>1</v>
      </c>
      <c r="AL41">
        <f t="shared" si="3"/>
        <v>1</v>
      </c>
      <c r="AM41">
        <f t="shared" si="3"/>
        <v>0</v>
      </c>
      <c r="AN41">
        <f t="shared" si="3"/>
        <v>1</v>
      </c>
      <c r="AO41">
        <f t="shared" si="3"/>
        <v>0</v>
      </c>
      <c r="AP41">
        <f t="shared" si="3"/>
        <v>0</v>
      </c>
    </row>
  </sheetData>
  <autoFilter ref="B3:AP33" xr:uid="{00000000-0009-0000-0000-000002000000}"/>
  <mergeCells count="1">
    <mergeCell ref="C35:AP35"/>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AH53"/>
  <sheetViews>
    <sheetView workbookViewId="0">
      <pane xSplit="4" ySplit="9" topLeftCell="E47" activePane="bottomRight" state="frozen"/>
      <selection pane="bottomRight" activeCell="B57" sqref="B57"/>
      <selection pane="bottomLeft" activeCell="B57" sqref="B57"/>
      <selection pane="topRight" activeCell="B57" sqref="B57"/>
    </sheetView>
  </sheetViews>
  <sheetFormatPr defaultRowHeight="14.45"/>
  <cols>
    <col min="1" max="1" width="2" customWidth="1"/>
    <col min="2" max="2" width="14" customWidth="1"/>
    <col min="3" max="3" width="16" customWidth="1"/>
    <col min="4" max="4" width="42" customWidth="1"/>
    <col min="5" max="34" width="14" customWidth="1"/>
  </cols>
  <sheetData>
    <row r="1" spans="2:34" ht="30" customHeight="1">
      <c r="B1" s="67" t="s">
        <v>195</v>
      </c>
      <c r="C1" s="68"/>
      <c r="D1" s="68"/>
      <c r="E1" s="68"/>
      <c r="F1" s="68"/>
      <c r="G1" s="68"/>
      <c r="H1" s="68"/>
      <c r="I1" s="68"/>
      <c r="J1" s="68"/>
      <c r="K1" s="68"/>
      <c r="L1" s="68"/>
      <c r="M1" s="68"/>
      <c r="N1" s="68"/>
      <c r="O1" s="68"/>
      <c r="P1" s="68"/>
      <c r="Q1" s="68"/>
      <c r="R1" s="68"/>
      <c r="S1" s="68"/>
      <c r="T1" s="68"/>
      <c r="U1" s="68"/>
      <c r="V1" s="68"/>
      <c r="W1" s="68"/>
      <c r="X1" s="68"/>
      <c r="Y1" s="68"/>
      <c r="Z1" s="68"/>
      <c r="AA1" s="68"/>
      <c r="AB1" s="68"/>
      <c r="AC1" s="68"/>
      <c r="AD1" s="68"/>
      <c r="AE1" s="68"/>
      <c r="AF1" s="68"/>
      <c r="AG1" s="68"/>
      <c r="AH1" s="68"/>
    </row>
    <row r="2" spans="2:34" ht="18" customHeight="1">
      <c r="B2" s="87" t="s">
        <v>196</v>
      </c>
      <c r="C2" s="69"/>
      <c r="D2" s="69"/>
      <c r="E2" s="69"/>
      <c r="F2" s="69"/>
      <c r="G2" s="69"/>
      <c r="H2" s="69"/>
      <c r="I2" s="69"/>
      <c r="J2" s="69"/>
      <c r="K2" s="69"/>
      <c r="L2" s="69"/>
      <c r="M2" s="69"/>
      <c r="N2" s="69"/>
      <c r="O2" s="69"/>
      <c r="P2" s="69"/>
      <c r="Q2" s="69"/>
      <c r="R2" s="69"/>
      <c r="S2" s="69"/>
      <c r="T2" s="69"/>
      <c r="U2" s="69"/>
      <c r="V2" s="69"/>
      <c r="W2" s="69"/>
      <c r="X2" s="69"/>
      <c r="Y2" s="69"/>
      <c r="Z2" s="69"/>
      <c r="AA2" s="69"/>
      <c r="AB2" s="69"/>
      <c r="AC2" s="69"/>
      <c r="AD2" s="69"/>
      <c r="AE2" s="69"/>
      <c r="AF2" s="69"/>
      <c r="AG2" s="69"/>
      <c r="AH2" s="69"/>
    </row>
    <row r="3" spans="2:34" ht="21.95" customHeight="1">
      <c r="B3" s="74" t="s">
        <v>197</v>
      </c>
      <c r="C3" s="88" t="s">
        <v>198</v>
      </c>
      <c r="D3" s="89" t="s">
        <v>199</v>
      </c>
      <c r="E3" s="90" t="str">
        <f>IFERROR(VLOOKUP("Interviewee Position",'Company 1'!$B:$C,2,0),"")</f>
        <v>Chief of Staff</v>
      </c>
      <c r="F3" s="90" t="str">
        <f>IFERROR(VLOOKUP("Interviewee Position",'Company 2'!$B:$C,2,0),"")</f>
        <v>President and Managing Director Belgian Shell</v>
      </c>
      <c r="G3" s="90" t="str">
        <f>IFERROR(VLOOKUP("Interviewee Position",'Company 3'!$B:$C,2,0),"")</f>
        <v>Business Development / Media Services Manager</v>
      </c>
      <c r="H3" s="90" t="str">
        <f>IFERROR(VLOOKUP("Interviewee Position",'Company 4'!$B:$C,2,0),"")</f>
        <v>Data/Analytics role (formerly Department Head of Logistics)</v>
      </c>
      <c r="I3" s="90" t="str">
        <f>IFERROR(VLOOKUP("Interviewee Position",'Company 5'!$B:$C,2,0),"")</f>
        <v>Supply Chain Director</v>
      </c>
      <c r="J3" s="90" t="str">
        <f>IFERROR(VLOOKUP("Interviewee Position",'Company 6'!$B:$C,2,0),"")</f>
        <v>Sales Director</v>
      </c>
      <c r="K3" s="90" t="str">
        <f>IFERROR(VLOOKUP("Interviewee Position",'Company 7'!$B:$C,2,0),"")</f>
        <v>CEO</v>
      </c>
      <c r="L3" s="90" t="str">
        <f>IFERROR(VLOOKUP("Interviewee Position",'Company 8'!$B:$C,2,0),"")</f>
        <v>CFO / Finance Lead EMEA &amp; LATAM</v>
      </c>
      <c r="M3" s="90" t="str">
        <f>IFERROR(VLOOKUP("Interviewee Position",'Company 9'!$B:$C,2,0),"")</f>
        <v>Commercial Director</v>
      </c>
      <c r="N3" s="90" t="str">
        <f>IFERROR(VLOOKUP("Interviewee Position",'Company 10'!$B:$C,2,0),"")</f>
        <v>Data Insights Team</v>
      </c>
      <c r="O3" s="90" t="str">
        <f>IFERROR(VLOOKUP("Interviewee Position",'Company 11'!$B:$C,2,0),"")</f>
        <v>Marketing Strategic Role</v>
      </c>
      <c r="P3" s="90" t="str">
        <f>IFERROR(VLOOKUP("Interviewee Position",'Company 12'!$B:$C,2,0),"")</f>
        <v>Marketing / Commercial Director</v>
      </c>
      <c r="Q3" s="90" t="str">
        <f>IFERROR(VLOOKUP("Interviewee Position",'Company 13'!$B:$C,2,0),"")</f>
        <v>Data Lead / Head of IT &amp; ERP</v>
      </c>
      <c r="R3" s="90" t="str">
        <f>IFERROR(VLOOKUP("Interviewee Position",#REF!,2,0),"")</f>
        <v/>
      </c>
      <c r="S3" s="90" t="str">
        <f>IFERROR(VLOOKUP("Interviewee Position",#REF!,2,0),"")</f>
        <v/>
      </c>
      <c r="T3" s="90" t="str">
        <f>IFERROR(VLOOKUP("Interviewee Position",#REF!,2,0),"")</f>
        <v/>
      </c>
      <c r="U3" s="90" t="str">
        <f>IFERROR(VLOOKUP("Interviewee Position",#REF!,2,0),"")</f>
        <v/>
      </c>
      <c r="V3" s="90">
        <f>IFERROR(VLOOKUP("Interviewee Position",'Company 18'!$B:$C,2,0),"")</f>
        <v>0</v>
      </c>
      <c r="W3" s="90">
        <f>IFERROR(VLOOKUP("Interviewee Position",'Company 19'!$B:$C,2,0),"")</f>
        <v>0</v>
      </c>
      <c r="X3" s="90">
        <f>IFERROR(VLOOKUP("Interviewee Position",'Company 20'!$B:$C,2,0),"")</f>
        <v>0</v>
      </c>
      <c r="Y3" s="90">
        <f>IFERROR(VLOOKUP("Interviewee Position",'Company 21'!$B:$C,2,0),"")</f>
        <v>0</v>
      </c>
      <c r="Z3" s="90">
        <f>IFERROR(VLOOKUP("Interviewee Position",'Company 22'!$B:$C,2,0),"")</f>
        <v>0</v>
      </c>
      <c r="AA3" s="90">
        <f>IFERROR(VLOOKUP("Interviewee Position",'Company 23'!$B:$C,2,0),"")</f>
        <v>0</v>
      </c>
      <c r="AB3" s="90">
        <f>IFERROR(VLOOKUP("Interviewee Position",'Company 24'!$B:$C,2,0),"")</f>
        <v>0</v>
      </c>
      <c r="AC3" s="90">
        <f>IFERROR(VLOOKUP("Interviewee Position",'Company 25'!$B:$C,2,0),"")</f>
        <v>0</v>
      </c>
      <c r="AD3" s="90">
        <f>IFERROR(VLOOKUP("Interviewee Position",'Company 26'!$B:$C,2,0),"")</f>
        <v>0</v>
      </c>
      <c r="AE3" s="90">
        <f>IFERROR(VLOOKUP("Interviewee Position",'Company 27'!$B:$C,2,0),"")</f>
        <v>0</v>
      </c>
      <c r="AF3" s="90">
        <f>IFERROR(VLOOKUP("Interviewee Position",'Company 28'!$B:$C,2,0),"")</f>
        <v>0</v>
      </c>
      <c r="AG3" s="90">
        <f>IFERROR(VLOOKUP("Interviewee Position",'Company 29'!$B:$C,2,0),"")</f>
        <v>0</v>
      </c>
      <c r="AH3" s="90">
        <f>IFERROR(VLOOKUP("Interviewee Position",'Company 30'!$B:$C,2,0),"")</f>
        <v>0</v>
      </c>
    </row>
    <row r="4" spans="2:34" ht="21.95" customHeight="1">
      <c r="B4" s="75" t="s">
        <v>197</v>
      </c>
      <c r="C4" s="91" t="s">
        <v>200</v>
      </c>
      <c r="D4" s="92" t="s">
        <v>201</v>
      </c>
      <c r="E4" s="93" t="str">
        <f>IFERROR(VLOOKUP("Company Industry",'Company 1'!$B:$C,2,0),"")</f>
        <v>Specialty Retail</v>
      </c>
      <c r="F4" s="93" t="str">
        <f>IFERROR(VLOOKUP("Company Industry",'Company 2'!$B:$C,2,0),"")</f>
        <v>Oil &amp; Gas</v>
      </c>
      <c r="G4" s="93" t="str">
        <f>IFERROR(VLOOKUP("Company Industry",'Company 3'!$B:$C,2,0),"")</f>
        <v>B2B Food Service Distribution</v>
      </c>
      <c r="H4" s="93" t="str">
        <f>IFERROR(VLOOKUP("Company Industry",'Company 4'!$B:$C,2,0),"")</f>
        <v>Food Service</v>
      </c>
      <c r="I4" s="93" t="str">
        <f>IFERROR(VLOOKUP("Company Industry",'Company 5'!$B:$C,2,0),"")</f>
        <v>Food Manufacturing</v>
      </c>
      <c r="J4" s="93" t="str">
        <f>IFERROR(VLOOKUP("Company Industry",'Company 6'!$B:$C,2,0),"")</f>
        <v>FMCG</v>
      </c>
      <c r="K4" s="93" t="str">
        <f>IFERROR(VLOOKUP("Company Industry",'Company 7'!$B:$C,2,0),"")</f>
        <v>Food Service / Wholesale Distribution</v>
      </c>
      <c r="L4" s="93" t="str">
        <f>IFERROR(VLOOKUP("Company Industry",'Company 8'!$B:$C,2,0),"")</f>
        <v>Pet Food &amp; Products</v>
      </c>
      <c r="M4" s="93" t="str">
        <f>IFERROR(VLOOKUP("Company Industry",'Company 9'!$B:$C,2,0),"")</f>
        <v>Wholesale</v>
      </c>
      <c r="N4" s="93" t="str">
        <f>IFERROR(VLOOKUP("Company Industry",'Company 10'!$B:$C,2,0),"")</f>
        <v>FMCG</v>
      </c>
      <c r="O4" s="93" t="str">
        <f>IFERROR(VLOOKUP("Company Industry",'Company 11'!$B:$C,2,0),"")</f>
        <v>Pharmacy/Healthcare Retail</v>
      </c>
      <c r="P4" s="93" t="str">
        <f>IFERROR(VLOOKUP("Company Industry",'Company 12'!$B:$C,2,0),"")</f>
        <v>Grocery Retail</v>
      </c>
      <c r="Q4" s="93" t="str">
        <f>IFERROR(VLOOKUP("Company Industry",'Company 13'!$B:$C,2,0),"")</f>
        <v>Pet Food Manufacturing</v>
      </c>
      <c r="R4" s="93" t="str">
        <f>IFERROR(VLOOKUP("Company Industry",#REF!,2,0),"")</f>
        <v/>
      </c>
      <c r="S4" s="93" t="str">
        <f>IFERROR(VLOOKUP("Company Industry",#REF!,2,0),"")</f>
        <v/>
      </c>
      <c r="T4" s="93" t="str">
        <f>IFERROR(VLOOKUP("Company Industry",#REF!,2,0),"")</f>
        <v/>
      </c>
      <c r="U4" s="93" t="str">
        <f>IFERROR(VLOOKUP("Company Industry",#REF!,2,0),"")</f>
        <v/>
      </c>
      <c r="V4" s="93">
        <f>IFERROR(VLOOKUP("Company Industry",'Company 18'!$B:$C,2,0),"")</f>
        <v>0</v>
      </c>
      <c r="W4" s="93">
        <f>IFERROR(VLOOKUP("Company Industry",'Company 19'!$B:$C,2,0),"")</f>
        <v>0</v>
      </c>
      <c r="X4" s="93">
        <f>IFERROR(VLOOKUP("Company Industry",'Company 20'!$B:$C,2,0),"")</f>
        <v>0</v>
      </c>
      <c r="Y4" s="93">
        <f>IFERROR(VLOOKUP("Company Industry",'Company 21'!$B:$C,2,0),"")</f>
        <v>0</v>
      </c>
      <c r="Z4" s="93">
        <f>IFERROR(VLOOKUP("Company Industry",'Company 22'!$B:$C,2,0),"")</f>
        <v>0</v>
      </c>
      <c r="AA4" s="93">
        <f>IFERROR(VLOOKUP("Company Industry",'Company 23'!$B:$C,2,0),"")</f>
        <v>0</v>
      </c>
      <c r="AB4" s="93">
        <f>IFERROR(VLOOKUP("Company Industry",'Company 24'!$B:$C,2,0),"")</f>
        <v>0</v>
      </c>
      <c r="AC4" s="93">
        <f>IFERROR(VLOOKUP("Company Industry",'Company 25'!$B:$C,2,0),"")</f>
        <v>0</v>
      </c>
      <c r="AD4" s="93">
        <f>IFERROR(VLOOKUP("Company Industry",'Company 26'!$B:$C,2,0),"")</f>
        <v>0</v>
      </c>
      <c r="AE4" s="93">
        <f>IFERROR(VLOOKUP("Company Industry",'Company 27'!$B:$C,2,0),"")</f>
        <v>0</v>
      </c>
      <c r="AF4" s="93">
        <f>IFERROR(VLOOKUP("Company Industry",'Company 28'!$B:$C,2,0),"")</f>
        <v>0</v>
      </c>
      <c r="AG4" s="93">
        <f>IFERROR(VLOOKUP("Company Industry",'Company 29'!$B:$C,2,0),"")</f>
        <v>0</v>
      </c>
      <c r="AH4" s="93">
        <f>IFERROR(VLOOKUP("Company Industry",'Company 30'!$B:$C,2,0),"")</f>
        <v>0</v>
      </c>
    </row>
    <row r="5" spans="2:34" ht="21.95" customHeight="1">
      <c r="B5" s="76" t="s">
        <v>197</v>
      </c>
      <c r="C5" s="94" t="s">
        <v>202</v>
      </c>
      <c r="D5" s="95" t="s">
        <v>203</v>
      </c>
      <c r="E5" s="96" t="str">
        <f>IFERROR(VLOOKUP("Company Sub-Industry",'Company 1'!$B:$C,2,0),"")</f>
        <v>Specialty Retail</v>
      </c>
      <c r="F5" s="96" t="str">
        <f>IFERROR(VLOOKUP("Company Sub-Industry",'Company 2'!$B:$C,2,0),"")</f>
        <v>Specialty Retail</v>
      </c>
      <c r="G5" s="96" t="str">
        <f>IFERROR(VLOOKUP("Company Sub-Industry",'Company 3'!$B:$C,2,0),"")</f>
        <v>Wholesaler</v>
      </c>
      <c r="H5" s="96" t="str">
        <f>IFERROR(VLOOKUP("Company Sub-Industry",'Company 4'!$B:$C,2,0),"")</f>
        <v>Wholesaler</v>
      </c>
      <c r="I5" s="96" t="str">
        <f>IFERROR(VLOOKUP("Company Sub-Industry",'Company 5'!$B:$C,2,0),"")</f>
        <v>Manufacturer</v>
      </c>
      <c r="J5" s="96" t="str">
        <f>IFERROR(VLOOKUP("Company Sub-Industry",'Company 6'!$B:$C,2,0),"")</f>
        <v>Manufacturer</v>
      </c>
      <c r="K5" s="96" t="str">
        <f>IFERROR(VLOOKUP("Company Sub-Industry",'Company 7'!$B:$C,2,0),"")</f>
        <v>Wholesaler</v>
      </c>
      <c r="L5" s="96" t="str">
        <f>IFERROR(VLOOKUP("Company Sub-Industry",'Company 8'!$B:$C,2,0),"")</f>
        <v>Manufacturer</v>
      </c>
      <c r="M5" s="96" t="str">
        <f>IFERROR(VLOOKUP("Company Sub-Industry",'Company 9'!$B:$C,2,0),"")</f>
        <v>Wholesaler</v>
      </c>
      <c r="N5" s="96" t="str">
        <f>IFERROR(VLOOKUP("Company Sub-Industry",'Company 10'!$B:$C,2,0),"")</f>
        <v>Manufacturer</v>
      </c>
      <c r="O5" s="96" t="str">
        <f>IFERROR(VLOOKUP("Company Sub-Industry",'Company 11'!$B:$C,2,0),"")</f>
        <v>Specialty Retail</v>
      </c>
      <c r="P5" s="96" t="str">
        <f>IFERROR(VLOOKUP("Company Sub-Industry",'Company 12'!$B:$C,2,0),"")</f>
        <v>Retailer</v>
      </c>
      <c r="Q5" s="96" t="str">
        <f>IFERROR(VLOOKUP("Company Sub-Industry",'Company 13'!$B:$C,2,0),"")</f>
        <v>Manufacturer</v>
      </c>
      <c r="R5" s="96" t="str">
        <f>IFERROR(VLOOKUP("Company Sub-Industry",#REF!,2,0),"")</f>
        <v/>
      </c>
      <c r="S5" s="96" t="str">
        <f>IFERROR(VLOOKUP("Company Sub-Industry",#REF!,2,0),"")</f>
        <v/>
      </c>
      <c r="T5" s="96" t="str">
        <f>IFERROR(VLOOKUP("Company Sub-Industry",#REF!,2,0),"")</f>
        <v/>
      </c>
      <c r="U5" s="96" t="str">
        <f>IFERROR(VLOOKUP("Company Sub-Industry",#REF!,2,0),"")</f>
        <v/>
      </c>
      <c r="V5" s="96">
        <f>IFERROR(VLOOKUP("Company Sub-Industry",'Company 18'!$B:$C,2,0),"")</f>
        <v>0</v>
      </c>
      <c r="W5" s="96">
        <f>IFERROR(VLOOKUP("Company Sub-Industry",'Company 19'!$B:$C,2,0),"")</f>
        <v>0</v>
      </c>
      <c r="X5" s="96">
        <f>IFERROR(VLOOKUP("Company Sub-Industry",'Company 20'!$B:$C,2,0),"")</f>
        <v>0</v>
      </c>
      <c r="Y5" s="96">
        <f>IFERROR(VLOOKUP("Company Sub-Industry",'Company 21'!$B:$C,2,0),"")</f>
        <v>0</v>
      </c>
      <c r="Z5" s="96">
        <f>IFERROR(VLOOKUP("Company Sub-Industry",'Company 22'!$B:$C,2,0),"")</f>
        <v>0</v>
      </c>
      <c r="AA5" s="96">
        <f>IFERROR(VLOOKUP("Company Sub-Industry",'Company 23'!$B:$C,2,0),"")</f>
        <v>0</v>
      </c>
      <c r="AB5" s="96">
        <f>IFERROR(VLOOKUP("Company Sub-Industry",'Company 24'!$B:$C,2,0),"")</f>
        <v>0</v>
      </c>
      <c r="AC5" s="96">
        <f>IFERROR(VLOOKUP("Company Sub-Industry",'Company 25'!$B:$C,2,0),"")</f>
        <v>0</v>
      </c>
      <c r="AD5" s="96">
        <f>IFERROR(VLOOKUP("Company Sub-Industry",'Company 26'!$B:$C,2,0),"")</f>
        <v>0</v>
      </c>
      <c r="AE5" s="96">
        <f>IFERROR(VLOOKUP("Company Sub-Industry",'Company 27'!$B:$C,2,0),"")</f>
        <v>0</v>
      </c>
      <c r="AF5" s="96">
        <f>IFERROR(VLOOKUP("Company Sub-Industry",'Company 28'!$B:$C,2,0),"")</f>
        <v>0</v>
      </c>
      <c r="AG5" s="96">
        <f>IFERROR(VLOOKUP("Company Sub-Industry",'Company 29'!$B:$C,2,0),"")</f>
        <v>0</v>
      </c>
      <c r="AH5" s="96">
        <f>IFERROR(VLOOKUP("Company Sub-Industry",'Company 30'!$B:$C,2,0),"")</f>
        <v>0</v>
      </c>
    </row>
    <row r="6" spans="2:34" ht="21.95" customHeight="1">
      <c r="B6" s="77" t="s">
        <v>197</v>
      </c>
      <c r="C6" s="97" t="s">
        <v>204</v>
      </c>
      <c r="D6" s="98" t="s">
        <v>205</v>
      </c>
      <c r="E6" s="3">
        <f>IFERROR(VLOOKUP("Company Size (Turnover)",'Company 1'!$B:$C,2,0),"")</f>
        <v>160000000</v>
      </c>
      <c r="F6" s="3">
        <f>IFERROR(VLOOKUP("Company Size (Turnover)",'Company 2'!$B:$C,2,0),"")</f>
        <v>2000000000</v>
      </c>
      <c r="G6" s="3">
        <f>IFERROR(VLOOKUP("Company Size (Turnover)",'Company 3'!$B:$C,2,0),"")</f>
        <v>332000000</v>
      </c>
      <c r="H6" s="3">
        <f>IFERROR(VLOOKUP("Company Size (Turnover)",'Company 4'!$B:$C,2,0),"")</f>
        <v>332000000</v>
      </c>
      <c r="I6" s="3">
        <f>IFERROR(VLOOKUP("Company Size (Turnover)",'Company 5'!$B:$C,2,0),"")</f>
        <v>134000000</v>
      </c>
      <c r="J6" s="3">
        <f>IFERROR(VLOOKUP("Company Size (Turnover)",'Company 6'!$B:$C,2,0),"")</f>
        <v>380000000</v>
      </c>
      <c r="K6" s="3">
        <f>IFERROR(VLOOKUP("Company Size (Turnover)",'Company 7'!$B:$C,2,0),"")</f>
        <v>7800000</v>
      </c>
      <c r="L6" s="3">
        <f>IFERROR(VLOOKUP("Company Size (Turnover)",'Company 8'!$B:$C,2,0),"")</f>
        <v>90000000</v>
      </c>
      <c r="M6" s="3">
        <f>IFERROR(VLOOKUP("Company Size (Turnover)",'Company 9'!$B:$C,2,0),"")</f>
        <v>2000000000</v>
      </c>
      <c r="N6" s="3">
        <f>IFERROR(VLOOKUP("Company Size (Turnover)",'Company 10'!$B:$C,2,0),"")</f>
        <v>52000000</v>
      </c>
      <c r="O6" s="3">
        <f>IFERROR(VLOOKUP("Company Size (Turnover)",'Company 11'!$B:$C,2,0),"")</f>
        <v>140000000</v>
      </c>
      <c r="P6" s="3">
        <f>IFERROR(VLOOKUP("Company Size (Turnover)",'Company 12'!$B:$C,2,0),"")</f>
        <v>3240000000</v>
      </c>
      <c r="Q6" s="3">
        <f>IFERROR(VLOOKUP("Company Size (Turnover)",'Company 13'!$B:$C,2,0),"")</f>
        <v>140000000</v>
      </c>
      <c r="R6" s="3" t="str">
        <f>IFERROR(VLOOKUP("Company Size (Turnover)",#REF!,2,0),"")</f>
        <v/>
      </c>
      <c r="S6" s="3" t="str">
        <f>IFERROR(VLOOKUP("Company Size (Turnover)",#REF!,2,0),"")</f>
        <v/>
      </c>
      <c r="T6" s="3" t="str">
        <f>IFERROR(VLOOKUP("Company Size (Turnover)",#REF!,2,0),"")</f>
        <v/>
      </c>
      <c r="U6" s="3" t="str">
        <f>IFERROR(VLOOKUP("Company Size (Turnover)",#REF!,2,0),"")</f>
        <v/>
      </c>
      <c r="V6" s="3">
        <f>IFERROR(VLOOKUP("Company Size (Turnover)",'Company 18'!$B:$C,2,0),"")</f>
        <v>0</v>
      </c>
      <c r="W6" s="3">
        <f>IFERROR(VLOOKUP("Company Size (Turnover)",'Company 19'!$B:$C,2,0),"")</f>
        <v>0</v>
      </c>
      <c r="X6" s="3">
        <f>IFERROR(VLOOKUP("Company Size (Turnover)",'Company 20'!$B:$C,2,0),"")</f>
        <v>0</v>
      </c>
      <c r="Y6" s="3">
        <f>IFERROR(VLOOKUP("Company Size (Turnover)",'Company 21'!$B:$C,2,0),"")</f>
        <v>0</v>
      </c>
      <c r="Z6" s="3">
        <f>IFERROR(VLOOKUP("Company Size (Turnover)",'Company 22'!$B:$C,2,0),"")</f>
        <v>0</v>
      </c>
      <c r="AA6" s="3">
        <f>IFERROR(VLOOKUP("Company Size (Turnover)",'Company 23'!$B:$C,2,0),"")</f>
        <v>0</v>
      </c>
      <c r="AB6" s="3">
        <f>IFERROR(VLOOKUP("Company Size (Turnover)",'Company 24'!$B:$C,2,0),"")</f>
        <v>0</v>
      </c>
      <c r="AC6" s="3">
        <f>IFERROR(VLOOKUP("Company Size (Turnover)",'Company 25'!$B:$C,2,0),"")</f>
        <v>0</v>
      </c>
      <c r="AD6" s="3">
        <f>IFERROR(VLOOKUP("Company Size (Turnover)",'Company 26'!$B:$C,2,0),"")</f>
        <v>0</v>
      </c>
      <c r="AE6" s="3">
        <f>IFERROR(VLOOKUP("Company Size (Turnover)",'Company 27'!$B:$C,2,0),"")</f>
        <v>0</v>
      </c>
      <c r="AF6" s="3">
        <f>IFERROR(VLOOKUP("Company Size (Turnover)",'Company 28'!$B:$C,2,0),"")</f>
        <v>0</v>
      </c>
      <c r="AG6" s="3">
        <f>IFERROR(VLOOKUP("Company Size (Turnover)",'Company 29'!$B:$C,2,0),"")</f>
        <v>0</v>
      </c>
      <c r="AH6" s="3">
        <f>IFERROR(VLOOKUP("Company Size (Turnover)",'Company 30'!$B:$C,2,0),"")</f>
        <v>0</v>
      </c>
    </row>
    <row r="7" spans="2:34" ht="21.95" customHeight="1">
      <c r="B7" s="78" t="s">
        <v>197</v>
      </c>
      <c r="C7" s="99" t="s">
        <v>206</v>
      </c>
      <c r="D7" s="100" t="s">
        <v>161</v>
      </c>
      <c r="E7" s="101" t="str">
        <f>IFERROR(VLOOKUP("Country",'Company 1'!$B:$C,2,0),"")</f>
        <v>Belgium</v>
      </c>
      <c r="F7" s="101" t="str">
        <f>IFERROR(VLOOKUP("Country",'Company 2'!$B:$C,2,0),"")</f>
        <v>UK</v>
      </c>
      <c r="G7" s="101" t="str">
        <f>IFERROR(VLOOKUP("Country",'Company 3'!$B:$C,2,0),"")</f>
        <v>Belgium</v>
      </c>
      <c r="H7" s="101" t="str">
        <f>IFERROR(VLOOKUP("Country",'Company 4'!$B:$C,2,0),"")</f>
        <v>Belgium</v>
      </c>
      <c r="I7" s="101" t="str">
        <f>IFERROR(VLOOKUP("Country",'Company 5'!$B:$C,2,0),"")</f>
        <v>Belgium</v>
      </c>
      <c r="J7" s="101" t="str">
        <f>IFERROR(VLOOKUP("Country",'Company 6'!$B:$C,2,0),"")</f>
        <v>Belgium</v>
      </c>
      <c r="K7" s="101" t="str">
        <f>IFERROR(VLOOKUP("Country",'Company 7'!$B:$C,2,0),"")</f>
        <v>Belgium</v>
      </c>
      <c r="L7" s="101" t="str">
        <f>IFERROR(VLOOKUP("Country",'Company 8'!$B:$C,2,0),"")</f>
        <v>US</v>
      </c>
      <c r="M7" s="101" t="str">
        <f>IFERROR(VLOOKUP("Country",'Company 9'!$B:$C,2,0),"")</f>
        <v>Belgium</v>
      </c>
      <c r="N7" s="101" t="str">
        <f>IFERROR(VLOOKUP("Country",'Company 10'!$B:$C,2,0),"")</f>
        <v>Denmark</v>
      </c>
      <c r="O7" s="101" t="str">
        <f>IFERROR(VLOOKUP("Country",'Company 11'!$B:$C,2,0),"")</f>
        <v xml:space="preserve">Belgium </v>
      </c>
      <c r="P7" s="101" t="str">
        <f>IFERROR(VLOOKUP("Country",'Company 12'!$B:$C,2,0),"")</f>
        <v>Germany</v>
      </c>
      <c r="Q7" s="101" t="str">
        <f>IFERROR(VLOOKUP("Country",'Company 13'!$B:$C,2,0),"")</f>
        <v>Belgium</v>
      </c>
      <c r="R7" s="101" t="str">
        <f>IFERROR(VLOOKUP("Country",#REF!,2,0),"")</f>
        <v/>
      </c>
      <c r="S7" s="101" t="str">
        <f>IFERROR(VLOOKUP("Country",#REF!,2,0),"")</f>
        <v/>
      </c>
      <c r="T7" s="101" t="str">
        <f>IFERROR(VLOOKUP("Country",#REF!,2,0),"")</f>
        <v/>
      </c>
      <c r="U7" s="101" t="str">
        <f>IFERROR(VLOOKUP("Country",#REF!,2,0),"")</f>
        <v/>
      </c>
      <c r="V7" s="101">
        <f>IFERROR(VLOOKUP("Country",'Company 18'!$B:$C,2,0),"")</f>
        <v>0</v>
      </c>
      <c r="W7" s="101">
        <f>IFERROR(VLOOKUP("Country",'Company 19'!$B:$C,2,0),"")</f>
        <v>0</v>
      </c>
      <c r="X7" s="101">
        <f>IFERROR(VLOOKUP("Country",'Company 20'!$B:$C,2,0),"")</f>
        <v>0</v>
      </c>
      <c r="Y7" s="101">
        <f>IFERROR(VLOOKUP("Country",'Company 21'!$B:$C,2,0),"")</f>
        <v>0</v>
      </c>
      <c r="Z7" s="101">
        <f>IFERROR(VLOOKUP("Country",'Company 22'!$B:$C,2,0),"")</f>
        <v>0</v>
      </c>
      <c r="AA7" s="101">
        <f>IFERROR(VLOOKUP("Country",'Company 23'!$B:$C,2,0),"")</f>
        <v>0</v>
      </c>
      <c r="AB7" s="101">
        <f>IFERROR(VLOOKUP("Country",'Company 24'!$B:$C,2,0),"")</f>
        <v>0</v>
      </c>
      <c r="AC7" s="101">
        <f>IFERROR(VLOOKUP("Country",'Company 25'!$B:$C,2,0),"")</f>
        <v>0</v>
      </c>
      <c r="AD7" s="101">
        <f>IFERROR(VLOOKUP("Country",'Company 26'!$B:$C,2,0),"")</f>
        <v>0</v>
      </c>
      <c r="AE7" s="101">
        <f>IFERROR(VLOOKUP("Country",'Company 27'!$B:$C,2,0),"")</f>
        <v>0</v>
      </c>
      <c r="AF7" s="101">
        <f>IFERROR(VLOOKUP("Country",'Company 28'!$B:$C,2,0),"")</f>
        <v>0</v>
      </c>
      <c r="AG7" s="101">
        <f>IFERROR(VLOOKUP("Country",'Company 29'!$B:$C,2,0),"")</f>
        <v>0</v>
      </c>
      <c r="AH7" s="101">
        <f>IFERROR(VLOOKUP("Country",'Company 30'!$B:$C,2,0),"")</f>
        <v>0</v>
      </c>
    </row>
    <row r="8" spans="2:34" ht="8.1" customHeight="1">
      <c r="B8" s="68"/>
      <c r="C8" s="68"/>
      <c r="D8" s="68"/>
      <c r="E8" s="68"/>
      <c r="F8" s="68"/>
      <c r="G8" s="68"/>
      <c r="H8" s="68"/>
      <c r="I8" s="68"/>
      <c r="J8" s="68"/>
      <c r="K8" s="68"/>
      <c r="L8" s="68"/>
      <c r="M8" s="68"/>
      <c r="N8" s="68"/>
      <c r="O8" s="68"/>
      <c r="P8" s="68"/>
      <c r="Q8" s="68"/>
      <c r="R8" s="68"/>
      <c r="S8" s="68"/>
      <c r="T8" s="68"/>
      <c r="U8" s="68"/>
      <c r="V8" s="68"/>
      <c r="W8" s="68"/>
      <c r="X8" s="68"/>
      <c r="Y8" s="68"/>
      <c r="Z8" s="68"/>
      <c r="AA8" s="68"/>
      <c r="AB8" s="68"/>
      <c r="AC8" s="68"/>
      <c r="AD8" s="68"/>
      <c r="AE8" s="68"/>
      <c r="AF8" s="68"/>
      <c r="AG8" s="68"/>
      <c r="AH8" s="68"/>
    </row>
    <row r="9" spans="2:34" ht="35.1" customHeight="1">
      <c r="B9" s="43" t="s">
        <v>45</v>
      </c>
      <c r="C9" s="43" t="s">
        <v>46</v>
      </c>
      <c r="D9" s="19" t="s">
        <v>47</v>
      </c>
      <c r="E9" s="73" t="s">
        <v>162</v>
      </c>
      <c r="F9" s="73" t="s">
        <v>163</v>
      </c>
      <c r="G9" s="73" t="s">
        <v>164</v>
      </c>
      <c r="H9" s="73" t="s">
        <v>165</v>
      </c>
      <c r="I9" s="73" t="s">
        <v>166</v>
      </c>
      <c r="J9" s="73" t="s">
        <v>167</v>
      </c>
      <c r="K9" s="73" t="s">
        <v>168</v>
      </c>
      <c r="L9" s="73" t="s">
        <v>169</v>
      </c>
      <c r="M9" s="73" t="s">
        <v>170</v>
      </c>
      <c r="N9" s="73" t="s">
        <v>171</v>
      </c>
      <c r="O9" s="73" t="s">
        <v>172</v>
      </c>
      <c r="P9" s="73" t="s">
        <v>173</v>
      </c>
      <c r="Q9" s="73" t="s">
        <v>174</v>
      </c>
      <c r="R9" s="73" t="s">
        <v>175</v>
      </c>
      <c r="S9" s="73" t="s">
        <v>176</v>
      </c>
      <c r="T9" s="73" t="s">
        <v>177</v>
      </c>
      <c r="U9" s="73" t="s">
        <v>178</v>
      </c>
      <c r="V9" s="73" t="s">
        <v>179</v>
      </c>
      <c r="W9" s="73" t="s">
        <v>180</v>
      </c>
      <c r="X9" s="73" t="s">
        <v>181</v>
      </c>
      <c r="Y9" s="73" t="s">
        <v>182</v>
      </c>
      <c r="Z9" s="73" t="s">
        <v>183</v>
      </c>
      <c r="AA9" s="73" t="s">
        <v>184</v>
      </c>
      <c r="AB9" s="73" t="s">
        <v>185</v>
      </c>
      <c r="AC9" s="73" t="s">
        <v>186</v>
      </c>
      <c r="AD9" s="73" t="s">
        <v>187</v>
      </c>
      <c r="AE9" s="73" t="s">
        <v>188</v>
      </c>
      <c r="AF9" s="73" t="s">
        <v>189</v>
      </c>
      <c r="AG9" s="73" t="s">
        <v>190</v>
      </c>
      <c r="AH9" s="73" t="s">
        <v>191</v>
      </c>
    </row>
    <row r="10" spans="2:34" ht="18" customHeight="1">
      <c r="B10" s="102" t="s">
        <v>207</v>
      </c>
      <c r="C10" s="103"/>
      <c r="D10" s="103"/>
      <c r="E10" s="103"/>
      <c r="F10" s="103"/>
      <c r="G10" s="103"/>
      <c r="H10" s="103"/>
      <c r="I10" s="103"/>
      <c r="J10" s="103"/>
      <c r="K10" s="103"/>
      <c r="L10" s="103"/>
      <c r="M10" s="103"/>
      <c r="N10" s="103"/>
      <c r="O10" s="103"/>
      <c r="P10" s="103"/>
      <c r="Q10" s="103"/>
      <c r="R10" s="103"/>
      <c r="S10" s="103"/>
      <c r="T10" s="103"/>
      <c r="U10" s="103"/>
      <c r="V10" s="103"/>
      <c r="W10" s="103"/>
      <c r="X10" s="103"/>
      <c r="Y10" s="103"/>
      <c r="Z10" s="103"/>
      <c r="AA10" s="103"/>
      <c r="AB10" s="103"/>
      <c r="AC10" s="103"/>
      <c r="AD10" s="103"/>
      <c r="AE10" s="103"/>
      <c r="AF10" s="103"/>
      <c r="AG10" s="103"/>
      <c r="AH10" s="103"/>
    </row>
    <row r="11" spans="2:34" ht="24.95" customHeight="1">
      <c r="B11" s="104" t="s">
        <v>51</v>
      </c>
      <c r="C11" s="105" t="s">
        <v>52</v>
      </c>
      <c r="D11" s="42" t="s">
        <v>53</v>
      </c>
      <c r="E11" s="106">
        <f>IFERROR(VLOOKUP("B1_INTEREST",'Company 1'!$B:$E,4,0),"")</f>
        <v>7</v>
      </c>
      <c r="F11" s="106">
        <f>IFERROR(VLOOKUP("B1_INTEREST",'Company 2'!$B:$E,4,0),"")</f>
        <v>2</v>
      </c>
      <c r="G11" s="106">
        <f>IFERROR(VLOOKUP("B1_INTEREST",'Company 3'!$B:$E,4,0),"")</f>
        <v>7</v>
      </c>
      <c r="H11" s="106">
        <f>IFERROR(VLOOKUP("B1_INTEREST",'Company 4'!$B:$E,4,0),"")</f>
        <v>7.5</v>
      </c>
      <c r="I11" s="106">
        <f>IFERROR(VLOOKUP("B1_INTEREST",'Company 5'!$B:$E,4,0),"")</f>
        <v>10</v>
      </c>
      <c r="J11" s="106">
        <f>IFERROR(VLOOKUP("B1_INTEREST",'Company 6'!$B:$E,4,0),"")</f>
        <v>8</v>
      </c>
      <c r="K11" s="106">
        <f>IFERROR(VLOOKUP("B1_INTEREST",'Company 7'!$B:$E,4,0),"")</f>
        <v>8</v>
      </c>
      <c r="L11" s="106">
        <f>IFERROR(VLOOKUP("B1_INTEREST",'Company 8'!$B:$E,4,0),"")</f>
        <v>8</v>
      </c>
      <c r="M11" s="106">
        <f>IFERROR(VLOOKUP("B1_INTEREST",'Company 9'!$B:$E,4,0),"")</f>
        <v>8</v>
      </c>
      <c r="N11" s="106">
        <f>IFERROR(VLOOKUP("B1_INTEREST",'Company 10'!$B:$E,4,0),"")</f>
        <v>7</v>
      </c>
      <c r="O11" s="106">
        <f>IFERROR(VLOOKUP("B1_INTEREST",'Company 11'!$B:$E,4,0),"")</f>
        <v>9</v>
      </c>
      <c r="P11" s="106">
        <f>IFERROR(VLOOKUP("B1_INTEREST",'Company 12'!$B:$E,4,0),"")</f>
        <v>3</v>
      </c>
      <c r="Q11" s="106">
        <f>IFERROR(VLOOKUP("B1_INTEREST",'Company 13'!$B:$E,4,0),"")</f>
        <v>9</v>
      </c>
      <c r="R11" s="106" t="str">
        <f>IFERROR(VLOOKUP("B1_INTEREST",#REF!,4,0),"")</f>
        <v/>
      </c>
      <c r="S11" s="106" t="str">
        <f>IFERROR(VLOOKUP("B1_INTEREST",#REF!,4,0),"")</f>
        <v/>
      </c>
      <c r="T11" s="106" t="str">
        <f>IFERROR(VLOOKUP("B1_INTEREST",#REF!,4,0),"")</f>
        <v/>
      </c>
      <c r="U11" s="106" t="str">
        <f>IFERROR(VLOOKUP("B1_INTEREST",#REF!,4,0),"")</f>
        <v/>
      </c>
      <c r="V11" s="106">
        <f>IFERROR(VLOOKUP("B1_INTEREST",'Company 18'!$B:$E,4,0),"")</f>
        <v>0</v>
      </c>
      <c r="W11" s="106">
        <f>IFERROR(VLOOKUP("B1_INTEREST",'Company 19'!$B:$E,4,0),"")</f>
        <v>0</v>
      </c>
      <c r="X11" s="106">
        <f>IFERROR(VLOOKUP("B1_INTEREST",'Company 20'!$B:$E,4,0),"")</f>
        <v>0</v>
      </c>
      <c r="Y11" s="106">
        <f>IFERROR(VLOOKUP("B1_INTEREST",'Company 21'!$B:$E,4,0),"")</f>
        <v>0</v>
      </c>
      <c r="Z11" s="106">
        <f>IFERROR(VLOOKUP("B1_INTEREST",'Company 22'!$B:$E,4,0),"")</f>
        <v>0</v>
      </c>
      <c r="AA11" s="106">
        <f>IFERROR(VLOOKUP("B1_INTEREST",'Company 23'!$B:$E,4,0),"")</f>
        <v>0</v>
      </c>
      <c r="AB11" s="106">
        <f>IFERROR(VLOOKUP("B1_INTEREST",'Company 24'!$B:$E,4,0),"")</f>
        <v>0</v>
      </c>
      <c r="AC11" s="106">
        <f>IFERROR(VLOOKUP("B1_INTEREST",'Company 25'!$B:$E,4,0),"")</f>
        <v>0</v>
      </c>
      <c r="AD11" s="106">
        <f>IFERROR(VLOOKUP("B1_INTEREST",'Company 26'!$B:$E,4,0),"")</f>
        <v>0</v>
      </c>
      <c r="AE11" s="106">
        <f>IFERROR(VLOOKUP("B1_INTEREST",'Company 27'!$B:$E,4,0),"")</f>
        <v>0</v>
      </c>
      <c r="AF11" s="106">
        <f>IFERROR(VLOOKUP("B1_INTEREST",'Company 28'!$B:$E,4,0),"")</f>
        <v>0</v>
      </c>
      <c r="AG11" s="106">
        <f>IFERROR(VLOOKUP("B1_INTEREST",'Company 29'!$B:$E,4,0),"")</f>
        <v>0</v>
      </c>
      <c r="AH11" s="106">
        <f>IFERROR(VLOOKUP("B1_INTEREST",'Company 30'!$B:$E,4,0),"")</f>
        <v>0</v>
      </c>
    </row>
    <row r="12" spans="2:34" ht="24.95" customHeight="1">
      <c r="B12" s="104" t="s">
        <v>51</v>
      </c>
      <c r="C12" s="105" t="s">
        <v>56</v>
      </c>
      <c r="D12" s="42" t="s">
        <v>57</v>
      </c>
      <c r="E12" s="106">
        <f>IFERROR(VLOOKUP("B2_SHARING",'Company 1'!$B:$E,4,0),"")</f>
        <v>1</v>
      </c>
      <c r="F12" s="106">
        <f>IFERROR(VLOOKUP("B2_SHARING",'Company 2'!$B:$E,4,0),"")</f>
        <v>1</v>
      </c>
      <c r="G12" s="106">
        <f>IFERROR(VLOOKUP("B2_SHARING",'Company 3'!$B:$E,4,0),"")</f>
        <v>1</v>
      </c>
      <c r="H12" s="106">
        <f>IFERROR(VLOOKUP("B2_SHARING",'Company 4'!$B:$E,4,0),"")</f>
        <v>1</v>
      </c>
      <c r="I12" s="106">
        <f>IFERROR(VLOOKUP("B2_SHARING",'Company 5'!$B:$E,4,0),"")</f>
        <v>1</v>
      </c>
      <c r="J12" s="106">
        <f>IFERROR(VLOOKUP("B2_SHARING",'Company 6'!$B:$E,4,0),"")</f>
        <v>1</v>
      </c>
      <c r="K12" s="106">
        <f>IFERROR(VLOOKUP("B2_SHARING",'Company 7'!$B:$E,4,0),"")</f>
        <v>1</v>
      </c>
      <c r="L12" s="106">
        <f>IFERROR(VLOOKUP("B2_SHARING",'Company 8'!$B:$E,4,0),"")</f>
        <v>1</v>
      </c>
      <c r="M12" s="106">
        <f>IFERROR(VLOOKUP("B2_SHARING",'Company 9'!$B:$E,4,0),"")</f>
        <v>1</v>
      </c>
      <c r="N12" s="106">
        <f>IFERROR(VLOOKUP("B2_SHARING",'Company 10'!$B:$E,4,0),"")</f>
        <v>1</v>
      </c>
      <c r="O12" s="106">
        <f>IFERROR(VLOOKUP("B2_SHARING",'Company 11'!$B:$E,4,0),"")</f>
        <v>1</v>
      </c>
      <c r="P12" s="106">
        <f>IFERROR(VLOOKUP("B2_SHARING",'Company 12'!$B:$E,4,0),"")</f>
        <v>1</v>
      </c>
      <c r="Q12" s="106">
        <f>IFERROR(VLOOKUP("B2_SHARING",'Company 13'!$B:$E,4,0),"")</f>
        <v>1</v>
      </c>
      <c r="R12" s="106" t="str">
        <f>IFERROR(VLOOKUP("B2_SHARING",#REF!,4,0),"")</f>
        <v/>
      </c>
      <c r="S12" s="106" t="str">
        <f>IFERROR(VLOOKUP("B2_SHARING",#REF!,4,0),"")</f>
        <v/>
      </c>
      <c r="T12" s="106" t="str">
        <f>IFERROR(VLOOKUP("B2_SHARING",#REF!,4,0),"")</f>
        <v/>
      </c>
      <c r="U12" s="106" t="str">
        <f>IFERROR(VLOOKUP("B2_SHARING",#REF!,4,0),"")</f>
        <v/>
      </c>
      <c r="V12" s="106">
        <f>IFERROR(VLOOKUP("B2_SHARING",'Company 18'!$B:$E,4,0),"")</f>
        <v>0</v>
      </c>
      <c r="W12" s="106">
        <f>IFERROR(VLOOKUP("B2_SHARING",'Company 19'!$B:$E,4,0),"")</f>
        <v>0</v>
      </c>
      <c r="X12" s="106">
        <f>IFERROR(VLOOKUP("B2_SHARING",'Company 20'!$B:$E,4,0),"")</f>
        <v>0</v>
      </c>
      <c r="Y12" s="106">
        <f>IFERROR(VLOOKUP("B2_SHARING",'Company 21'!$B:$E,4,0),"")</f>
        <v>0</v>
      </c>
      <c r="Z12" s="106">
        <f>IFERROR(VLOOKUP("B2_SHARING",'Company 22'!$B:$E,4,0),"")</f>
        <v>0</v>
      </c>
      <c r="AA12" s="106">
        <f>IFERROR(VLOOKUP("B2_SHARING",'Company 23'!$B:$E,4,0),"")</f>
        <v>0</v>
      </c>
      <c r="AB12" s="106">
        <f>IFERROR(VLOOKUP("B2_SHARING",'Company 24'!$B:$E,4,0),"")</f>
        <v>0</v>
      </c>
      <c r="AC12" s="106">
        <f>IFERROR(VLOOKUP("B2_SHARING",'Company 25'!$B:$E,4,0),"")</f>
        <v>0</v>
      </c>
      <c r="AD12" s="106">
        <f>IFERROR(VLOOKUP("B2_SHARING",'Company 26'!$B:$E,4,0),"")</f>
        <v>0</v>
      </c>
      <c r="AE12" s="106">
        <f>IFERROR(VLOOKUP("B2_SHARING",'Company 27'!$B:$E,4,0),"")</f>
        <v>0</v>
      </c>
      <c r="AF12" s="106">
        <f>IFERROR(VLOOKUP("B2_SHARING",'Company 28'!$B:$E,4,0),"")</f>
        <v>0</v>
      </c>
      <c r="AG12" s="106">
        <f>IFERROR(VLOOKUP("B2_SHARING",'Company 29'!$B:$E,4,0),"")</f>
        <v>0</v>
      </c>
      <c r="AH12" s="106">
        <f>IFERROR(VLOOKUP("B2_SHARING",'Company 30'!$B:$E,4,0),"")</f>
        <v>0</v>
      </c>
    </row>
    <row r="13" spans="2:34" ht="24.95" customHeight="1">
      <c r="B13" s="104" t="s">
        <v>51</v>
      </c>
      <c r="C13" s="105" t="s">
        <v>59</v>
      </c>
      <c r="D13" s="42" t="s">
        <v>60</v>
      </c>
      <c r="E13" s="106">
        <f>IFERROR(VLOOKUP("B3_MONETIZE",'Company 1'!$B:$E,4,0),"")</f>
        <v>1</v>
      </c>
      <c r="F13" s="106">
        <f>IFERROR(VLOOKUP("B3_MONETIZE",'Company 2'!$B:$E,4,0),"")</f>
        <v>0</v>
      </c>
      <c r="G13" s="106">
        <f>IFERROR(VLOOKUP("B3_MONETIZE",'Company 3'!$B:$E,4,0),"")</f>
        <v>1</v>
      </c>
      <c r="H13" s="106">
        <f>IFERROR(VLOOKUP("B3_MONETIZE",'Company 4'!$B:$E,4,0),"")</f>
        <v>0</v>
      </c>
      <c r="I13" s="106">
        <f>IFERROR(VLOOKUP("B3_MONETIZE",'Company 5'!$B:$E,4,0),"")</f>
        <v>0</v>
      </c>
      <c r="J13" s="106">
        <f>IFERROR(VLOOKUP("B3_MONETIZE",'Company 6'!$B:$E,4,0),"")</f>
        <v>0</v>
      </c>
      <c r="K13" s="106">
        <f>IFERROR(VLOOKUP("B3_MONETIZE",'Company 7'!$B:$E,4,0),"")</f>
        <v>1</v>
      </c>
      <c r="L13" s="106">
        <f>IFERROR(VLOOKUP("B3_MONETIZE",'Company 8'!$B:$E,4,0),"")</f>
        <v>0</v>
      </c>
      <c r="M13" s="106">
        <f>IFERROR(VLOOKUP("B3_MONETIZE",'Company 9'!$B:$E,4,0),"")</f>
        <v>1</v>
      </c>
      <c r="N13" s="106">
        <f>IFERROR(VLOOKUP("B3_MONETIZE",'Company 10'!$B:$E,4,0),"")</f>
        <v>0</v>
      </c>
      <c r="O13" s="106">
        <f>IFERROR(VLOOKUP("B3_MONETIZE",'Company 11'!$B:$E,4,0),"")</f>
        <v>0</v>
      </c>
      <c r="P13" s="106">
        <f>IFERROR(VLOOKUP("B3_MONETIZE",'Company 12'!$B:$E,4,0),"")</f>
        <v>0</v>
      </c>
      <c r="Q13" s="106">
        <f>IFERROR(VLOOKUP("B3_MONETIZE",'Company 13'!$B:$E,4,0),"")</f>
        <v>0</v>
      </c>
      <c r="R13" s="106" t="str">
        <f>IFERROR(VLOOKUP("B3_MONETIZE",#REF!,4,0),"")</f>
        <v/>
      </c>
      <c r="S13" s="106" t="str">
        <f>IFERROR(VLOOKUP("B3_MONETIZE",#REF!,4,0),"")</f>
        <v/>
      </c>
      <c r="T13" s="106" t="str">
        <f>IFERROR(VLOOKUP("B3_MONETIZE",#REF!,4,0),"")</f>
        <v/>
      </c>
      <c r="U13" s="106" t="str">
        <f>IFERROR(VLOOKUP("B3_MONETIZE",#REF!,4,0),"")</f>
        <v/>
      </c>
      <c r="V13" s="106">
        <f>IFERROR(VLOOKUP("B3_MONETIZE",'Company 18'!$B:$E,4,0),"")</f>
        <v>0</v>
      </c>
      <c r="W13" s="106">
        <f>IFERROR(VLOOKUP("B3_MONETIZE",'Company 19'!$B:$E,4,0),"")</f>
        <v>0</v>
      </c>
      <c r="X13" s="106">
        <f>IFERROR(VLOOKUP("B3_MONETIZE",'Company 20'!$B:$E,4,0),"")</f>
        <v>0</v>
      </c>
      <c r="Y13" s="106">
        <f>IFERROR(VLOOKUP("B3_MONETIZE",'Company 21'!$B:$E,4,0),"")</f>
        <v>0</v>
      </c>
      <c r="Z13" s="106">
        <f>IFERROR(VLOOKUP("B3_MONETIZE",'Company 22'!$B:$E,4,0),"")</f>
        <v>0</v>
      </c>
      <c r="AA13" s="106">
        <f>IFERROR(VLOOKUP("B3_MONETIZE",'Company 23'!$B:$E,4,0),"")</f>
        <v>0</v>
      </c>
      <c r="AB13" s="106">
        <f>IFERROR(VLOOKUP("B3_MONETIZE",'Company 24'!$B:$E,4,0),"")</f>
        <v>0</v>
      </c>
      <c r="AC13" s="106">
        <f>IFERROR(VLOOKUP("B3_MONETIZE",'Company 25'!$B:$E,4,0),"")</f>
        <v>0</v>
      </c>
      <c r="AD13" s="106">
        <f>IFERROR(VLOOKUP("B3_MONETIZE",'Company 26'!$B:$E,4,0),"")</f>
        <v>0</v>
      </c>
      <c r="AE13" s="106">
        <f>IFERROR(VLOOKUP("B3_MONETIZE",'Company 27'!$B:$E,4,0),"")</f>
        <v>0</v>
      </c>
      <c r="AF13" s="106">
        <f>IFERROR(VLOOKUP("B3_MONETIZE",'Company 28'!$B:$E,4,0),"")</f>
        <v>0</v>
      </c>
      <c r="AG13" s="106">
        <f>IFERROR(VLOOKUP("B3_MONETIZE",'Company 29'!$B:$E,4,0),"")</f>
        <v>0</v>
      </c>
      <c r="AH13" s="106">
        <f>IFERROR(VLOOKUP("B3_MONETIZE",'Company 30'!$B:$E,4,0),"")</f>
        <v>0</v>
      </c>
    </row>
    <row r="14" spans="2:34" ht="24.95" customHeight="1">
      <c r="B14" s="104" t="s">
        <v>51</v>
      </c>
      <c r="C14" s="105" t="s">
        <v>62</v>
      </c>
      <c r="D14" s="42" t="s">
        <v>63</v>
      </c>
      <c r="E14" s="106">
        <f>IFERROR(VLOOKUP("B4_STRATEGIC",'Company 1'!$B:$E,4,0),"")</f>
        <v>0</v>
      </c>
      <c r="F14" s="106">
        <f>IFERROR(VLOOKUP("B4_STRATEGIC",'Company 2'!$B:$E,4,0),"")</f>
        <v>1</v>
      </c>
      <c r="G14" s="106">
        <f>IFERROR(VLOOKUP("B4_STRATEGIC",'Company 3'!$B:$E,4,0),"")</f>
        <v>1</v>
      </c>
      <c r="H14" s="106">
        <f>IFERROR(VLOOKUP("B4_STRATEGIC",'Company 4'!$B:$E,4,0),"")</f>
        <v>1</v>
      </c>
      <c r="I14" s="106">
        <f>IFERROR(VLOOKUP("B4_STRATEGIC",'Company 5'!$B:$E,4,0),"")</f>
        <v>1</v>
      </c>
      <c r="J14" s="106">
        <f>IFERROR(VLOOKUP("B4_STRATEGIC",'Company 6'!$B:$E,4,0),"")</f>
        <v>1</v>
      </c>
      <c r="K14" s="106">
        <f>IFERROR(VLOOKUP("B4_STRATEGIC",'Company 7'!$B:$E,4,0),"")</f>
        <v>0</v>
      </c>
      <c r="L14" s="106">
        <f>IFERROR(VLOOKUP("B4_STRATEGIC",'Company 8'!$B:$E,4,0),"")</f>
        <v>0</v>
      </c>
      <c r="M14" s="106">
        <f>IFERROR(VLOOKUP("B4_STRATEGIC",'Company 9'!$B:$E,4,0),"")</f>
        <v>0</v>
      </c>
      <c r="N14" s="106">
        <f>IFERROR(VLOOKUP("B4_STRATEGIC",'Company 10'!$B:$E,4,0),"")</f>
        <v>1</v>
      </c>
      <c r="O14" s="106">
        <f>IFERROR(VLOOKUP("B4_STRATEGIC",'Company 11'!$B:$E,4,0),"")</f>
        <v>0</v>
      </c>
      <c r="P14" s="106">
        <f>IFERROR(VLOOKUP("B4_STRATEGIC",'Company 12'!$B:$E,4,0),"")</f>
        <v>1</v>
      </c>
      <c r="Q14" s="106">
        <f>IFERROR(VLOOKUP("B4_STRATEGIC",'Company 13'!$B:$E,4,0),"")</f>
        <v>0</v>
      </c>
      <c r="R14" s="106" t="str">
        <f>IFERROR(VLOOKUP("B4_STRATEGIC",#REF!,4,0),"")</f>
        <v/>
      </c>
      <c r="S14" s="106" t="str">
        <f>IFERROR(VLOOKUP("B4_STRATEGIC",#REF!,4,0),"")</f>
        <v/>
      </c>
      <c r="T14" s="106" t="str">
        <f>IFERROR(VLOOKUP("B4_STRATEGIC",#REF!,4,0),"")</f>
        <v/>
      </c>
      <c r="U14" s="106" t="str">
        <f>IFERROR(VLOOKUP("B4_STRATEGIC",#REF!,4,0),"")</f>
        <v/>
      </c>
      <c r="V14" s="106">
        <f>IFERROR(VLOOKUP("B4_STRATEGIC",'Company 18'!$B:$E,4,0),"")</f>
        <v>0</v>
      </c>
      <c r="W14" s="106">
        <f>IFERROR(VLOOKUP("B4_STRATEGIC",'Company 19'!$B:$E,4,0),"")</f>
        <v>0</v>
      </c>
      <c r="X14" s="106">
        <f>IFERROR(VLOOKUP("B4_STRATEGIC",'Company 20'!$B:$E,4,0),"")</f>
        <v>0</v>
      </c>
      <c r="Y14" s="106">
        <f>IFERROR(VLOOKUP("B4_STRATEGIC",'Company 21'!$B:$E,4,0),"")</f>
        <v>0</v>
      </c>
      <c r="Z14" s="106">
        <f>IFERROR(VLOOKUP("B4_STRATEGIC",'Company 22'!$B:$E,4,0),"")</f>
        <v>0</v>
      </c>
      <c r="AA14" s="106">
        <f>IFERROR(VLOOKUP("B4_STRATEGIC",'Company 23'!$B:$E,4,0),"")</f>
        <v>0</v>
      </c>
      <c r="AB14" s="106">
        <f>IFERROR(VLOOKUP("B4_STRATEGIC",'Company 24'!$B:$E,4,0),"")</f>
        <v>0</v>
      </c>
      <c r="AC14" s="106">
        <f>IFERROR(VLOOKUP("B4_STRATEGIC",'Company 25'!$B:$E,4,0),"")</f>
        <v>0</v>
      </c>
      <c r="AD14" s="106">
        <f>IFERROR(VLOOKUP("B4_STRATEGIC",'Company 26'!$B:$E,4,0),"")</f>
        <v>0</v>
      </c>
      <c r="AE14" s="106">
        <f>IFERROR(VLOOKUP("B4_STRATEGIC",'Company 27'!$B:$E,4,0),"")</f>
        <v>0</v>
      </c>
      <c r="AF14" s="106">
        <f>IFERROR(VLOOKUP("B4_STRATEGIC",'Company 28'!$B:$E,4,0),"")</f>
        <v>0</v>
      </c>
      <c r="AG14" s="106">
        <f>IFERROR(VLOOKUP("B4_STRATEGIC",'Company 29'!$B:$E,4,0),"")</f>
        <v>0</v>
      </c>
      <c r="AH14" s="106">
        <f>IFERROR(VLOOKUP("B4_STRATEGIC",'Company 30'!$B:$E,4,0),"")</f>
        <v>0</v>
      </c>
    </row>
    <row r="15" spans="2:34" ht="18" customHeight="1">
      <c r="B15" s="107" t="s">
        <v>208</v>
      </c>
      <c r="C15" s="108"/>
      <c r="D15" s="108"/>
      <c r="E15" s="108"/>
      <c r="F15" s="108"/>
      <c r="G15" s="108"/>
      <c r="H15" s="108"/>
      <c r="I15" s="108"/>
      <c r="J15" s="108"/>
      <c r="K15" s="108"/>
      <c r="L15" s="108"/>
      <c r="M15" s="108"/>
      <c r="N15" s="108"/>
      <c r="O15" s="108"/>
      <c r="P15" s="108"/>
      <c r="Q15" s="108"/>
      <c r="R15" s="108"/>
      <c r="S15" s="108"/>
      <c r="T15" s="108"/>
      <c r="U15" s="108"/>
      <c r="V15" s="108"/>
      <c r="W15" s="108"/>
      <c r="X15" s="108"/>
      <c r="Y15" s="108"/>
      <c r="Z15" s="108"/>
      <c r="AA15" s="108"/>
      <c r="AB15" s="108"/>
      <c r="AC15" s="108"/>
      <c r="AD15" s="108"/>
      <c r="AE15" s="108"/>
      <c r="AF15" s="108"/>
      <c r="AG15" s="108"/>
      <c r="AH15" s="108"/>
    </row>
    <row r="16" spans="2:34" ht="24.95" customHeight="1">
      <c r="B16" s="109" t="s">
        <v>65</v>
      </c>
      <c r="C16" s="110" t="s">
        <v>66</v>
      </c>
      <c r="D16" s="42" t="s">
        <v>67</v>
      </c>
      <c r="E16" s="106">
        <f>IFERROR(VLOOKUP("M1_AUTOMATED",'Company 1'!$B:$E,4,0),"")</f>
        <v>3</v>
      </c>
      <c r="F16" s="106">
        <f>IFERROR(VLOOKUP("M1_AUTOMATED",'Company 2'!$B:$E,4,0),"")</f>
        <v>0</v>
      </c>
      <c r="G16" s="106">
        <f>IFERROR(VLOOKUP("M1_AUTOMATED",'Company 3'!$B:$E,4,0),"")</f>
        <v>4</v>
      </c>
      <c r="H16" s="106">
        <f>IFERROR(VLOOKUP("M1_AUTOMATED",'Company 4'!$B:$E,4,0),"")</f>
        <v>3</v>
      </c>
      <c r="I16" s="106">
        <f>IFERROR(VLOOKUP("M1_AUTOMATED",'Company 5'!$B:$E,4,0),"")</f>
        <v>2</v>
      </c>
      <c r="J16" s="106">
        <f>IFERROR(VLOOKUP("M1_AUTOMATED",'Company 6'!$B:$E,4,0),"")</f>
        <v>5</v>
      </c>
      <c r="K16" s="106">
        <f>IFERROR(VLOOKUP("M1_AUTOMATED",'Company 7'!$B:$E,4,0),"")</f>
        <v>1</v>
      </c>
      <c r="L16" s="106">
        <f>IFERROR(VLOOKUP("M1_AUTOMATED",'Company 8'!$B:$E,4,0),"")</f>
        <v>3</v>
      </c>
      <c r="M16" s="106">
        <f>IFERROR(VLOOKUP("M1_AUTOMATED",'Company 9'!$B:$E,4,0),"")</f>
        <v>3</v>
      </c>
      <c r="N16" s="106">
        <f>IFERROR(VLOOKUP("M1_AUTOMATED",'Company 10'!$B:$E,4,0),"")</f>
        <v>2</v>
      </c>
      <c r="O16" s="106">
        <f>IFERROR(VLOOKUP("M1_AUTOMATED",'Company 11'!$B:$E,4,0),"")</f>
        <v>1</v>
      </c>
      <c r="P16" s="106">
        <f>IFERROR(VLOOKUP("M1_AUTOMATED",'Company 12'!$B:$E,4,0),"")</f>
        <v>0</v>
      </c>
      <c r="Q16" s="106">
        <f>IFERROR(VLOOKUP("M1_AUTOMATED",'Company 13'!$B:$E,4,0),"")</f>
        <v>3</v>
      </c>
      <c r="R16" s="106" t="str">
        <f>IFERROR(VLOOKUP("M1_AUTOMATED",#REF!,4,0),"")</f>
        <v/>
      </c>
      <c r="S16" s="106" t="str">
        <f>IFERROR(VLOOKUP("M1_AUTOMATED",#REF!,4,0),"")</f>
        <v/>
      </c>
      <c r="T16" s="106" t="str">
        <f>IFERROR(VLOOKUP("M1_AUTOMATED",#REF!,4,0),"")</f>
        <v/>
      </c>
      <c r="U16" s="106" t="str">
        <f>IFERROR(VLOOKUP("M1_AUTOMATED",#REF!,4,0),"")</f>
        <v/>
      </c>
      <c r="V16" s="106">
        <f>IFERROR(VLOOKUP("M1_AUTOMATED",'Company 18'!$B:$E,4,0),"")</f>
        <v>0</v>
      </c>
      <c r="W16" s="106">
        <f>IFERROR(VLOOKUP("M1_AUTOMATED",'Company 19'!$B:$E,4,0),"")</f>
        <v>0</v>
      </c>
      <c r="X16" s="106">
        <f>IFERROR(VLOOKUP("M1_AUTOMATED",'Company 20'!$B:$E,4,0),"")</f>
        <v>0</v>
      </c>
      <c r="Y16" s="106">
        <f>IFERROR(VLOOKUP("M1_AUTOMATED",'Company 21'!$B:$E,4,0),"")</f>
        <v>0</v>
      </c>
      <c r="Z16" s="106">
        <f>IFERROR(VLOOKUP("M1_AUTOMATED",'Company 22'!$B:$E,4,0),"")</f>
        <v>0</v>
      </c>
      <c r="AA16" s="106">
        <f>IFERROR(VLOOKUP("M1_AUTOMATED",'Company 23'!$B:$E,4,0),"")</f>
        <v>0</v>
      </c>
      <c r="AB16" s="106">
        <f>IFERROR(VLOOKUP("M1_AUTOMATED",'Company 24'!$B:$E,4,0),"")</f>
        <v>0</v>
      </c>
      <c r="AC16" s="106">
        <f>IFERROR(VLOOKUP("M1_AUTOMATED",'Company 25'!$B:$E,4,0),"")</f>
        <v>0</v>
      </c>
      <c r="AD16" s="106">
        <f>IFERROR(VLOOKUP("M1_AUTOMATED",'Company 26'!$B:$E,4,0),"")</f>
        <v>0</v>
      </c>
      <c r="AE16" s="106">
        <f>IFERROR(VLOOKUP("M1_AUTOMATED",'Company 27'!$B:$E,4,0),"")</f>
        <v>0</v>
      </c>
      <c r="AF16" s="106">
        <f>IFERROR(VLOOKUP("M1_AUTOMATED",'Company 28'!$B:$E,4,0),"")</f>
        <v>0</v>
      </c>
      <c r="AG16" s="106">
        <f>IFERROR(VLOOKUP("M1_AUTOMATED",'Company 29'!$B:$E,4,0),"")</f>
        <v>0</v>
      </c>
      <c r="AH16" s="106">
        <f>IFERROR(VLOOKUP("M1_AUTOMATED",'Company 30'!$B:$E,4,0),"")</f>
        <v>0</v>
      </c>
    </row>
    <row r="17" spans="2:34" ht="24.95" customHeight="1">
      <c r="B17" s="109" t="s">
        <v>65</v>
      </c>
      <c r="C17" s="110" t="s">
        <v>69</v>
      </c>
      <c r="D17" s="42" t="s">
        <v>70</v>
      </c>
      <c r="E17" s="106">
        <f>IFERROR(VLOOKUP("M2_REALTIME",'Company 1'!$B:$E,4,0),"")</f>
        <v>2</v>
      </c>
      <c r="F17" s="106">
        <f>IFERROR(VLOOKUP("M2_REALTIME",'Company 2'!$B:$E,4,0),"")</f>
        <v>0</v>
      </c>
      <c r="G17" s="106">
        <f>IFERROR(VLOOKUP("M2_REALTIME",'Company 3'!$B:$E,4,0),"")</f>
        <v>4</v>
      </c>
      <c r="H17" s="106">
        <f>IFERROR(VLOOKUP("M2_REALTIME",'Company 4'!$B:$E,4,0),"")</f>
        <v>2</v>
      </c>
      <c r="I17" s="106">
        <f>IFERROR(VLOOKUP("M2_REALTIME",'Company 5'!$B:$E,4,0),"")</f>
        <v>2</v>
      </c>
      <c r="J17" s="106">
        <f>IFERROR(VLOOKUP("M2_REALTIME",'Company 6'!$B:$E,4,0),"")</f>
        <v>4</v>
      </c>
      <c r="K17" s="106">
        <f>IFERROR(VLOOKUP("M2_REALTIME",'Company 7'!$B:$E,4,0),"")</f>
        <v>2</v>
      </c>
      <c r="L17" s="106">
        <f>IFERROR(VLOOKUP("M2_REALTIME",'Company 8'!$B:$E,4,0),"")</f>
        <v>2</v>
      </c>
      <c r="M17" s="106">
        <f>IFERROR(VLOOKUP("M2_REALTIME",'Company 9'!$B:$E,4,0),"")</f>
        <v>2</v>
      </c>
      <c r="N17" s="106">
        <f>IFERROR(VLOOKUP("M2_REALTIME",'Company 10'!$B:$E,4,0),"")</f>
        <v>2</v>
      </c>
      <c r="O17" s="106">
        <f>IFERROR(VLOOKUP("M2_REALTIME",'Company 11'!$B:$E,4,0),"")</f>
        <v>1</v>
      </c>
      <c r="P17" s="106">
        <f>IFERROR(VLOOKUP("M2_REALTIME",'Company 12'!$B:$E,4,0),"")</f>
        <v>0</v>
      </c>
      <c r="Q17" s="106">
        <f>IFERROR(VLOOKUP("M2_REALTIME",'Company 13'!$B:$E,4,0),"")</f>
        <v>3</v>
      </c>
      <c r="R17" s="106" t="str">
        <f>IFERROR(VLOOKUP("M2_REALTIME",#REF!,4,0),"")</f>
        <v/>
      </c>
      <c r="S17" s="106" t="str">
        <f>IFERROR(VLOOKUP("M2_REALTIME",#REF!,4,0),"")</f>
        <v/>
      </c>
      <c r="T17" s="106" t="str">
        <f>IFERROR(VLOOKUP("M2_REALTIME",#REF!,4,0),"")</f>
        <v/>
      </c>
      <c r="U17" s="106" t="str">
        <f>IFERROR(VLOOKUP("M2_REALTIME",#REF!,4,0),"")</f>
        <v/>
      </c>
      <c r="V17" s="106">
        <f>IFERROR(VLOOKUP("M2_REALTIME",'Company 18'!$B:$E,4,0),"")</f>
        <v>0</v>
      </c>
      <c r="W17" s="106">
        <f>IFERROR(VLOOKUP("M2_REALTIME",'Company 19'!$B:$E,4,0),"")</f>
        <v>0</v>
      </c>
      <c r="X17" s="106">
        <f>IFERROR(VLOOKUP("M2_REALTIME",'Company 20'!$B:$E,4,0),"")</f>
        <v>0</v>
      </c>
      <c r="Y17" s="106">
        <f>IFERROR(VLOOKUP("M2_REALTIME",'Company 21'!$B:$E,4,0),"")</f>
        <v>0</v>
      </c>
      <c r="Z17" s="106">
        <f>IFERROR(VLOOKUP("M2_REALTIME",'Company 22'!$B:$E,4,0),"")</f>
        <v>0</v>
      </c>
      <c r="AA17" s="106">
        <f>IFERROR(VLOOKUP("M2_REALTIME",'Company 23'!$B:$E,4,0),"")</f>
        <v>0</v>
      </c>
      <c r="AB17" s="106">
        <f>IFERROR(VLOOKUP("M2_REALTIME",'Company 24'!$B:$E,4,0),"")</f>
        <v>0</v>
      </c>
      <c r="AC17" s="106">
        <f>IFERROR(VLOOKUP("M2_REALTIME",'Company 25'!$B:$E,4,0),"")</f>
        <v>0</v>
      </c>
      <c r="AD17" s="106">
        <f>IFERROR(VLOOKUP("M2_REALTIME",'Company 26'!$B:$E,4,0),"")</f>
        <v>0</v>
      </c>
      <c r="AE17" s="106">
        <f>IFERROR(VLOOKUP("M2_REALTIME",'Company 27'!$B:$E,4,0),"")</f>
        <v>0</v>
      </c>
      <c r="AF17" s="106">
        <f>IFERROR(VLOOKUP("M2_REALTIME",'Company 28'!$B:$E,4,0),"")</f>
        <v>0</v>
      </c>
      <c r="AG17" s="106">
        <f>IFERROR(VLOOKUP("M2_REALTIME",'Company 29'!$B:$E,4,0),"")</f>
        <v>0</v>
      </c>
      <c r="AH17" s="106">
        <f>IFERROR(VLOOKUP("M2_REALTIME",'Company 30'!$B:$E,4,0),"")</f>
        <v>0</v>
      </c>
    </row>
    <row r="18" spans="2:34" ht="24.95" customHeight="1">
      <c r="B18" s="109" t="s">
        <v>65</v>
      </c>
      <c r="C18" s="110" t="s">
        <v>71</v>
      </c>
      <c r="D18" s="42" t="s">
        <v>72</v>
      </c>
      <c r="E18" s="106">
        <f>IFERROR(VLOOKUP("M3_STRATEGIC",'Company 1'!$B:$E,4,0),"")</f>
        <v>2</v>
      </c>
      <c r="F18" s="106">
        <f>IFERROR(VLOOKUP("M3_STRATEGIC",'Company 2'!$B:$E,4,0),"")</f>
        <v>1</v>
      </c>
      <c r="G18" s="106">
        <f>IFERROR(VLOOKUP("M3_STRATEGIC",'Company 3'!$B:$E,4,0),"")</f>
        <v>4</v>
      </c>
      <c r="H18" s="106">
        <f>IFERROR(VLOOKUP("M3_STRATEGIC",'Company 4'!$B:$E,4,0),"")</f>
        <v>4</v>
      </c>
      <c r="I18" s="106">
        <f>IFERROR(VLOOKUP("M3_STRATEGIC",'Company 5'!$B:$E,4,0),"")</f>
        <v>2</v>
      </c>
      <c r="J18" s="106">
        <f>IFERROR(VLOOKUP("M3_STRATEGIC",'Company 6'!$B:$E,4,0),"")</f>
        <v>4</v>
      </c>
      <c r="K18" s="106">
        <f>IFERROR(VLOOKUP("M3_STRATEGIC",'Company 7'!$B:$E,4,0),"")</f>
        <v>4</v>
      </c>
      <c r="L18" s="106">
        <f>IFERROR(VLOOKUP("M3_STRATEGIC",'Company 8'!$B:$E,4,0),"")</f>
        <v>4</v>
      </c>
      <c r="M18" s="106">
        <f>IFERROR(VLOOKUP("M3_STRATEGIC",'Company 9'!$B:$E,4,0),"")</f>
        <v>4</v>
      </c>
      <c r="N18" s="106">
        <f>IFERROR(VLOOKUP("M3_STRATEGIC",'Company 10'!$B:$E,4,0),"")</f>
        <v>5</v>
      </c>
      <c r="O18" s="106">
        <f>IFERROR(VLOOKUP("M3_STRATEGIC",'Company 11'!$B:$E,4,0),"")</f>
        <v>2</v>
      </c>
      <c r="P18" s="106">
        <f>IFERROR(VLOOKUP("M3_STRATEGIC",'Company 12'!$B:$E,4,0),"")</f>
        <v>2</v>
      </c>
      <c r="Q18" s="106">
        <f>IFERROR(VLOOKUP("M3_STRATEGIC",'Company 13'!$B:$E,4,0),"")</f>
        <v>4</v>
      </c>
      <c r="R18" s="106" t="str">
        <f>IFERROR(VLOOKUP("M3_STRATEGIC",#REF!,4,0),"")</f>
        <v/>
      </c>
      <c r="S18" s="106" t="str">
        <f>IFERROR(VLOOKUP("M3_STRATEGIC",#REF!,4,0),"")</f>
        <v/>
      </c>
      <c r="T18" s="106" t="str">
        <f>IFERROR(VLOOKUP("M3_STRATEGIC",#REF!,4,0),"")</f>
        <v/>
      </c>
      <c r="U18" s="106" t="str">
        <f>IFERROR(VLOOKUP("M3_STRATEGIC",#REF!,4,0),"")</f>
        <v/>
      </c>
      <c r="V18" s="106">
        <f>IFERROR(VLOOKUP("M3_STRATEGIC",'Company 18'!$B:$E,4,0),"")</f>
        <v>0</v>
      </c>
      <c r="W18" s="106">
        <f>IFERROR(VLOOKUP("M3_STRATEGIC",'Company 19'!$B:$E,4,0),"")</f>
        <v>0</v>
      </c>
      <c r="X18" s="106">
        <f>IFERROR(VLOOKUP("M3_STRATEGIC",'Company 20'!$B:$E,4,0),"")</f>
        <v>0</v>
      </c>
      <c r="Y18" s="106">
        <f>IFERROR(VLOOKUP("M3_STRATEGIC",'Company 21'!$B:$E,4,0),"")</f>
        <v>0</v>
      </c>
      <c r="Z18" s="106">
        <f>IFERROR(VLOOKUP("M3_STRATEGIC",'Company 22'!$B:$E,4,0),"")</f>
        <v>0</v>
      </c>
      <c r="AA18" s="106">
        <f>IFERROR(VLOOKUP("M3_STRATEGIC",'Company 23'!$B:$E,4,0),"")</f>
        <v>0</v>
      </c>
      <c r="AB18" s="106">
        <f>IFERROR(VLOOKUP("M3_STRATEGIC",'Company 24'!$B:$E,4,0),"")</f>
        <v>0</v>
      </c>
      <c r="AC18" s="106">
        <f>IFERROR(VLOOKUP("M3_STRATEGIC",'Company 25'!$B:$E,4,0),"")</f>
        <v>0</v>
      </c>
      <c r="AD18" s="106">
        <f>IFERROR(VLOOKUP("M3_STRATEGIC",'Company 26'!$B:$E,4,0),"")</f>
        <v>0</v>
      </c>
      <c r="AE18" s="106">
        <f>IFERROR(VLOOKUP("M3_STRATEGIC",'Company 27'!$B:$E,4,0),"")</f>
        <v>0</v>
      </c>
      <c r="AF18" s="106">
        <f>IFERROR(VLOOKUP("M3_STRATEGIC",'Company 28'!$B:$E,4,0),"")</f>
        <v>0</v>
      </c>
      <c r="AG18" s="106">
        <f>IFERROR(VLOOKUP("M3_STRATEGIC",'Company 29'!$B:$E,4,0),"")</f>
        <v>0</v>
      </c>
      <c r="AH18" s="106">
        <f>IFERROR(VLOOKUP("M3_STRATEGIC",'Company 30'!$B:$E,4,0),"")</f>
        <v>0</v>
      </c>
    </row>
    <row r="19" spans="2:34" ht="24.95" customHeight="1">
      <c r="B19" s="109" t="s">
        <v>65</v>
      </c>
      <c r="C19" s="110" t="s">
        <v>73</v>
      </c>
      <c r="D19" s="42" t="s">
        <v>74</v>
      </c>
      <c r="E19" s="106">
        <f>IFERROR(VLOOKUP("M4_BREADTH",'Company 1'!$B:$E,4,0),"")</f>
        <v>2</v>
      </c>
      <c r="F19" s="106">
        <f>IFERROR(VLOOKUP("M4_BREADTH",'Company 2'!$B:$E,4,0),"")</f>
        <v>1</v>
      </c>
      <c r="G19" s="106">
        <f>IFERROR(VLOOKUP("M4_BREADTH",'Company 3'!$B:$E,4,0),"")</f>
        <v>5</v>
      </c>
      <c r="H19" s="106">
        <f>IFERROR(VLOOKUP("M4_BREADTH",'Company 4'!$B:$E,4,0),"")</f>
        <v>2</v>
      </c>
      <c r="I19" s="106">
        <f>IFERROR(VLOOKUP("M4_BREADTH",'Company 5'!$B:$E,4,0),"")</f>
        <v>4</v>
      </c>
      <c r="J19" s="106">
        <f>IFERROR(VLOOKUP("M4_BREADTH",'Company 6'!$B:$E,4,0),"")</f>
        <v>3</v>
      </c>
      <c r="K19" s="106">
        <f>IFERROR(VLOOKUP("M4_BREADTH",'Company 7'!$B:$E,4,0),"")</f>
        <v>3</v>
      </c>
      <c r="L19" s="106">
        <f>IFERROR(VLOOKUP("M4_BREADTH",'Company 8'!$B:$E,4,0),"")</f>
        <v>3</v>
      </c>
      <c r="M19" s="106">
        <f>IFERROR(VLOOKUP("M4_BREADTH",'Company 9'!$B:$E,4,0),"")</f>
        <v>2</v>
      </c>
      <c r="N19" s="106">
        <f>IFERROR(VLOOKUP("M4_BREADTH",'Company 10'!$B:$E,4,0),"")</f>
        <v>3</v>
      </c>
      <c r="O19" s="106">
        <f>IFERROR(VLOOKUP("M4_BREADTH",'Company 11'!$B:$E,4,0),"")</f>
        <v>2</v>
      </c>
      <c r="P19" s="106">
        <f>IFERROR(VLOOKUP("M4_BREADTH",'Company 12'!$B:$E,4,0),"")</f>
        <v>1</v>
      </c>
      <c r="Q19" s="106">
        <f>IFERROR(VLOOKUP("M4_BREADTH",'Company 13'!$B:$E,4,0),"")</f>
        <v>3</v>
      </c>
      <c r="R19" s="106" t="str">
        <f>IFERROR(VLOOKUP("M4_BREADTH",#REF!,4,0),"")</f>
        <v/>
      </c>
      <c r="S19" s="106" t="str">
        <f>IFERROR(VLOOKUP("M4_BREADTH",#REF!,4,0),"")</f>
        <v/>
      </c>
      <c r="T19" s="106" t="str">
        <f>IFERROR(VLOOKUP("M4_BREADTH",#REF!,4,0),"")</f>
        <v/>
      </c>
      <c r="U19" s="106" t="str">
        <f>IFERROR(VLOOKUP("M4_BREADTH",#REF!,4,0),"")</f>
        <v/>
      </c>
      <c r="V19" s="106">
        <f>IFERROR(VLOOKUP("M4_BREADTH",'Company 18'!$B:$E,4,0),"")</f>
        <v>0</v>
      </c>
      <c r="W19" s="106">
        <f>IFERROR(VLOOKUP("M4_BREADTH",'Company 19'!$B:$E,4,0),"")</f>
        <v>0</v>
      </c>
      <c r="X19" s="106">
        <f>IFERROR(VLOOKUP("M4_BREADTH",'Company 20'!$B:$E,4,0),"")</f>
        <v>0</v>
      </c>
      <c r="Y19" s="106">
        <f>IFERROR(VLOOKUP("M4_BREADTH",'Company 21'!$B:$E,4,0),"")</f>
        <v>0</v>
      </c>
      <c r="Z19" s="106">
        <f>IFERROR(VLOOKUP("M4_BREADTH",'Company 22'!$B:$E,4,0),"")</f>
        <v>0</v>
      </c>
      <c r="AA19" s="106">
        <f>IFERROR(VLOOKUP("M4_BREADTH",'Company 23'!$B:$E,4,0),"")</f>
        <v>0</v>
      </c>
      <c r="AB19" s="106">
        <f>IFERROR(VLOOKUP("M4_BREADTH",'Company 24'!$B:$E,4,0),"")</f>
        <v>0</v>
      </c>
      <c r="AC19" s="106">
        <f>IFERROR(VLOOKUP("M4_BREADTH",'Company 25'!$B:$E,4,0),"")</f>
        <v>0</v>
      </c>
      <c r="AD19" s="106">
        <f>IFERROR(VLOOKUP("M4_BREADTH",'Company 26'!$B:$E,4,0),"")</f>
        <v>0</v>
      </c>
      <c r="AE19" s="106">
        <f>IFERROR(VLOOKUP("M4_BREADTH",'Company 27'!$B:$E,4,0),"")</f>
        <v>0</v>
      </c>
      <c r="AF19" s="106">
        <f>IFERROR(VLOOKUP("M4_BREADTH",'Company 28'!$B:$E,4,0),"")</f>
        <v>0</v>
      </c>
      <c r="AG19" s="106">
        <f>IFERROR(VLOOKUP("M4_BREADTH",'Company 29'!$B:$E,4,0),"")</f>
        <v>0</v>
      </c>
      <c r="AH19" s="106">
        <f>IFERROR(VLOOKUP("M4_BREADTH",'Company 30'!$B:$E,4,0),"")</f>
        <v>0</v>
      </c>
    </row>
    <row r="20" spans="2:34" ht="24.95" customHeight="1">
      <c r="B20" s="109" t="s">
        <v>65</v>
      </c>
      <c r="C20" s="110" t="s">
        <v>75</v>
      </c>
      <c r="D20" s="42" t="s">
        <v>76</v>
      </c>
      <c r="E20" s="106">
        <f>IFERROR(VLOOKUP("M5_DATATYPES",'Company 1'!$B:$E,4,0),"")</f>
        <v>2</v>
      </c>
      <c r="F20" s="106">
        <f>IFERROR(VLOOKUP("M5_DATATYPES",'Company 2'!$B:$E,4,0),"")</f>
        <v>1</v>
      </c>
      <c r="G20" s="106">
        <f>IFERROR(VLOOKUP("M5_DATATYPES",'Company 3'!$B:$E,4,0),"")</f>
        <v>4</v>
      </c>
      <c r="H20" s="106">
        <f>IFERROR(VLOOKUP("M5_DATATYPES",'Company 4'!$B:$E,4,0),"")</f>
        <v>3</v>
      </c>
      <c r="I20" s="106">
        <f>IFERROR(VLOOKUP("M5_DATATYPES",'Company 5'!$B:$E,4,0),"")</f>
        <v>2</v>
      </c>
      <c r="J20" s="106">
        <f>IFERROR(VLOOKUP("M5_DATATYPES",'Company 6'!$B:$E,4,0),"")</f>
        <v>5</v>
      </c>
      <c r="K20" s="106">
        <f>IFERROR(VLOOKUP("M5_DATATYPES",'Company 7'!$B:$E,4,0),"")</f>
        <v>3</v>
      </c>
      <c r="L20" s="106">
        <f>IFERROR(VLOOKUP("M5_DATATYPES",'Company 8'!$B:$E,4,0),"")</f>
        <v>4</v>
      </c>
      <c r="M20" s="106">
        <f>IFERROR(VLOOKUP("M5_DATATYPES",'Company 9'!$B:$E,4,0),"")</f>
        <v>5</v>
      </c>
      <c r="N20" s="106">
        <f>IFERROR(VLOOKUP("M5_DATATYPES",'Company 10'!$B:$E,4,0),"")</f>
        <v>5</v>
      </c>
      <c r="O20" s="106">
        <f>IFERROR(VLOOKUP("M5_DATATYPES",'Company 11'!$B:$E,4,0),"")</f>
        <v>2</v>
      </c>
      <c r="P20" s="106">
        <f>IFERROR(VLOOKUP("M5_DATATYPES",'Company 12'!$B:$E,4,0),"")</f>
        <v>2</v>
      </c>
      <c r="Q20" s="106">
        <f>IFERROR(VLOOKUP("M5_DATATYPES",'Company 13'!$B:$E,4,0),"")</f>
        <v>4</v>
      </c>
      <c r="R20" s="106" t="str">
        <f>IFERROR(VLOOKUP("M5_DATATYPES",#REF!,4,0),"")</f>
        <v/>
      </c>
      <c r="S20" s="106" t="str">
        <f>IFERROR(VLOOKUP("M5_DATATYPES",#REF!,4,0),"")</f>
        <v/>
      </c>
      <c r="T20" s="106" t="str">
        <f>IFERROR(VLOOKUP("M5_DATATYPES",#REF!,4,0),"")</f>
        <v/>
      </c>
      <c r="U20" s="106" t="str">
        <f>IFERROR(VLOOKUP("M5_DATATYPES",#REF!,4,0),"")</f>
        <v/>
      </c>
      <c r="V20" s="106">
        <f>IFERROR(VLOOKUP("M5_DATATYPES",'Company 18'!$B:$E,4,0),"")</f>
        <v>0</v>
      </c>
      <c r="W20" s="106">
        <f>IFERROR(VLOOKUP("M5_DATATYPES",'Company 19'!$B:$E,4,0),"")</f>
        <v>0</v>
      </c>
      <c r="X20" s="106">
        <f>IFERROR(VLOOKUP("M5_DATATYPES",'Company 20'!$B:$E,4,0),"")</f>
        <v>0</v>
      </c>
      <c r="Y20" s="106">
        <f>IFERROR(VLOOKUP("M5_DATATYPES",'Company 21'!$B:$E,4,0),"")</f>
        <v>0</v>
      </c>
      <c r="Z20" s="106">
        <f>IFERROR(VLOOKUP("M5_DATATYPES",'Company 22'!$B:$E,4,0),"")</f>
        <v>0</v>
      </c>
      <c r="AA20" s="106">
        <f>IFERROR(VLOOKUP("M5_DATATYPES",'Company 23'!$B:$E,4,0),"")</f>
        <v>0</v>
      </c>
      <c r="AB20" s="106">
        <f>IFERROR(VLOOKUP("M5_DATATYPES",'Company 24'!$B:$E,4,0),"")</f>
        <v>0</v>
      </c>
      <c r="AC20" s="106">
        <f>IFERROR(VLOOKUP("M5_DATATYPES",'Company 25'!$B:$E,4,0),"")</f>
        <v>0</v>
      </c>
      <c r="AD20" s="106">
        <f>IFERROR(VLOOKUP("M5_DATATYPES",'Company 26'!$B:$E,4,0),"")</f>
        <v>0</v>
      </c>
      <c r="AE20" s="106">
        <f>IFERROR(VLOOKUP("M5_DATATYPES",'Company 27'!$B:$E,4,0),"")</f>
        <v>0</v>
      </c>
      <c r="AF20" s="106">
        <f>IFERROR(VLOOKUP("M5_DATATYPES",'Company 28'!$B:$E,4,0),"")</f>
        <v>0</v>
      </c>
      <c r="AG20" s="106">
        <f>IFERROR(VLOOKUP("M5_DATATYPES",'Company 29'!$B:$E,4,0),"")</f>
        <v>0</v>
      </c>
      <c r="AH20" s="106">
        <f>IFERROR(VLOOKUP("M5_DATATYPES",'Company 30'!$B:$E,4,0),"")</f>
        <v>0</v>
      </c>
    </row>
    <row r="21" spans="2:34" ht="24.95" customHeight="1">
      <c r="B21" s="109" t="s">
        <v>65</v>
      </c>
      <c r="C21" s="110" t="s">
        <v>77</v>
      </c>
      <c r="D21" s="42" t="s">
        <v>78</v>
      </c>
      <c r="E21" s="106">
        <f>IFERROR(VLOOKUP("M6_TRUST",'Company 1'!$B:$E,4,0),"")</f>
        <v>4</v>
      </c>
      <c r="F21" s="106">
        <f>IFERROR(VLOOKUP("M6_TRUST",'Company 2'!$B:$E,4,0),"")</f>
        <v>0</v>
      </c>
      <c r="G21" s="106">
        <f>IFERROR(VLOOKUP("M6_TRUST",'Company 3'!$B:$E,4,0),"")</f>
        <v>3</v>
      </c>
      <c r="H21" s="106">
        <f>IFERROR(VLOOKUP("M6_TRUST",'Company 4'!$B:$E,4,0),"")</f>
        <v>2</v>
      </c>
      <c r="I21" s="106">
        <f>IFERROR(VLOOKUP("M6_TRUST",'Company 5'!$B:$E,4,0),"")</f>
        <v>2</v>
      </c>
      <c r="J21" s="106">
        <f>IFERROR(VLOOKUP("M6_TRUST",'Company 6'!$B:$E,4,0),"")</f>
        <v>2</v>
      </c>
      <c r="K21" s="106">
        <f>IFERROR(VLOOKUP("M6_TRUST",'Company 7'!$B:$E,4,0),"")</f>
        <v>0</v>
      </c>
      <c r="L21" s="106">
        <f>IFERROR(VLOOKUP("M6_TRUST",'Company 8'!$B:$E,4,0),"")</f>
        <v>4</v>
      </c>
      <c r="M21" s="106">
        <f>IFERROR(VLOOKUP("M6_TRUST",'Company 9'!$B:$E,4,0),"")</f>
        <v>2</v>
      </c>
      <c r="N21" s="106">
        <f>IFERROR(VLOOKUP("M6_TRUST",'Company 10'!$B:$E,4,0),"")</f>
        <v>3</v>
      </c>
      <c r="O21" s="106">
        <f>IFERROR(VLOOKUP("M6_TRUST",'Company 11'!$B:$E,4,0),"")</f>
        <v>0</v>
      </c>
      <c r="P21" s="106">
        <f>IFERROR(VLOOKUP("M6_TRUST",'Company 12'!$B:$E,4,0),"")</f>
        <v>0</v>
      </c>
      <c r="Q21" s="106">
        <f>IFERROR(VLOOKUP("M6_TRUST",'Company 13'!$B:$E,4,0),"")</f>
        <v>2</v>
      </c>
      <c r="R21" s="106" t="str">
        <f>IFERROR(VLOOKUP("M6_TRUST",#REF!,4,0),"")</f>
        <v/>
      </c>
      <c r="S21" s="106" t="str">
        <f>IFERROR(VLOOKUP("M6_TRUST",#REF!,4,0),"")</f>
        <v/>
      </c>
      <c r="T21" s="106" t="str">
        <f>IFERROR(VLOOKUP("M6_TRUST",#REF!,4,0),"")</f>
        <v/>
      </c>
      <c r="U21" s="106" t="str">
        <f>IFERROR(VLOOKUP("M6_TRUST",#REF!,4,0),"")</f>
        <v/>
      </c>
      <c r="V21" s="106">
        <f>IFERROR(VLOOKUP("M6_TRUST",'Company 18'!$B:$E,4,0),"")</f>
        <v>0</v>
      </c>
      <c r="W21" s="106">
        <f>IFERROR(VLOOKUP("M6_TRUST",'Company 19'!$B:$E,4,0),"")</f>
        <v>0</v>
      </c>
      <c r="X21" s="106">
        <f>IFERROR(VLOOKUP("M6_TRUST",'Company 20'!$B:$E,4,0),"")</f>
        <v>0</v>
      </c>
      <c r="Y21" s="106">
        <f>IFERROR(VLOOKUP("M6_TRUST",'Company 21'!$B:$E,4,0),"")</f>
        <v>0</v>
      </c>
      <c r="Z21" s="106">
        <f>IFERROR(VLOOKUP("M6_TRUST",'Company 22'!$B:$E,4,0),"")</f>
        <v>0</v>
      </c>
      <c r="AA21" s="106">
        <f>IFERROR(VLOOKUP("M6_TRUST",'Company 23'!$B:$E,4,0),"")</f>
        <v>0</v>
      </c>
      <c r="AB21" s="106">
        <f>IFERROR(VLOOKUP("M6_TRUST",'Company 24'!$B:$E,4,0),"")</f>
        <v>0</v>
      </c>
      <c r="AC21" s="106">
        <f>IFERROR(VLOOKUP("M6_TRUST",'Company 25'!$B:$E,4,0),"")</f>
        <v>0</v>
      </c>
      <c r="AD21" s="106">
        <f>IFERROR(VLOOKUP("M6_TRUST",'Company 26'!$B:$E,4,0),"")</f>
        <v>0</v>
      </c>
      <c r="AE21" s="106">
        <f>IFERROR(VLOOKUP("M6_TRUST",'Company 27'!$B:$E,4,0),"")</f>
        <v>0</v>
      </c>
      <c r="AF21" s="106">
        <f>IFERROR(VLOOKUP("M6_TRUST",'Company 28'!$B:$E,4,0),"")</f>
        <v>0</v>
      </c>
      <c r="AG21" s="106">
        <f>IFERROR(VLOOKUP("M6_TRUST",'Company 29'!$B:$E,4,0),"")</f>
        <v>0</v>
      </c>
      <c r="AH21" s="106">
        <f>IFERROR(VLOOKUP("M6_TRUST",'Company 30'!$B:$E,4,0),"")</f>
        <v>0</v>
      </c>
    </row>
    <row r="22" spans="2:34" ht="24.95" customHeight="1">
      <c r="B22" s="109" t="s">
        <v>65</v>
      </c>
      <c r="C22" s="110" t="s">
        <v>79</v>
      </c>
      <c r="D22" s="42" t="s">
        <v>80</v>
      </c>
      <c r="E22" s="106">
        <f>IFERROR(VLOOKUP("M7_BARRIERS",'Company 1'!$B:$E,4,0),"")</f>
        <v>3</v>
      </c>
      <c r="F22" s="106">
        <f>IFERROR(VLOOKUP("M7_BARRIERS",'Company 2'!$B:$E,4,0),"")</f>
        <v>5</v>
      </c>
      <c r="G22" s="106">
        <f>IFERROR(VLOOKUP("M7_BARRIERS",'Company 3'!$B:$E,4,0),"")</f>
        <v>4</v>
      </c>
      <c r="H22" s="106">
        <f>IFERROR(VLOOKUP("M7_BARRIERS",'Company 4'!$B:$E,4,0),"")</f>
        <v>3</v>
      </c>
      <c r="I22" s="106">
        <f>IFERROR(VLOOKUP("M7_BARRIERS",'Company 5'!$B:$E,4,0),"")</f>
        <v>4</v>
      </c>
      <c r="J22" s="106">
        <f>IFERROR(VLOOKUP("M7_BARRIERS",'Company 6'!$B:$E,4,0),"")</f>
        <v>5</v>
      </c>
      <c r="K22" s="106">
        <f>IFERROR(VLOOKUP("M7_BARRIERS",'Company 7'!$B:$E,4,0),"")</f>
        <v>2</v>
      </c>
      <c r="L22" s="106">
        <f>IFERROR(VLOOKUP("M7_BARRIERS",'Company 8'!$B:$E,4,0),"")</f>
        <v>4</v>
      </c>
      <c r="M22" s="106">
        <f>IFERROR(VLOOKUP("M7_BARRIERS",'Company 9'!$B:$E,4,0),"")</f>
        <v>4</v>
      </c>
      <c r="N22" s="106">
        <f>IFERROR(VLOOKUP("M7_BARRIERS",'Company 10'!$B:$E,4,0),"")</f>
        <v>4</v>
      </c>
      <c r="O22" s="106">
        <f>IFERROR(VLOOKUP("M7_BARRIERS",'Company 11'!$B:$E,4,0),"")</f>
        <v>2</v>
      </c>
      <c r="P22" s="106">
        <f>IFERROR(VLOOKUP("M7_BARRIERS",'Company 12'!$B:$E,4,0),"")</f>
        <v>4</v>
      </c>
      <c r="Q22" s="106">
        <f>IFERROR(VLOOKUP("M7_BARRIERS",'Company 13'!$B:$E,4,0),"")</f>
        <v>3</v>
      </c>
      <c r="R22" s="106" t="str">
        <f>IFERROR(VLOOKUP("M7_BARRIERS",#REF!,4,0),"")</f>
        <v/>
      </c>
      <c r="S22" s="106" t="str">
        <f>IFERROR(VLOOKUP("M7_BARRIERS",#REF!,4,0),"")</f>
        <v/>
      </c>
      <c r="T22" s="106" t="str">
        <f>IFERROR(VLOOKUP("M7_BARRIERS",#REF!,4,0),"")</f>
        <v/>
      </c>
      <c r="U22" s="106" t="str">
        <f>IFERROR(VLOOKUP("M7_BARRIERS",#REF!,4,0),"")</f>
        <v/>
      </c>
      <c r="V22" s="106">
        <f>IFERROR(VLOOKUP("M7_BARRIERS",'Company 18'!$B:$E,4,0),"")</f>
        <v>0</v>
      </c>
      <c r="W22" s="106">
        <f>IFERROR(VLOOKUP("M7_BARRIERS",'Company 19'!$B:$E,4,0),"")</f>
        <v>0</v>
      </c>
      <c r="X22" s="106">
        <f>IFERROR(VLOOKUP("M7_BARRIERS",'Company 20'!$B:$E,4,0),"")</f>
        <v>0</v>
      </c>
      <c r="Y22" s="106">
        <f>IFERROR(VLOOKUP("M7_BARRIERS",'Company 21'!$B:$E,4,0),"")</f>
        <v>0</v>
      </c>
      <c r="Z22" s="106">
        <f>IFERROR(VLOOKUP("M7_BARRIERS",'Company 22'!$B:$E,4,0),"")</f>
        <v>0</v>
      </c>
      <c r="AA22" s="106">
        <f>IFERROR(VLOOKUP("M7_BARRIERS",'Company 23'!$B:$E,4,0),"")</f>
        <v>0</v>
      </c>
      <c r="AB22" s="106">
        <f>IFERROR(VLOOKUP("M7_BARRIERS",'Company 24'!$B:$E,4,0),"")</f>
        <v>0</v>
      </c>
      <c r="AC22" s="106">
        <f>IFERROR(VLOOKUP("M7_BARRIERS",'Company 25'!$B:$E,4,0),"")</f>
        <v>0</v>
      </c>
      <c r="AD22" s="106">
        <f>IFERROR(VLOOKUP("M7_BARRIERS",'Company 26'!$B:$E,4,0),"")</f>
        <v>0</v>
      </c>
      <c r="AE22" s="106">
        <f>IFERROR(VLOOKUP("M7_BARRIERS",'Company 27'!$B:$E,4,0),"")</f>
        <v>0</v>
      </c>
      <c r="AF22" s="106">
        <f>IFERROR(VLOOKUP("M7_BARRIERS",'Company 28'!$B:$E,4,0),"")</f>
        <v>0</v>
      </c>
      <c r="AG22" s="106">
        <f>IFERROR(VLOOKUP("M7_BARRIERS",'Company 29'!$B:$E,4,0),"")</f>
        <v>0</v>
      </c>
      <c r="AH22" s="106">
        <f>IFERROR(VLOOKUP("M7_BARRIERS",'Company 30'!$B:$E,4,0),"")</f>
        <v>0</v>
      </c>
    </row>
    <row r="23" spans="2:34" ht="24.95" customHeight="1">
      <c r="B23" s="109" t="s">
        <v>65</v>
      </c>
      <c r="C23" s="110" t="s">
        <v>81</v>
      </c>
      <c r="D23" s="42" t="s">
        <v>82</v>
      </c>
      <c r="E23" s="106">
        <f>IFERROR(VLOOKUP("M8_IMPACT",'Company 1'!$B:$E,4,0),"")</f>
        <v>0</v>
      </c>
      <c r="F23" s="106">
        <f>IFERROR(VLOOKUP("M8_IMPACT",'Company 2'!$B:$E,4,0),"")</f>
        <v>0</v>
      </c>
      <c r="G23" s="106">
        <f>IFERROR(VLOOKUP("M8_IMPACT",'Company 3'!$B:$E,4,0),"")</f>
        <v>3</v>
      </c>
      <c r="H23" s="106">
        <f>IFERROR(VLOOKUP("M8_IMPACT",'Company 4'!$B:$E,4,0),"")</f>
        <v>0</v>
      </c>
      <c r="I23" s="106">
        <f>IFERROR(VLOOKUP("M8_IMPACT",'Company 5'!$B:$E,4,0),"")</f>
        <v>2</v>
      </c>
      <c r="J23" s="106">
        <f>IFERROR(VLOOKUP("M8_IMPACT",'Company 6'!$B:$E,4,0),"")</f>
        <v>5</v>
      </c>
      <c r="K23" s="106">
        <f>IFERROR(VLOOKUP("M8_IMPACT",'Company 7'!$B:$E,4,0),"")</f>
        <v>3</v>
      </c>
      <c r="L23" s="106">
        <f>IFERROR(VLOOKUP("M8_IMPACT",'Company 8'!$B:$E,4,0),"")</f>
        <v>2</v>
      </c>
      <c r="M23" s="106">
        <f>IFERROR(VLOOKUP("M8_IMPACT",'Company 9'!$B:$E,4,0),"")</f>
        <v>4</v>
      </c>
      <c r="N23" s="106">
        <f>IFERROR(VLOOKUP("M8_IMPACT",'Company 10'!$B:$E,4,0),"")</f>
        <v>4</v>
      </c>
      <c r="O23" s="106">
        <f>IFERROR(VLOOKUP("M8_IMPACT",'Company 11'!$B:$E,4,0),"")</f>
        <v>0</v>
      </c>
      <c r="P23" s="106">
        <f>IFERROR(VLOOKUP("M8_IMPACT",'Company 12'!$B:$E,4,0),"")</f>
        <v>4</v>
      </c>
      <c r="Q23" s="106">
        <f>IFERROR(VLOOKUP("M8_IMPACT",'Company 13'!$B:$E,4,0),"")</f>
        <v>3</v>
      </c>
      <c r="R23" s="106" t="str">
        <f>IFERROR(VLOOKUP("M8_IMPACT",#REF!,4,0),"")</f>
        <v/>
      </c>
      <c r="S23" s="106" t="str">
        <f>IFERROR(VLOOKUP("M8_IMPACT",#REF!,4,0),"")</f>
        <v/>
      </c>
      <c r="T23" s="106" t="str">
        <f>IFERROR(VLOOKUP("M8_IMPACT",#REF!,4,0),"")</f>
        <v/>
      </c>
      <c r="U23" s="106" t="str">
        <f>IFERROR(VLOOKUP("M8_IMPACT",#REF!,4,0),"")</f>
        <v/>
      </c>
      <c r="V23" s="106">
        <f>IFERROR(VLOOKUP("M8_IMPACT",'Company 18'!$B:$E,4,0),"")</f>
        <v>0</v>
      </c>
      <c r="W23" s="106">
        <f>IFERROR(VLOOKUP("M8_IMPACT",'Company 19'!$B:$E,4,0),"")</f>
        <v>0</v>
      </c>
      <c r="X23" s="106">
        <f>IFERROR(VLOOKUP("M8_IMPACT",'Company 20'!$B:$E,4,0),"")</f>
        <v>0</v>
      </c>
      <c r="Y23" s="106">
        <f>IFERROR(VLOOKUP("M8_IMPACT",'Company 21'!$B:$E,4,0),"")</f>
        <v>0</v>
      </c>
      <c r="Z23" s="106">
        <f>IFERROR(VLOOKUP("M8_IMPACT",'Company 22'!$B:$E,4,0),"")</f>
        <v>0</v>
      </c>
      <c r="AA23" s="106">
        <f>IFERROR(VLOOKUP("M8_IMPACT",'Company 23'!$B:$E,4,0),"")</f>
        <v>0</v>
      </c>
      <c r="AB23" s="106">
        <f>IFERROR(VLOOKUP("M8_IMPACT",'Company 24'!$B:$E,4,0),"")</f>
        <v>0</v>
      </c>
      <c r="AC23" s="106">
        <f>IFERROR(VLOOKUP("M8_IMPACT",'Company 25'!$B:$E,4,0),"")</f>
        <v>0</v>
      </c>
      <c r="AD23" s="106">
        <f>IFERROR(VLOOKUP("M8_IMPACT",'Company 26'!$B:$E,4,0),"")</f>
        <v>0</v>
      </c>
      <c r="AE23" s="106">
        <f>IFERROR(VLOOKUP("M8_IMPACT",'Company 27'!$B:$E,4,0),"")</f>
        <v>0</v>
      </c>
      <c r="AF23" s="106">
        <f>IFERROR(VLOOKUP("M8_IMPACT",'Company 28'!$B:$E,4,0),"")</f>
        <v>0</v>
      </c>
      <c r="AG23" s="106">
        <f>IFERROR(VLOOKUP("M8_IMPACT",'Company 29'!$B:$E,4,0),"")</f>
        <v>0</v>
      </c>
      <c r="AH23" s="106">
        <f>IFERROR(VLOOKUP("M8_IMPACT",'Company 30'!$B:$E,4,0),"")</f>
        <v>0</v>
      </c>
    </row>
    <row r="24" spans="2:34" ht="24.95" customHeight="1">
      <c r="B24" s="109" t="s">
        <v>65</v>
      </c>
      <c r="C24" s="110" t="s">
        <v>84</v>
      </c>
      <c r="D24" s="42" t="s">
        <v>85</v>
      </c>
      <c r="E24" s="106">
        <f>IFERROR(VLOOKUP("M9_WILLINGNESS",'Company 1'!$B:$E,4,0),"")</f>
        <v>6</v>
      </c>
      <c r="F24" s="106">
        <f>IFERROR(VLOOKUP("M9_WILLINGNESS",'Company 2'!$B:$E,4,0),"")</f>
        <v>2</v>
      </c>
      <c r="G24" s="106">
        <f>IFERROR(VLOOKUP("M9_WILLINGNESS",'Company 3'!$B:$E,4,0),"")</f>
        <v>8</v>
      </c>
      <c r="H24" s="106">
        <f>IFERROR(VLOOKUP("M9_WILLINGNESS",'Company 4'!$B:$E,4,0),"")</f>
        <v>8</v>
      </c>
      <c r="I24" s="106">
        <f>IFERROR(VLOOKUP("M9_WILLINGNESS",'Company 5'!$B:$E,4,0),"")</f>
        <v>10</v>
      </c>
      <c r="J24" s="106">
        <f>IFERROR(VLOOKUP("M9_WILLINGNESS",'Company 6'!$B:$E,4,0),"")</f>
        <v>6</v>
      </c>
      <c r="K24" s="106">
        <f>IFERROR(VLOOKUP("M9_WILLINGNESS",'Company 7'!$B:$E,4,0),"")</f>
        <v>8</v>
      </c>
      <c r="L24" s="106">
        <f>IFERROR(VLOOKUP("M9_WILLINGNESS",'Company 8'!$B:$E,4,0),"")</f>
        <v>8</v>
      </c>
      <c r="M24" s="106">
        <f>IFERROR(VLOOKUP("M9_WILLINGNESS",'Company 9'!$B:$E,4,0),"")</f>
        <v>6</v>
      </c>
      <c r="N24" s="106">
        <f>IFERROR(VLOOKUP("M9_WILLINGNESS",'Company 10'!$B:$E,4,0),"")</f>
        <v>7</v>
      </c>
      <c r="O24" s="106">
        <f>IFERROR(VLOOKUP("M9_WILLINGNESS",'Company 11'!$B:$E,4,0),"")</f>
        <v>9</v>
      </c>
      <c r="P24" s="106">
        <f>IFERROR(VLOOKUP("M9_WILLINGNESS",'Company 12'!$B:$E,4,0),"")</f>
        <v>3</v>
      </c>
      <c r="Q24" s="106">
        <f>IFERROR(VLOOKUP("M9_WILLINGNESS",'Company 13'!$B:$E,4,0),"")</f>
        <v>9</v>
      </c>
      <c r="R24" s="106" t="str">
        <f>IFERROR(VLOOKUP("M9_WILLINGNESS",#REF!,4,0),"")</f>
        <v/>
      </c>
      <c r="S24" s="106" t="str">
        <f>IFERROR(VLOOKUP("M9_WILLINGNESS",#REF!,4,0),"")</f>
        <v/>
      </c>
      <c r="T24" s="106" t="str">
        <f>IFERROR(VLOOKUP("M9_WILLINGNESS",#REF!,4,0),"")</f>
        <v/>
      </c>
      <c r="U24" s="106" t="str">
        <f>IFERROR(VLOOKUP("M9_WILLINGNESS",#REF!,4,0),"")</f>
        <v/>
      </c>
      <c r="V24" s="106">
        <f>IFERROR(VLOOKUP("M9_WILLINGNESS",'Company 18'!$B:$E,4,0),"")</f>
        <v>0</v>
      </c>
      <c r="W24" s="106">
        <f>IFERROR(VLOOKUP("M9_WILLINGNESS",'Company 19'!$B:$E,4,0),"")</f>
        <v>0</v>
      </c>
      <c r="X24" s="106">
        <f>IFERROR(VLOOKUP("M9_WILLINGNESS",'Company 20'!$B:$E,4,0),"")</f>
        <v>0</v>
      </c>
      <c r="Y24" s="106">
        <f>IFERROR(VLOOKUP("M9_WILLINGNESS",'Company 21'!$B:$E,4,0),"")</f>
        <v>0</v>
      </c>
      <c r="Z24" s="106">
        <f>IFERROR(VLOOKUP("M9_WILLINGNESS",'Company 22'!$B:$E,4,0),"")</f>
        <v>0</v>
      </c>
      <c r="AA24" s="106">
        <f>IFERROR(VLOOKUP("M9_WILLINGNESS",'Company 23'!$B:$E,4,0),"")</f>
        <v>0</v>
      </c>
      <c r="AB24" s="106">
        <f>IFERROR(VLOOKUP("M9_WILLINGNESS",'Company 24'!$B:$E,4,0),"")</f>
        <v>0</v>
      </c>
      <c r="AC24" s="106">
        <f>IFERROR(VLOOKUP("M9_WILLINGNESS",'Company 25'!$B:$E,4,0),"")</f>
        <v>0</v>
      </c>
      <c r="AD24" s="106">
        <f>IFERROR(VLOOKUP("M9_WILLINGNESS",'Company 26'!$B:$E,4,0),"")</f>
        <v>0</v>
      </c>
      <c r="AE24" s="106">
        <f>IFERROR(VLOOKUP("M9_WILLINGNESS",'Company 27'!$B:$E,4,0),"")</f>
        <v>0</v>
      </c>
      <c r="AF24" s="106">
        <f>IFERROR(VLOOKUP("M9_WILLINGNESS",'Company 28'!$B:$E,4,0),"")</f>
        <v>0</v>
      </c>
      <c r="AG24" s="106">
        <f>IFERROR(VLOOKUP("M9_WILLINGNESS",'Company 29'!$B:$E,4,0),"")</f>
        <v>0</v>
      </c>
      <c r="AH24" s="106">
        <f>IFERROR(VLOOKUP("M9_WILLINGNESS",'Company 30'!$B:$E,4,0),"")</f>
        <v>0</v>
      </c>
    </row>
    <row r="25" spans="2:34" ht="18" customHeight="1">
      <c r="B25" s="111" t="s">
        <v>209</v>
      </c>
      <c r="C25" s="112"/>
      <c r="D25" s="112"/>
      <c r="E25" s="112"/>
      <c r="F25" s="112"/>
      <c r="G25" s="112"/>
      <c r="H25" s="112"/>
      <c r="I25" s="112"/>
      <c r="J25" s="112"/>
      <c r="K25" s="112"/>
      <c r="L25" s="112"/>
      <c r="M25" s="112"/>
      <c r="N25" s="112"/>
      <c r="O25" s="112"/>
      <c r="P25" s="112"/>
      <c r="Q25" s="112"/>
      <c r="R25" s="112"/>
      <c r="S25" s="112"/>
      <c r="T25" s="112"/>
      <c r="U25" s="112"/>
      <c r="V25" s="112"/>
      <c r="W25" s="112"/>
      <c r="X25" s="112"/>
      <c r="Y25" s="112"/>
      <c r="Z25" s="112"/>
      <c r="AA25" s="112"/>
      <c r="AB25" s="112"/>
      <c r="AC25" s="112"/>
      <c r="AD25" s="112"/>
      <c r="AE25" s="112"/>
      <c r="AF25" s="112"/>
      <c r="AG25" s="112"/>
      <c r="AH25" s="112"/>
    </row>
    <row r="26" spans="2:34" ht="24.95" customHeight="1">
      <c r="B26" s="113" t="s">
        <v>87</v>
      </c>
      <c r="C26" s="114" t="s">
        <v>88</v>
      </c>
      <c r="D26" s="42" t="s">
        <v>89</v>
      </c>
      <c r="E26" s="106">
        <f>IFERROR(VLOOKUP("SV1_PRICING",'Company 1'!$B:$E,4,0),"")</f>
        <v>0</v>
      </c>
      <c r="F26" s="106">
        <f>IFERROR(VLOOKUP("SV1_PRICING",'Company 2'!$B:$E,4,0),"")</f>
        <v>0</v>
      </c>
      <c r="G26" s="106">
        <f>IFERROR(VLOOKUP("SV1_PRICING",'Company 3'!$B:$E,4,0),"")</f>
        <v>1</v>
      </c>
      <c r="H26" s="106">
        <f>IFERROR(VLOOKUP("SV1_PRICING",'Company 4'!$B:$E,4,0),"")</f>
        <v>1</v>
      </c>
      <c r="I26" s="106">
        <f>IFERROR(VLOOKUP("SV1_PRICING",'Company 5'!$B:$E,4,0),"")</f>
        <v>1</v>
      </c>
      <c r="J26" s="106">
        <f>IFERROR(VLOOKUP("SV1_PRICING",'Company 6'!$B:$E,4,0),"")</f>
        <v>1</v>
      </c>
      <c r="K26" s="106">
        <f>IFERROR(VLOOKUP("SV1_PRICING",'Company 7'!$B:$E,4,0),"")</f>
        <v>0</v>
      </c>
      <c r="L26" s="106">
        <f>IFERROR(VLOOKUP("SV1_PRICING",'Company 8'!$B:$E,4,0),"")</f>
        <v>1</v>
      </c>
      <c r="M26" s="106">
        <f>IFERROR(VLOOKUP("SV1_PRICING",'Company 9'!$B:$E,4,0),"")</f>
        <v>0</v>
      </c>
      <c r="N26" s="106">
        <f>IFERROR(VLOOKUP("SV1_PRICING",'Company 10'!$B:$E,4,0),"")</f>
        <v>1</v>
      </c>
      <c r="O26" s="106">
        <f>IFERROR(VLOOKUP("SV1_PRICING",'Company 11'!$B:$E,4,0),"")</f>
        <v>1</v>
      </c>
      <c r="P26" s="106">
        <f>IFERROR(VLOOKUP("SV1_PRICING",'Company 12'!$B:$E,4,0),"")</f>
        <v>0</v>
      </c>
      <c r="Q26" s="106">
        <f>IFERROR(VLOOKUP("SV1_PRICING",'Company 13'!$B:$E,4,0),"")</f>
        <v>0</v>
      </c>
      <c r="R26" s="106" t="str">
        <f>IFERROR(VLOOKUP("SV1_PRICING",#REF!,4,0),"")</f>
        <v/>
      </c>
      <c r="S26" s="106" t="str">
        <f>IFERROR(VLOOKUP("SV1_PRICING",#REF!,4,0),"")</f>
        <v/>
      </c>
      <c r="T26" s="106" t="str">
        <f>IFERROR(VLOOKUP("SV1_PRICING",#REF!,4,0),"")</f>
        <v/>
      </c>
      <c r="U26" s="106" t="str">
        <f>IFERROR(VLOOKUP("SV1_PRICING",#REF!,4,0),"")</f>
        <v/>
      </c>
      <c r="V26" s="106">
        <f>IFERROR(VLOOKUP("SV1_PRICING",'Company 18'!$B:$E,4,0),"")</f>
        <v>0</v>
      </c>
      <c r="W26" s="106">
        <f>IFERROR(VLOOKUP("SV1_PRICING",'Company 19'!$B:$E,4,0),"")</f>
        <v>0</v>
      </c>
      <c r="X26" s="106">
        <f>IFERROR(VLOOKUP("SV1_PRICING",'Company 20'!$B:$E,4,0),"")</f>
        <v>0</v>
      </c>
      <c r="Y26" s="106">
        <f>IFERROR(VLOOKUP("SV1_PRICING",'Company 21'!$B:$E,4,0),"")</f>
        <v>0</v>
      </c>
      <c r="Z26" s="106">
        <f>IFERROR(VLOOKUP("SV1_PRICING",'Company 22'!$B:$E,4,0),"")</f>
        <v>0</v>
      </c>
      <c r="AA26" s="106">
        <f>IFERROR(VLOOKUP("SV1_PRICING",'Company 23'!$B:$E,4,0),"")</f>
        <v>0</v>
      </c>
      <c r="AB26" s="106">
        <f>IFERROR(VLOOKUP("SV1_PRICING",'Company 24'!$B:$E,4,0),"")</f>
        <v>0</v>
      </c>
      <c r="AC26" s="106">
        <f>IFERROR(VLOOKUP("SV1_PRICING",'Company 25'!$B:$E,4,0),"")</f>
        <v>0</v>
      </c>
      <c r="AD26" s="106">
        <f>IFERROR(VLOOKUP("SV1_PRICING",'Company 26'!$B:$E,4,0),"")</f>
        <v>0</v>
      </c>
      <c r="AE26" s="106">
        <f>IFERROR(VLOOKUP("SV1_PRICING",'Company 27'!$B:$E,4,0),"")</f>
        <v>0</v>
      </c>
      <c r="AF26" s="106">
        <f>IFERROR(VLOOKUP("SV1_PRICING",'Company 28'!$B:$E,4,0),"")</f>
        <v>0</v>
      </c>
      <c r="AG26" s="106">
        <f>IFERROR(VLOOKUP("SV1_PRICING",'Company 29'!$B:$E,4,0),"")</f>
        <v>0</v>
      </c>
      <c r="AH26" s="106">
        <f>IFERROR(VLOOKUP("SV1_PRICING",'Company 30'!$B:$E,4,0),"")</f>
        <v>0</v>
      </c>
    </row>
    <row r="27" spans="2:34" ht="24.95" customHeight="1">
      <c r="B27" s="113" t="s">
        <v>87</v>
      </c>
      <c r="C27" s="114" t="s">
        <v>91</v>
      </c>
      <c r="D27" s="42" t="s">
        <v>92</v>
      </c>
      <c r="E27" s="106">
        <f>IFERROR(VLOOKUP("SV2_PROMOTIONS",'Company 1'!$B:$E,4,0),"")</f>
        <v>0</v>
      </c>
      <c r="F27" s="106">
        <f>IFERROR(VLOOKUP("SV2_PROMOTIONS",'Company 2'!$B:$E,4,0),"")</f>
        <v>0</v>
      </c>
      <c r="G27" s="106">
        <f>IFERROR(VLOOKUP("SV2_PROMOTIONS",'Company 3'!$B:$E,4,0),"")</f>
        <v>1</v>
      </c>
      <c r="H27" s="106">
        <f>IFERROR(VLOOKUP("SV2_PROMOTIONS",'Company 4'!$B:$E,4,0),"")</f>
        <v>1</v>
      </c>
      <c r="I27" s="106">
        <f>IFERROR(VLOOKUP("SV2_PROMOTIONS",'Company 5'!$B:$E,4,0),"")</f>
        <v>1</v>
      </c>
      <c r="J27" s="106">
        <f>IFERROR(VLOOKUP("SV2_PROMOTIONS",'Company 6'!$B:$E,4,0),"")</f>
        <v>1</v>
      </c>
      <c r="K27" s="106">
        <f>IFERROR(VLOOKUP("SV2_PROMOTIONS",'Company 7'!$B:$E,4,0),"")</f>
        <v>0</v>
      </c>
      <c r="L27" s="106">
        <f>IFERROR(VLOOKUP("SV2_PROMOTIONS",'Company 8'!$B:$E,4,0),"")</f>
        <v>1</v>
      </c>
      <c r="M27" s="106">
        <f>IFERROR(VLOOKUP("SV2_PROMOTIONS",'Company 9'!$B:$E,4,0),"")</f>
        <v>0</v>
      </c>
      <c r="N27" s="106">
        <f>IFERROR(VLOOKUP("SV2_PROMOTIONS",'Company 10'!$B:$E,4,0),"")</f>
        <v>0</v>
      </c>
      <c r="O27" s="106">
        <f>IFERROR(VLOOKUP("SV2_PROMOTIONS",'Company 11'!$B:$E,4,0),"")</f>
        <v>1</v>
      </c>
      <c r="P27" s="106">
        <f>IFERROR(VLOOKUP("SV2_PROMOTIONS",'Company 12'!$B:$E,4,0),"")</f>
        <v>1</v>
      </c>
      <c r="Q27" s="106">
        <f>IFERROR(VLOOKUP("SV2_PROMOTIONS",'Company 13'!$B:$E,4,0),"")</f>
        <v>1</v>
      </c>
      <c r="R27" s="106" t="str">
        <f>IFERROR(VLOOKUP("SV2_PROMOTIONS",#REF!,4,0),"")</f>
        <v/>
      </c>
      <c r="S27" s="106" t="str">
        <f>IFERROR(VLOOKUP("SV2_PROMOTIONS",#REF!,4,0),"")</f>
        <v/>
      </c>
      <c r="T27" s="106" t="str">
        <f>IFERROR(VLOOKUP("SV2_PROMOTIONS",#REF!,4,0),"")</f>
        <v/>
      </c>
      <c r="U27" s="106" t="str">
        <f>IFERROR(VLOOKUP("SV2_PROMOTIONS",#REF!,4,0),"")</f>
        <v/>
      </c>
      <c r="V27" s="106">
        <f>IFERROR(VLOOKUP("SV2_PROMOTIONS",'Company 18'!$B:$E,4,0),"")</f>
        <v>0</v>
      </c>
      <c r="W27" s="106">
        <f>IFERROR(VLOOKUP("SV2_PROMOTIONS",'Company 19'!$B:$E,4,0),"")</f>
        <v>0</v>
      </c>
      <c r="X27" s="106">
        <f>IFERROR(VLOOKUP("SV2_PROMOTIONS",'Company 20'!$B:$E,4,0),"")</f>
        <v>0</v>
      </c>
      <c r="Y27" s="106">
        <f>IFERROR(VLOOKUP("SV2_PROMOTIONS",'Company 21'!$B:$E,4,0),"")</f>
        <v>0</v>
      </c>
      <c r="Z27" s="106">
        <f>IFERROR(VLOOKUP("SV2_PROMOTIONS",'Company 22'!$B:$E,4,0),"")</f>
        <v>0</v>
      </c>
      <c r="AA27" s="106">
        <f>IFERROR(VLOOKUP("SV2_PROMOTIONS",'Company 23'!$B:$E,4,0),"")</f>
        <v>0</v>
      </c>
      <c r="AB27" s="106">
        <f>IFERROR(VLOOKUP("SV2_PROMOTIONS",'Company 24'!$B:$E,4,0),"")</f>
        <v>0</v>
      </c>
      <c r="AC27" s="106">
        <f>IFERROR(VLOOKUP("SV2_PROMOTIONS",'Company 25'!$B:$E,4,0),"")</f>
        <v>0</v>
      </c>
      <c r="AD27" s="106">
        <f>IFERROR(VLOOKUP("SV2_PROMOTIONS",'Company 26'!$B:$E,4,0),"")</f>
        <v>0</v>
      </c>
      <c r="AE27" s="106">
        <f>IFERROR(VLOOKUP("SV2_PROMOTIONS",'Company 27'!$B:$E,4,0),"")</f>
        <v>0</v>
      </c>
      <c r="AF27" s="106">
        <f>IFERROR(VLOOKUP("SV2_PROMOTIONS",'Company 28'!$B:$E,4,0),"")</f>
        <v>0</v>
      </c>
      <c r="AG27" s="106">
        <f>IFERROR(VLOOKUP("SV2_PROMOTIONS",'Company 29'!$B:$E,4,0),"")</f>
        <v>0</v>
      </c>
      <c r="AH27" s="106">
        <f>IFERROR(VLOOKUP("SV2_PROMOTIONS",'Company 30'!$B:$E,4,0),"")</f>
        <v>0</v>
      </c>
    </row>
    <row r="28" spans="2:34" ht="24.95" customHeight="1">
      <c r="B28" s="113" t="s">
        <v>87</v>
      </c>
      <c r="C28" s="114" t="s">
        <v>94</v>
      </c>
      <c r="D28" s="42" t="s">
        <v>95</v>
      </c>
      <c r="E28" s="106">
        <f>IFERROR(VLOOKUP("SV3_SUPPLYCHAIN",'Company 1'!$B:$E,4,0),"")</f>
        <v>0</v>
      </c>
      <c r="F28" s="106">
        <f>IFERROR(VLOOKUP("SV3_SUPPLYCHAIN",'Company 2'!$B:$E,4,0),"")</f>
        <v>1</v>
      </c>
      <c r="G28" s="106">
        <f>IFERROR(VLOOKUP("SV3_SUPPLYCHAIN",'Company 3'!$B:$E,4,0),"")</f>
        <v>0</v>
      </c>
      <c r="H28" s="106">
        <f>IFERROR(VLOOKUP("SV3_SUPPLYCHAIN",'Company 4'!$B:$E,4,0),"")</f>
        <v>1</v>
      </c>
      <c r="I28" s="106">
        <f>IFERROR(VLOOKUP("SV3_SUPPLYCHAIN",'Company 5'!$B:$E,4,0),"")</f>
        <v>1</v>
      </c>
      <c r="J28" s="106">
        <f>IFERROR(VLOOKUP("SV3_SUPPLYCHAIN",'Company 6'!$B:$E,4,0),"")</f>
        <v>1</v>
      </c>
      <c r="K28" s="106">
        <f>IFERROR(VLOOKUP("SV3_SUPPLYCHAIN",'Company 7'!$B:$E,4,0),"")</f>
        <v>0</v>
      </c>
      <c r="L28" s="106">
        <f>IFERROR(VLOOKUP("SV3_SUPPLYCHAIN",'Company 8'!$B:$E,4,0),"")</f>
        <v>0</v>
      </c>
      <c r="M28" s="106">
        <f>IFERROR(VLOOKUP("SV3_SUPPLYCHAIN",'Company 9'!$B:$E,4,0),"")</f>
        <v>0</v>
      </c>
      <c r="N28" s="106">
        <f>IFERROR(VLOOKUP("SV3_SUPPLYCHAIN",'Company 10'!$B:$E,4,0),"")</f>
        <v>1</v>
      </c>
      <c r="O28" s="106">
        <f>IFERROR(VLOOKUP("SV3_SUPPLYCHAIN",'Company 11'!$B:$E,4,0),"")</f>
        <v>1</v>
      </c>
      <c r="P28" s="106">
        <f>IFERROR(VLOOKUP("SV3_SUPPLYCHAIN",'Company 12'!$B:$E,4,0),"")</f>
        <v>1</v>
      </c>
      <c r="Q28" s="106">
        <f>IFERROR(VLOOKUP("SV3_SUPPLYCHAIN",'Company 13'!$B:$E,4,0),"")</f>
        <v>1</v>
      </c>
      <c r="R28" s="106" t="str">
        <f>IFERROR(VLOOKUP("SV3_SUPPLYCHAIN",#REF!,4,0),"")</f>
        <v/>
      </c>
      <c r="S28" s="106" t="str">
        <f>IFERROR(VLOOKUP("SV3_SUPPLYCHAIN",#REF!,4,0),"")</f>
        <v/>
      </c>
      <c r="T28" s="106" t="str">
        <f>IFERROR(VLOOKUP("SV3_SUPPLYCHAIN",#REF!,4,0),"")</f>
        <v/>
      </c>
      <c r="U28" s="106" t="str">
        <f>IFERROR(VLOOKUP("SV3_SUPPLYCHAIN",#REF!,4,0),"")</f>
        <v/>
      </c>
      <c r="V28" s="106">
        <f>IFERROR(VLOOKUP("SV3_SUPPLYCHAIN",'Company 18'!$B:$E,4,0),"")</f>
        <v>0</v>
      </c>
      <c r="W28" s="106">
        <f>IFERROR(VLOOKUP("SV3_SUPPLYCHAIN",'Company 19'!$B:$E,4,0),"")</f>
        <v>0</v>
      </c>
      <c r="X28" s="106">
        <f>IFERROR(VLOOKUP("SV3_SUPPLYCHAIN",'Company 20'!$B:$E,4,0),"")</f>
        <v>0</v>
      </c>
      <c r="Y28" s="106">
        <f>IFERROR(VLOOKUP("SV3_SUPPLYCHAIN",'Company 21'!$B:$E,4,0),"")</f>
        <v>0</v>
      </c>
      <c r="Z28" s="106">
        <f>IFERROR(VLOOKUP("SV3_SUPPLYCHAIN",'Company 22'!$B:$E,4,0),"")</f>
        <v>0</v>
      </c>
      <c r="AA28" s="106">
        <f>IFERROR(VLOOKUP("SV3_SUPPLYCHAIN",'Company 23'!$B:$E,4,0),"")</f>
        <v>0</v>
      </c>
      <c r="AB28" s="106">
        <f>IFERROR(VLOOKUP("SV3_SUPPLYCHAIN",'Company 24'!$B:$E,4,0),"")</f>
        <v>0</v>
      </c>
      <c r="AC28" s="106">
        <f>IFERROR(VLOOKUP("SV3_SUPPLYCHAIN",'Company 25'!$B:$E,4,0),"")</f>
        <v>0</v>
      </c>
      <c r="AD28" s="106">
        <f>IFERROR(VLOOKUP("SV3_SUPPLYCHAIN",'Company 26'!$B:$E,4,0),"")</f>
        <v>0</v>
      </c>
      <c r="AE28" s="106">
        <f>IFERROR(VLOOKUP("SV3_SUPPLYCHAIN",'Company 27'!$B:$E,4,0),"")</f>
        <v>0</v>
      </c>
      <c r="AF28" s="106">
        <f>IFERROR(VLOOKUP("SV3_SUPPLYCHAIN",'Company 28'!$B:$E,4,0),"")</f>
        <v>0</v>
      </c>
      <c r="AG28" s="106">
        <f>IFERROR(VLOOKUP("SV3_SUPPLYCHAIN",'Company 29'!$B:$E,4,0),"")</f>
        <v>0</v>
      </c>
      <c r="AH28" s="106">
        <f>IFERROR(VLOOKUP("SV3_SUPPLYCHAIN",'Company 30'!$B:$E,4,0),"")</f>
        <v>0</v>
      </c>
    </row>
    <row r="29" spans="2:34" ht="24.95" customHeight="1">
      <c r="B29" s="113" t="s">
        <v>87</v>
      </c>
      <c r="C29" s="114" t="s">
        <v>97</v>
      </c>
      <c r="D29" s="42" t="s">
        <v>98</v>
      </c>
      <c r="E29" s="106">
        <f>IFERROR(VLOOKUP("SV4_CATEGORY",'Company 1'!$B:$E,4,0),"")</f>
        <v>1</v>
      </c>
      <c r="F29" s="106">
        <f>IFERROR(VLOOKUP("SV4_CATEGORY",'Company 2'!$B:$E,4,0),"")</f>
        <v>0</v>
      </c>
      <c r="G29" s="106">
        <f>IFERROR(VLOOKUP("SV4_CATEGORY",'Company 3'!$B:$E,4,0),"")</f>
        <v>1</v>
      </c>
      <c r="H29" s="106">
        <f>IFERROR(VLOOKUP("SV4_CATEGORY",'Company 4'!$B:$E,4,0),"")</f>
        <v>1</v>
      </c>
      <c r="I29" s="106">
        <f>IFERROR(VLOOKUP("SV4_CATEGORY",'Company 5'!$B:$E,4,0),"")</f>
        <v>0</v>
      </c>
      <c r="J29" s="106">
        <f>IFERROR(VLOOKUP("SV4_CATEGORY",'Company 6'!$B:$E,4,0),"")</f>
        <v>1</v>
      </c>
      <c r="K29" s="106">
        <f>IFERROR(VLOOKUP("SV4_CATEGORY",'Company 7'!$B:$E,4,0),"")</f>
        <v>1</v>
      </c>
      <c r="L29" s="106">
        <f>IFERROR(VLOOKUP("SV4_CATEGORY",'Company 8'!$B:$E,4,0),"")</f>
        <v>1</v>
      </c>
      <c r="M29" s="106">
        <f>IFERROR(VLOOKUP("SV4_CATEGORY",'Company 9'!$B:$E,4,0),"")</f>
        <v>1</v>
      </c>
      <c r="N29" s="106">
        <f>IFERROR(VLOOKUP("SV4_CATEGORY",'Company 10'!$B:$E,4,0),"")</f>
        <v>1</v>
      </c>
      <c r="O29" s="106">
        <f>IFERROR(VLOOKUP("SV4_CATEGORY",'Company 11'!$B:$E,4,0),"")</f>
        <v>1</v>
      </c>
      <c r="P29" s="106">
        <f>IFERROR(VLOOKUP("SV4_CATEGORY",'Company 12'!$B:$E,4,0),"")</f>
        <v>0</v>
      </c>
      <c r="Q29" s="106">
        <f>IFERROR(VLOOKUP("SV4_CATEGORY",'Company 13'!$B:$E,4,0),"")</f>
        <v>1</v>
      </c>
      <c r="R29" s="106" t="str">
        <f>IFERROR(VLOOKUP("SV4_CATEGORY",#REF!,4,0),"")</f>
        <v/>
      </c>
      <c r="S29" s="106" t="str">
        <f>IFERROR(VLOOKUP("SV4_CATEGORY",#REF!,4,0),"")</f>
        <v/>
      </c>
      <c r="T29" s="106" t="str">
        <f>IFERROR(VLOOKUP("SV4_CATEGORY",#REF!,4,0),"")</f>
        <v/>
      </c>
      <c r="U29" s="106" t="str">
        <f>IFERROR(VLOOKUP("SV4_CATEGORY",#REF!,4,0),"")</f>
        <v/>
      </c>
      <c r="V29" s="106">
        <f>IFERROR(VLOOKUP("SV4_CATEGORY",'Company 18'!$B:$E,4,0),"")</f>
        <v>0</v>
      </c>
      <c r="W29" s="106">
        <f>IFERROR(VLOOKUP("SV4_CATEGORY",'Company 19'!$B:$E,4,0),"")</f>
        <v>0</v>
      </c>
      <c r="X29" s="106">
        <f>IFERROR(VLOOKUP("SV4_CATEGORY",'Company 20'!$B:$E,4,0),"")</f>
        <v>0</v>
      </c>
      <c r="Y29" s="106">
        <f>IFERROR(VLOOKUP("SV4_CATEGORY",'Company 21'!$B:$E,4,0),"")</f>
        <v>0</v>
      </c>
      <c r="Z29" s="106">
        <f>IFERROR(VLOOKUP("SV4_CATEGORY",'Company 22'!$B:$E,4,0),"")</f>
        <v>0</v>
      </c>
      <c r="AA29" s="106">
        <f>IFERROR(VLOOKUP("SV4_CATEGORY",'Company 23'!$B:$E,4,0),"")</f>
        <v>0</v>
      </c>
      <c r="AB29" s="106">
        <f>IFERROR(VLOOKUP("SV4_CATEGORY",'Company 24'!$B:$E,4,0),"")</f>
        <v>0</v>
      </c>
      <c r="AC29" s="106">
        <f>IFERROR(VLOOKUP("SV4_CATEGORY",'Company 25'!$B:$E,4,0),"")</f>
        <v>0</v>
      </c>
      <c r="AD29" s="106">
        <f>IFERROR(VLOOKUP("SV4_CATEGORY",'Company 26'!$B:$E,4,0),"")</f>
        <v>0</v>
      </c>
      <c r="AE29" s="106">
        <f>IFERROR(VLOOKUP("SV4_CATEGORY",'Company 27'!$B:$E,4,0),"")</f>
        <v>0</v>
      </c>
      <c r="AF29" s="106">
        <f>IFERROR(VLOOKUP("SV4_CATEGORY",'Company 28'!$B:$E,4,0),"")</f>
        <v>0</v>
      </c>
      <c r="AG29" s="106">
        <f>IFERROR(VLOOKUP("SV4_CATEGORY",'Company 29'!$B:$E,4,0),"")</f>
        <v>0</v>
      </c>
      <c r="AH29" s="106">
        <f>IFERROR(VLOOKUP("SV4_CATEGORY",'Company 30'!$B:$E,4,0),"")</f>
        <v>0</v>
      </c>
    </row>
    <row r="30" spans="2:34" ht="24.95" customHeight="1">
      <c r="B30" s="113" t="s">
        <v>87</v>
      </c>
      <c r="C30" s="114" t="s">
        <v>100</v>
      </c>
      <c r="D30" s="42" t="s">
        <v>101</v>
      </c>
      <c r="E30" s="106">
        <f>IFERROR(VLOOKUP("SV5_DEMAND",'Company 1'!$B:$E,4,0),"")</f>
        <v>0</v>
      </c>
      <c r="F30" s="106">
        <f>IFERROR(VLOOKUP("SV5_DEMAND",'Company 2'!$B:$E,4,0),"")</f>
        <v>0</v>
      </c>
      <c r="G30" s="106">
        <f>IFERROR(VLOOKUP("SV5_DEMAND",'Company 3'!$B:$E,4,0),"")</f>
        <v>0</v>
      </c>
      <c r="H30" s="106">
        <f>IFERROR(VLOOKUP("SV5_DEMAND",'Company 4'!$B:$E,4,0),"")</f>
        <v>0</v>
      </c>
      <c r="I30" s="106">
        <f>IFERROR(VLOOKUP("SV5_DEMAND",'Company 5'!$B:$E,4,0),"")</f>
        <v>1</v>
      </c>
      <c r="J30" s="106">
        <f>IFERROR(VLOOKUP("SV5_DEMAND",'Company 6'!$B:$E,4,0),"")</f>
        <v>1</v>
      </c>
      <c r="K30" s="106">
        <f>IFERROR(VLOOKUP("SV5_DEMAND",'Company 7'!$B:$E,4,0),"")</f>
        <v>0</v>
      </c>
      <c r="L30" s="106">
        <f>IFERROR(VLOOKUP("SV5_DEMAND",'Company 8'!$B:$E,4,0),"")</f>
        <v>0</v>
      </c>
      <c r="M30" s="106">
        <f>IFERROR(VLOOKUP("SV5_DEMAND",'Company 9'!$B:$E,4,0),"")</f>
        <v>1</v>
      </c>
      <c r="N30" s="106">
        <f>IFERROR(VLOOKUP("SV5_DEMAND",'Company 10'!$B:$E,4,0),"")</f>
        <v>0</v>
      </c>
      <c r="O30" s="106">
        <f>IFERROR(VLOOKUP("SV5_DEMAND",'Company 11'!$B:$E,4,0),"")</f>
        <v>0</v>
      </c>
      <c r="P30" s="106">
        <f>IFERROR(VLOOKUP("SV5_DEMAND",'Company 12'!$B:$E,4,0),"")</f>
        <v>1</v>
      </c>
      <c r="Q30" s="106">
        <f>IFERROR(VLOOKUP("SV5_DEMAND",'Company 13'!$B:$E,4,0),"")</f>
        <v>0</v>
      </c>
      <c r="R30" s="106" t="str">
        <f>IFERROR(VLOOKUP("SV5_DEMAND",#REF!,4,0),"")</f>
        <v/>
      </c>
      <c r="S30" s="106" t="str">
        <f>IFERROR(VLOOKUP("SV5_DEMAND",#REF!,4,0),"")</f>
        <v/>
      </c>
      <c r="T30" s="106" t="str">
        <f>IFERROR(VLOOKUP("SV5_DEMAND",#REF!,4,0),"")</f>
        <v/>
      </c>
      <c r="U30" s="106" t="str">
        <f>IFERROR(VLOOKUP("SV5_DEMAND",#REF!,4,0),"")</f>
        <v/>
      </c>
      <c r="V30" s="106">
        <f>IFERROR(VLOOKUP("SV5_DEMAND",'Company 18'!$B:$E,4,0),"")</f>
        <v>0</v>
      </c>
      <c r="W30" s="106">
        <f>IFERROR(VLOOKUP("SV5_DEMAND",'Company 19'!$B:$E,4,0),"")</f>
        <v>0</v>
      </c>
      <c r="X30" s="106">
        <f>IFERROR(VLOOKUP("SV5_DEMAND",'Company 20'!$B:$E,4,0),"")</f>
        <v>0</v>
      </c>
      <c r="Y30" s="106">
        <f>IFERROR(VLOOKUP("SV5_DEMAND",'Company 21'!$B:$E,4,0),"")</f>
        <v>0</v>
      </c>
      <c r="Z30" s="106">
        <f>IFERROR(VLOOKUP("SV5_DEMAND",'Company 22'!$B:$E,4,0),"")</f>
        <v>0</v>
      </c>
      <c r="AA30" s="106">
        <f>IFERROR(VLOOKUP("SV5_DEMAND",'Company 23'!$B:$E,4,0),"")</f>
        <v>0</v>
      </c>
      <c r="AB30" s="106">
        <f>IFERROR(VLOOKUP("SV5_DEMAND",'Company 24'!$B:$E,4,0),"")</f>
        <v>0</v>
      </c>
      <c r="AC30" s="106">
        <f>IFERROR(VLOOKUP("SV5_DEMAND",'Company 25'!$B:$E,4,0),"")</f>
        <v>0</v>
      </c>
      <c r="AD30" s="106">
        <f>IFERROR(VLOOKUP("SV5_DEMAND",'Company 26'!$B:$E,4,0),"")</f>
        <v>0</v>
      </c>
      <c r="AE30" s="106">
        <f>IFERROR(VLOOKUP("SV5_DEMAND",'Company 27'!$B:$E,4,0),"")</f>
        <v>0</v>
      </c>
      <c r="AF30" s="106">
        <f>IFERROR(VLOOKUP("SV5_DEMAND",'Company 28'!$B:$E,4,0),"")</f>
        <v>0</v>
      </c>
      <c r="AG30" s="106">
        <f>IFERROR(VLOOKUP("SV5_DEMAND",'Company 29'!$B:$E,4,0),"")</f>
        <v>0</v>
      </c>
      <c r="AH30" s="106">
        <f>IFERROR(VLOOKUP("SV5_DEMAND",'Company 30'!$B:$E,4,0),"")</f>
        <v>0</v>
      </c>
    </row>
    <row r="31" spans="2:34" ht="24.95" customHeight="1">
      <c r="B31" s="113" t="s">
        <v>87</v>
      </c>
      <c r="C31" s="114" t="s">
        <v>103</v>
      </c>
      <c r="D31" s="42" t="s">
        <v>104</v>
      </c>
      <c r="E31" s="106">
        <f>IFERROR(VLOOKUP("SV6_ACCOUNT",'Company 1'!$B:$E,4,0),"")</f>
        <v>0</v>
      </c>
      <c r="F31" s="106">
        <f>IFERROR(VLOOKUP("SV6_ACCOUNT",'Company 2'!$B:$E,4,0),"")</f>
        <v>0</v>
      </c>
      <c r="G31" s="106">
        <f>IFERROR(VLOOKUP("SV6_ACCOUNT",'Company 3'!$B:$E,4,0),"")</f>
        <v>0</v>
      </c>
      <c r="H31" s="106">
        <f>IFERROR(VLOOKUP("SV6_ACCOUNT",'Company 4'!$B:$E,4,0),"")</f>
        <v>1</v>
      </c>
      <c r="I31" s="106">
        <f>IFERROR(VLOOKUP("SV6_ACCOUNT",'Company 5'!$B:$E,4,0),"")</f>
        <v>1</v>
      </c>
      <c r="J31" s="106">
        <f>IFERROR(VLOOKUP("SV6_ACCOUNT",'Company 6'!$B:$E,4,0),"")</f>
        <v>1</v>
      </c>
      <c r="K31" s="106">
        <f>IFERROR(VLOOKUP("SV6_ACCOUNT",'Company 7'!$B:$E,4,0),"")</f>
        <v>0</v>
      </c>
      <c r="L31" s="106">
        <f>IFERROR(VLOOKUP("SV6_ACCOUNT",'Company 8'!$B:$E,4,0),"")</f>
        <v>0</v>
      </c>
      <c r="M31" s="106">
        <f>IFERROR(VLOOKUP("SV6_ACCOUNT",'Company 9'!$B:$E,4,0),"")</f>
        <v>0</v>
      </c>
      <c r="N31" s="106">
        <f>IFERROR(VLOOKUP("SV6_ACCOUNT",'Company 10'!$B:$E,4,0),"")</f>
        <v>0</v>
      </c>
      <c r="O31" s="106">
        <f>IFERROR(VLOOKUP("SV6_ACCOUNT",'Company 11'!$B:$E,4,0),"")</f>
        <v>0</v>
      </c>
      <c r="P31" s="106">
        <f>IFERROR(VLOOKUP("SV6_ACCOUNT",'Company 12'!$B:$E,4,0),"")</f>
        <v>0</v>
      </c>
      <c r="Q31" s="106">
        <f>IFERROR(VLOOKUP("SV6_ACCOUNT",'Company 13'!$B:$E,4,0),"")</f>
        <v>0</v>
      </c>
      <c r="R31" s="106" t="str">
        <f>IFERROR(VLOOKUP("SV6_ACCOUNT",#REF!,4,0),"")</f>
        <v/>
      </c>
      <c r="S31" s="106" t="str">
        <f>IFERROR(VLOOKUP("SV6_ACCOUNT",#REF!,4,0),"")</f>
        <v/>
      </c>
      <c r="T31" s="106" t="str">
        <f>IFERROR(VLOOKUP("SV6_ACCOUNT",#REF!,4,0),"")</f>
        <v/>
      </c>
      <c r="U31" s="106" t="str">
        <f>IFERROR(VLOOKUP("SV6_ACCOUNT",#REF!,4,0),"")</f>
        <v/>
      </c>
      <c r="V31" s="106">
        <f>IFERROR(VLOOKUP("SV6_ACCOUNT",'Company 18'!$B:$E,4,0),"")</f>
        <v>0</v>
      </c>
      <c r="W31" s="106">
        <f>IFERROR(VLOOKUP("SV6_ACCOUNT",'Company 19'!$B:$E,4,0),"")</f>
        <v>0</v>
      </c>
      <c r="X31" s="106">
        <f>IFERROR(VLOOKUP("SV6_ACCOUNT",'Company 20'!$B:$E,4,0),"")</f>
        <v>0</v>
      </c>
      <c r="Y31" s="106">
        <f>IFERROR(VLOOKUP("SV6_ACCOUNT",'Company 21'!$B:$E,4,0),"")</f>
        <v>0</v>
      </c>
      <c r="Z31" s="106">
        <f>IFERROR(VLOOKUP("SV6_ACCOUNT",'Company 22'!$B:$E,4,0),"")</f>
        <v>0</v>
      </c>
      <c r="AA31" s="106">
        <f>IFERROR(VLOOKUP("SV6_ACCOUNT",'Company 23'!$B:$E,4,0),"")</f>
        <v>0</v>
      </c>
      <c r="AB31" s="106">
        <f>IFERROR(VLOOKUP("SV6_ACCOUNT",'Company 24'!$B:$E,4,0),"")</f>
        <v>0</v>
      </c>
      <c r="AC31" s="106">
        <f>IFERROR(VLOOKUP("SV6_ACCOUNT",'Company 25'!$B:$E,4,0),"")</f>
        <v>0</v>
      </c>
      <c r="AD31" s="106">
        <f>IFERROR(VLOOKUP("SV6_ACCOUNT",'Company 26'!$B:$E,4,0),"")</f>
        <v>0</v>
      </c>
      <c r="AE31" s="106">
        <f>IFERROR(VLOOKUP("SV6_ACCOUNT",'Company 27'!$B:$E,4,0),"")</f>
        <v>0</v>
      </c>
      <c r="AF31" s="106">
        <f>IFERROR(VLOOKUP("SV6_ACCOUNT",'Company 28'!$B:$E,4,0),"")</f>
        <v>0</v>
      </c>
      <c r="AG31" s="106">
        <f>IFERROR(VLOOKUP("SV6_ACCOUNT",'Company 29'!$B:$E,4,0),"")</f>
        <v>0</v>
      </c>
      <c r="AH31" s="106">
        <f>IFERROR(VLOOKUP("SV6_ACCOUNT",'Company 30'!$B:$E,4,0),"")</f>
        <v>0</v>
      </c>
    </row>
    <row r="32" spans="2:34" ht="24.95" customHeight="1">
      <c r="B32" s="113" t="s">
        <v>87</v>
      </c>
      <c r="C32" s="114" t="s">
        <v>106</v>
      </c>
      <c r="D32" s="42" t="s">
        <v>107</v>
      </c>
      <c r="E32" s="106">
        <f>IFERROR(VLOOKUP("SV7_OPS",'Company 1'!$B:$E,4,0),"")</f>
        <v>0</v>
      </c>
      <c r="F32" s="106">
        <f>IFERROR(VLOOKUP("SV7_OPS",'Company 2'!$B:$E,4,0),"")</f>
        <v>0</v>
      </c>
      <c r="G32" s="106">
        <f>IFERROR(VLOOKUP("SV7_OPS",'Company 3'!$B:$E,4,0),"")</f>
        <v>0</v>
      </c>
      <c r="H32" s="106">
        <f>IFERROR(VLOOKUP("SV7_OPS",'Company 4'!$B:$E,4,0),"")</f>
        <v>1</v>
      </c>
      <c r="I32" s="106">
        <f>IFERROR(VLOOKUP("SV7_OPS",'Company 5'!$B:$E,4,0),"")</f>
        <v>1</v>
      </c>
      <c r="J32" s="106">
        <f>IFERROR(VLOOKUP("SV7_OPS",'Company 6'!$B:$E,4,0),"")</f>
        <v>1</v>
      </c>
      <c r="K32" s="106">
        <f>IFERROR(VLOOKUP("SV7_OPS",'Company 7'!$B:$E,4,0),"")</f>
        <v>1</v>
      </c>
      <c r="L32" s="106">
        <f>IFERROR(VLOOKUP("SV7_OPS",'Company 8'!$B:$E,4,0),"")</f>
        <v>0</v>
      </c>
      <c r="M32" s="106">
        <f>IFERROR(VLOOKUP("SV7_OPS",'Company 9'!$B:$E,4,0),"")</f>
        <v>0</v>
      </c>
      <c r="N32" s="106">
        <f>IFERROR(VLOOKUP("SV7_OPS",'Company 10'!$B:$E,4,0),"")</f>
        <v>0</v>
      </c>
      <c r="O32" s="106">
        <f>IFERROR(VLOOKUP("SV7_OPS",'Company 11'!$B:$E,4,0),"")</f>
        <v>0</v>
      </c>
      <c r="P32" s="106">
        <f>IFERROR(VLOOKUP("SV7_OPS",'Company 12'!$B:$E,4,0),"")</f>
        <v>0</v>
      </c>
      <c r="Q32" s="106">
        <f>IFERROR(VLOOKUP("SV7_OPS",'Company 13'!$B:$E,4,0),"")</f>
        <v>1</v>
      </c>
      <c r="R32" s="106" t="str">
        <f>IFERROR(VLOOKUP("SV7_OPS",#REF!,4,0),"")</f>
        <v/>
      </c>
      <c r="S32" s="106" t="str">
        <f>IFERROR(VLOOKUP("SV7_OPS",#REF!,4,0),"")</f>
        <v/>
      </c>
      <c r="T32" s="106" t="str">
        <f>IFERROR(VLOOKUP("SV7_OPS",#REF!,4,0),"")</f>
        <v/>
      </c>
      <c r="U32" s="106" t="str">
        <f>IFERROR(VLOOKUP("SV7_OPS",#REF!,4,0),"")</f>
        <v/>
      </c>
      <c r="V32" s="106">
        <f>IFERROR(VLOOKUP("SV7_OPS",'Company 18'!$B:$E,4,0),"")</f>
        <v>0</v>
      </c>
      <c r="W32" s="106">
        <f>IFERROR(VLOOKUP("SV7_OPS",'Company 19'!$B:$E,4,0),"")</f>
        <v>0</v>
      </c>
      <c r="X32" s="106">
        <f>IFERROR(VLOOKUP("SV7_OPS",'Company 20'!$B:$E,4,0),"")</f>
        <v>0</v>
      </c>
      <c r="Y32" s="106">
        <f>IFERROR(VLOOKUP("SV7_OPS",'Company 21'!$B:$E,4,0),"")</f>
        <v>0</v>
      </c>
      <c r="Z32" s="106">
        <f>IFERROR(VLOOKUP("SV7_OPS",'Company 22'!$B:$E,4,0),"")</f>
        <v>0</v>
      </c>
      <c r="AA32" s="106">
        <f>IFERROR(VLOOKUP("SV7_OPS",'Company 23'!$B:$E,4,0),"")</f>
        <v>0</v>
      </c>
      <c r="AB32" s="106">
        <f>IFERROR(VLOOKUP("SV7_OPS",'Company 24'!$B:$E,4,0),"")</f>
        <v>0</v>
      </c>
      <c r="AC32" s="106">
        <f>IFERROR(VLOOKUP("SV7_OPS",'Company 25'!$B:$E,4,0),"")</f>
        <v>0</v>
      </c>
      <c r="AD32" s="106">
        <f>IFERROR(VLOOKUP("SV7_OPS",'Company 26'!$B:$E,4,0),"")</f>
        <v>0</v>
      </c>
      <c r="AE32" s="106">
        <f>IFERROR(VLOOKUP("SV7_OPS",'Company 27'!$B:$E,4,0),"")</f>
        <v>0</v>
      </c>
      <c r="AF32" s="106">
        <f>IFERROR(VLOOKUP("SV7_OPS",'Company 28'!$B:$E,4,0),"")</f>
        <v>0</v>
      </c>
      <c r="AG32" s="106">
        <f>IFERROR(VLOOKUP("SV7_OPS",'Company 29'!$B:$E,4,0),"")</f>
        <v>0</v>
      </c>
      <c r="AH32" s="106">
        <f>IFERROR(VLOOKUP("SV7_OPS",'Company 30'!$B:$E,4,0),"")</f>
        <v>0</v>
      </c>
    </row>
    <row r="33" spans="2:34" ht="18" customHeight="1">
      <c r="B33" s="102" t="s">
        <v>210</v>
      </c>
      <c r="C33" s="103"/>
      <c r="D33" s="103"/>
      <c r="E33" s="103"/>
      <c r="F33" s="103"/>
      <c r="G33" s="103"/>
      <c r="H33" s="103"/>
      <c r="I33" s="103"/>
      <c r="J33" s="103"/>
      <c r="K33" s="103"/>
      <c r="L33" s="103"/>
      <c r="M33" s="103"/>
      <c r="N33" s="103"/>
      <c r="O33" s="103"/>
      <c r="P33" s="103"/>
      <c r="Q33" s="103"/>
      <c r="R33" s="103"/>
      <c r="S33" s="103"/>
      <c r="T33" s="103"/>
      <c r="U33" s="103"/>
      <c r="V33" s="103"/>
      <c r="W33" s="103"/>
      <c r="X33" s="103"/>
      <c r="Y33" s="103"/>
      <c r="Z33" s="103"/>
      <c r="AA33" s="103"/>
      <c r="AB33" s="103"/>
      <c r="AC33" s="103"/>
      <c r="AD33" s="103"/>
      <c r="AE33" s="103"/>
      <c r="AF33" s="103"/>
      <c r="AG33" s="103"/>
      <c r="AH33" s="103"/>
    </row>
    <row r="34" spans="2:34" ht="24.95" customHeight="1">
      <c r="B34" s="115" t="s">
        <v>109</v>
      </c>
      <c r="C34" s="116" t="s">
        <v>110</v>
      </c>
      <c r="D34" s="42" t="s">
        <v>111</v>
      </c>
      <c r="E34" s="106">
        <f>IFERROR(VLOOKUP("SC1_DATASENS",'Company 1'!$B:$E,4,0),"")</f>
        <v>1</v>
      </c>
      <c r="F34" s="106">
        <f>IFERROR(VLOOKUP("SC1_DATASENS",'Company 2'!$B:$E,4,0),"")</f>
        <v>1</v>
      </c>
      <c r="G34" s="106">
        <f>IFERROR(VLOOKUP("SC1_DATASENS",'Company 3'!$B:$E,4,0),"")</f>
        <v>1</v>
      </c>
      <c r="H34" s="106">
        <f>IFERROR(VLOOKUP("SC1_DATASENS",'Company 4'!$B:$E,4,0),"")</f>
        <v>1</v>
      </c>
      <c r="I34" s="106">
        <f>IFERROR(VLOOKUP("SC1_DATASENS",'Company 5'!$B:$E,4,0),"")</f>
        <v>1</v>
      </c>
      <c r="J34" s="106">
        <f>IFERROR(VLOOKUP("SC1_DATASENS",'Company 6'!$B:$E,4,0),"")</f>
        <v>1</v>
      </c>
      <c r="K34" s="106">
        <f>IFERROR(VLOOKUP("SC1_DATASENS",'Company 7'!$B:$E,4,0),"")</f>
        <v>0</v>
      </c>
      <c r="L34" s="106">
        <f>IFERROR(VLOOKUP("SC1_DATASENS",'Company 8'!$B:$E,4,0),"")</f>
        <v>1</v>
      </c>
      <c r="M34" s="106">
        <f>IFERROR(VLOOKUP("SC1_DATASENS",'Company 9'!$B:$E,4,0),"")</f>
        <v>1</v>
      </c>
      <c r="N34" s="106">
        <f>IFERROR(VLOOKUP("SC1_DATASENS",'Company 10'!$B:$E,4,0),"")</f>
        <v>1</v>
      </c>
      <c r="O34" s="106">
        <f>IFERROR(VLOOKUP("SC1_DATASENS",'Company 11'!$B:$E,4,0),"")</f>
        <v>1</v>
      </c>
      <c r="P34" s="106">
        <f>IFERROR(VLOOKUP("SC1_DATASENS",'Company 12'!$B:$E,4,0),"")</f>
        <v>1</v>
      </c>
      <c r="Q34" s="106">
        <f>IFERROR(VLOOKUP("SC1_DATASENS",'Company 13'!$B:$E,4,0),"")</f>
        <v>1</v>
      </c>
      <c r="R34" s="106" t="str">
        <f>IFERROR(VLOOKUP("SC1_DATASENS",#REF!,4,0),"")</f>
        <v/>
      </c>
      <c r="S34" s="106" t="str">
        <f>IFERROR(VLOOKUP("SC1_DATASENS",#REF!,4,0),"")</f>
        <v/>
      </c>
      <c r="T34" s="106" t="str">
        <f>IFERROR(VLOOKUP("SC1_DATASENS",#REF!,4,0),"")</f>
        <v/>
      </c>
      <c r="U34" s="106" t="str">
        <f>IFERROR(VLOOKUP("SC1_DATASENS",#REF!,4,0),"")</f>
        <v/>
      </c>
      <c r="V34" s="106">
        <f>IFERROR(VLOOKUP("SC1_DATASENS",'Company 18'!$B:$E,4,0),"")</f>
        <v>0</v>
      </c>
      <c r="W34" s="106">
        <f>IFERROR(VLOOKUP("SC1_DATASENS",'Company 19'!$B:$E,4,0),"")</f>
        <v>0</v>
      </c>
      <c r="X34" s="106">
        <f>IFERROR(VLOOKUP("SC1_DATASENS",'Company 20'!$B:$E,4,0),"")</f>
        <v>0</v>
      </c>
      <c r="Y34" s="106">
        <f>IFERROR(VLOOKUP("SC1_DATASENS",'Company 21'!$B:$E,4,0),"")</f>
        <v>0</v>
      </c>
      <c r="Z34" s="106">
        <f>IFERROR(VLOOKUP("SC1_DATASENS",'Company 22'!$B:$E,4,0),"")</f>
        <v>0</v>
      </c>
      <c r="AA34" s="106">
        <f>IFERROR(VLOOKUP("SC1_DATASENS",'Company 23'!$B:$E,4,0),"")</f>
        <v>0</v>
      </c>
      <c r="AB34" s="106">
        <f>IFERROR(VLOOKUP("SC1_DATASENS",'Company 24'!$B:$E,4,0),"")</f>
        <v>0</v>
      </c>
      <c r="AC34" s="106">
        <f>IFERROR(VLOOKUP("SC1_DATASENS",'Company 25'!$B:$E,4,0),"")</f>
        <v>0</v>
      </c>
      <c r="AD34" s="106">
        <f>IFERROR(VLOOKUP("SC1_DATASENS",'Company 26'!$B:$E,4,0),"")</f>
        <v>0</v>
      </c>
      <c r="AE34" s="106">
        <f>IFERROR(VLOOKUP("SC1_DATASENS",'Company 27'!$B:$E,4,0),"")</f>
        <v>0</v>
      </c>
      <c r="AF34" s="106">
        <f>IFERROR(VLOOKUP("SC1_DATASENS",'Company 28'!$B:$E,4,0),"")</f>
        <v>0</v>
      </c>
      <c r="AG34" s="106">
        <f>IFERROR(VLOOKUP("SC1_DATASENS",'Company 29'!$B:$E,4,0),"")</f>
        <v>0</v>
      </c>
      <c r="AH34" s="106">
        <f>IFERROR(VLOOKUP("SC1_DATASENS",'Company 30'!$B:$E,4,0),"")</f>
        <v>0</v>
      </c>
    </row>
    <row r="35" spans="2:34" ht="24.95" customHeight="1">
      <c r="B35" s="115" t="s">
        <v>109</v>
      </c>
      <c r="C35" s="116" t="s">
        <v>113</v>
      </c>
      <c r="D35" s="42" t="s">
        <v>114</v>
      </c>
      <c r="E35" s="106">
        <f>IFERROR(VLOOKUP("SC2_COMPLIANCE",'Company 1'!$B:$E,4,0),"")</f>
        <v>0</v>
      </c>
      <c r="F35" s="106">
        <f>IFERROR(VLOOKUP("SC2_COMPLIANCE",'Company 2'!$B:$E,4,0),"")</f>
        <v>1</v>
      </c>
      <c r="G35" s="106">
        <f>IFERROR(VLOOKUP("SC2_COMPLIANCE",'Company 3'!$B:$E,4,0),"")</f>
        <v>1</v>
      </c>
      <c r="H35" s="106">
        <f>IFERROR(VLOOKUP("SC2_COMPLIANCE",'Company 4'!$B:$E,4,0),"")</f>
        <v>1</v>
      </c>
      <c r="I35" s="106">
        <f>IFERROR(VLOOKUP("SC2_COMPLIANCE",'Company 5'!$B:$E,4,0),"")</f>
        <v>0</v>
      </c>
      <c r="J35" s="106">
        <f>IFERROR(VLOOKUP("SC2_COMPLIANCE",'Company 6'!$B:$E,4,0),"")</f>
        <v>1</v>
      </c>
      <c r="K35" s="106">
        <f>IFERROR(VLOOKUP("SC2_COMPLIANCE",'Company 7'!$B:$E,4,0),"")</f>
        <v>0</v>
      </c>
      <c r="L35" s="106">
        <f>IFERROR(VLOOKUP("SC2_COMPLIANCE",'Company 8'!$B:$E,4,0),"")</f>
        <v>1</v>
      </c>
      <c r="M35" s="106">
        <f>IFERROR(VLOOKUP("SC2_COMPLIANCE",'Company 9'!$B:$E,4,0),"")</f>
        <v>0</v>
      </c>
      <c r="N35" s="106">
        <f>IFERROR(VLOOKUP("SC2_COMPLIANCE",'Company 10'!$B:$E,4,0),"")</f>
        <v>1</v>
      </c>
      <c r="O35" s="106">
        <f>IFERROR(VLOOKUP("SC2_COMPLIANCE",'Company 11'!$B:$E,4,0),"")</f>
        <v>0</v>
      </c>
      <c r="P35" s="106">
        <f>IFERROR(VLOOKUP("SC2_COMPLIANCE",'Company 12'!$B:$E,4,0),"")</f>
        <v>1</v>
      </c>
      <c r="Q35" s="106">
        <f>IFERROR(VLOOKUP("SC2_COMPLIANCE",'Company 13'!$B:$E,4,0),"")</f>
        <v>1</v>
      </c>
      <c r="R35" s="106" t="str">
        <f>IFERROR(VLOOKUP("SC2_COMPLIANCE",#REF!,4,0),"")</f>
        <v/>
      </c>
      <c r="S35" s="106" t="str">
        <f>IFERROR(VLOOKUP("SC2_COMPLIANCE",#REF!,4,0),"")</f>
        <v/>
      </c>
      <c r="T35" s="106" t="str">
        <f>IFERROR(VLOOKUP("SC2_COMPLIANCE",#REF!,4,0),"")</f>
        <v/>
      </c>
      <c r="U35" s="106" t="str">
        <f>IFERROR(VLOOKUP("SC2_COMPLIANCE",#REF!,4,0),"")</f>
        <v/>
      </c>
      <c r="V35" s="106">
        <f>IFERROR(VLOOKUP("SC2_COMPLIANCE",'Company 18'!$B:$E,4,0),"")</f>
        <v>0</v>
      </c>
      <c r="W35" s="106">
        <f>IFERROR(VLOOKUP("SC2_COMPLIANCE",'Company 19'!$B:$E,4,0),"")</f>
        <v>0</v>
      </c>
      <c r="X35" s="106">
        <f>IFERROR(VLOOKUP("SC2_COMPLIANCE",'Company 20'!$B:$E,4,0),"")</f>
        <v>0</v>
      </c>
      <c r="Y35" s="106">
        <f>IFERROR(VLOOKUP("SC2_COMPLIANCE",'Company 21'!$B:$E,4,0),"")</f>
        <v>0</v>
      </c>
      <c r="Z35" s="106">
        <f>IFERROR(VLOOKUP("SC2_COMPLIANCE",'Company 22'!$B:$E,4,0),"")</f>
        <v>0</v>
      </c>
      <c r="AA35" s="106">
        <f>IFERROR(VLOOKUP("SC2_COMPLIANCE",'Company 23'!$B:$E,4,0),"")</f>
        <v>0</v>
      </c>
      <c r="AB35" s="106">
        <f>IFERROR(VLOOKUP("SC2_COMPLIANCE",'Company 24'!$B:$E,4,0),"")</f>
        <v>0</v>
      </c>
      <c r="AC35" s="106">
        <f>IFERROR(VLOOKUP("SC2_COMPLIANCE",'Company 25'!$B:$E,4,0),"")</f>
        <v>0</v>
      </c>
      <c r="AD35" s="106">
        <f>IFERROR(VLOOKUP("SC2_COMPLIANCE",'Company 26'!$B:$E,4,0),"")</f>
        <v>0</v>
      </c>
      <c r="AE35" s="106">
        <f>IFERROR(VLOOKUP("SC2_COMPLIANCE",'Company 27'!$B:$E,4,0),"")</f>
        <v>0</v>
      </c>
      <c r="AF35" s="106">
        <f>IFERROR(VLOOKUP("SC2_COMPLIANCE",'Company 28'!$B:$E,4,0),"")</f>
        <v>0</v>
      </c>
      <c r="AG35" s="106">
        <f>IFERROR(VLOOKUP("SC2_COMPLIANCE",'Company 29'!$B:$E,4,0),"")</f>
        <v>0</v>
      </c>
      <c r="AH35" s="106">
        <f>IFERROR(VLOOKUP("SC2_COMPLIANCE",'Company 30'!$B:$E,4,0),"")</f>
        <v>0</v>
      </c>
    </row>
    <row r="36" spans="2:34" ht="24.95" customHeight="1">
      <c r="B36" s="115" t="s">
        <v>109</v>
      </c>
      <c r="C36" s="116" t="s">
        <v>116</v>
      </c>
      <c r="D36" s="42" t="s">
        <v>117</v>
      </c>
      <c r="E36" s="106">
        <f>IFERROR(VLOOKUP("SC3_TRUST",'Company 1'!$B:$E,4,0),"")</f>
        <v>0</v>
      </c>
      <c r="F36" s="106">
        <f>IFERROR(VLOOKUP("SC3_TRUST",'Company 2'!$B:$E,4,0),"")</f>
        <v>0</v>
      </c>
      <c r="G36" s="106">
        <f>IFERROR(VLOOKUP("SC3_TRUST",'Company 3'!$B:$E,4,0),"")</f>
        <v>1</v>
      </c>
      <c r="H36" s="106">
        <f>IFERROR(VLOOKUP("SC3_TRUST",'Company 4'!$B:$E,4,0),"")</f>
        <v>1</v>
      </c>
      <c r="I36" s="106">
        <f>IFERROR(VLOOKUP("SC3_TRUST",'Company 5'!$B:$E,4,0),"")</f>
        <v>1</v>
      </c>
      <c r="J36" s="106">
        <f>IFERROR(VLOOKUP("SC3_TRUST",'Company 6'!$B:$E,4,0),"")</f>
        <v>1</v>
      </c>
      <c r="K36" s="106">
        <f>IFERROR(VLOOKUP("SC3_TRUST",'Company 7'!$B:$E,4,0),"")</f>
        <v>0</v>
      </c>
      <c r="L36" s="106">
        <f>IFERROR(VLOOKUP("SC3_TRUST",'Company 8'!$B:$E,4,0),"")</f>
        <v>0</v>
      </c>
      <c r="M36" s="106">
        <f>IFERROR(VLOOKUP("SC3_TRUST",'Company 9'!$B:$E,4,0),"")</f>
        <v>0</v>
      </c>
      <c r="N36" s="106">
        <f>IFERROR(VLOOKUP("SC3_TRUST",'Company 10'!$B:$E,4,0),"")</f>
        <v>0</v>
      </c>
      <c r="O36" s="106">
        <f>IFERROR(VLOOKUP("SC3_TRUST",'Company 11'!$B:$E,4,0),"")</f>
        <v>0</v>
      </c>
      <c r="P36" s="106">
        <f>IFERROR(VLOOKUP("SC3_TRUST",'Company 12'!$B:$E,4,0),"")</f>
        <v>0</v>
      </c>
      <c r="Q36" s="106">
        <f>IFERROR(VLOOKUP("SC3_TRUST",'Company 13'!$B:$E,4,0),"")</f>
        <v>1</v>
      </c>
      <c r="R36" s="106" t="str">
        <f>IFERROR(VLOOKUP("SC3_TRUST",#REF!,4,0),"")</f>
        <v/>
      </c>
      <c r="S36" s="106" t="str">
        <f>IFERROR(VLOOKUP("SC3_TRUST",#REF!,4,0),"")</f>
        <v/>
      </c>
      <c r="T36" s="106" t="str">
        <f>IFERROR(VLOOKUP("SC3_TRUST",#REF!,4,0),"")</f>
        <v/>
      </c>
      <c r="U36" s="106" t="str">
        <f>IFERROR(VLOOKUP("SC3_TRUST",#REF!,4,0),"")</f>
        <v/>
      </c>
      <c r="V36" s="106">
        <f>IFERROR(VLOOKUP("SC3_TRUST",'Company 18'!$B:$E,4,0),"")</f>
        <v>0</v>
      </c>
      <c r="W36" s="106">
        <f>IFERROR(VLOOKUP("SC3_TRUST",'Company 19'!$B:$E,4,0),"")</f>
        <v>0</v>
      </c>
      <c r="X36" s="106">
        <f>IFERROR(VLOOKUP("SC3_TRUST",'Company 20'!$B:$E,4,0),"")</f>
        <v>0</v>
      </c>
      <c r="Y36" s="106">
        <f>IFERROR(VLOOKUP("SC3_TRUST",'Company 21'!$B:$E,4,0),"")</f>
        <v>0</v>
      </c>
      <c r="Z36" s="106">
        <f>IFERROR(VLOOKUP("SC3_TRUST",'Company 22'!$B:$E,4,0),"")</f>
        <v>0</v>
      </c>
      <c r="AA36" s="106">
        <f>IFERROR(VLOOKUP("SC3_TRUST",'Company 23'!$B:$E,4,0),"")</f>
        <v>0</v>
      </c>
      <c r="AB36" s="106">
        <f>IFERROR(VLOOKUP("SC3_TRUST",'Company 24'!$B:$E,4,0),"")</f>
        <v>0</v>
      </c>
      <c r="AC36" s="106">
        <f>IFERROR(VLOOKUP("SC3_TRUST",'Company 25'!$B:$E,4,0),"")</f>
        <v>0</v>
      </c>
      <c r="AD36" s="106">
        <f>IFERROR(VLOOKUP("SC3_TRUST",'Company 26'!$B:$E,4,0),"")</f>
        <v>0</v>
      </c>
      <c r="AE36" s="106">
        <f>IFERROR(VLOOKUP("SC3_TRUST",'Company 27'!$B:$E,4,0),"")</f>
        <v>0</v>
      </c>
      <c r="AF36" s="106">
        <f>IFERROR(VLOOKUP("SC3_TRUST",'Company 28'!$B:$E,4,0),"")</f>
        <v>0</v>
      </c>
      <c r="AG36" s="106">
        <f>IFERROR(VLOOKUP("SC3_TRUST",'Company 29'!$B:$E,4,0),"")</f>
        <v>0</v>
      </c>
      <c r="AH36" s="106">
        <f>IFERROR(VLOOKUP("SC3_TRUST",'Company 30'!$B:$E,4,0),"")</f>
        <v>0</v>
      </c>
    </row>
    <row r="37" spans="2:34" ht="24.95" customHeight="1">
      <c r="B37" s="115" t="s">
        <v>109</v>
      </c>
      <c r="C37" s="116" t="s">
        <v>119</v>
      </c>
      <c r="D37" s="42" t="s">
        <v>120</v>
      </c>
      <c r="E37" s="106">
        <f>IFERROR(VLOOKUP("SC4_DATAPROC",'Company 1'!$B:$E,4,0),"")</f>
        <v>0</v>
      </c>
      <c r="F37" s="106">
        <f>IFERROR(VLOOKUP("SC4_DATAPROC",'Company 2'!$B:$E,4,0),"")</f>
        <v>1</v>
      </c>
      <c r="G37" s="106">
        <f>IFERROR(VLOOKUP("SC4_DATAPROC",'Company 3'!$B:$E,4,0),"")</f>
        <v>1</v>
      </c>
      <c r="H37" s="106">
        <f>IFERROR(VLOOKUP("SC4_DATAPROC",'Company 4'!$B:$E,4,0),"")</f>
        <v>1</v>
      </c>
      <c r="I37" s="106">
        <f>IFERROR(VLOOKUP("SC4_DATAPROC",'Company 5'!$B:$E,4,0),"")</f>
        <v>1</v>
      </c>
      <c r="J37" s="106">
        <f>IFERROR(VLOOKUP("SC4_DATAPROC",'Company 6'!$B:$E,4,0),"")</f>
        <v>1</v>
      </c>
      <c r="K37" s="106">
        <f>IFERROR(VLOOKUP("SC4_DATAPROC",'Company 7'!$B:$E,4,0),"")</f>
        <v>1</v>
      </c>
      <c r="L37" s="106">
        <f>IFERROR(VLOOKUP("SC4_DATAPROC",'Company 8'!$B:$E,4,0),"")</f>
        <v>0</v>
      </c>
      <c r="M37" s="106">
        <f>IFERROR(VLOOKUP("SC4_DATAPROC",'Company 9'!$B:$E,4,0),"")</f>
        <v>0</v>
      </c>
      <c r="N37" s="106">
        <f>IFERROR(VLOOKUP("SC4_DATAPROC",'Company 10'!$B:$E,4,0),"")</f>
        <v>1</v>
      </c>
      <c r="O37" s="106">
        <f>IFERROR(VLOOKUP("SC4_DATAPROC",'Company 11'!$B:$E,4,0),"")</f>
        <v>1</v>
      </c>
      <c r="P37" s="106">
        <f>IFERROR(VLOOKUP("SC4_DATAPROC",'Company 12'!$B:$E,4,0),"")</f>
        <v>0</v>
      </c>
      <c r="Q37" s="106">
        <f>IFERROR(VLOOKUP("SC4_DATAPROC",'Company 13'!$B:$E,4,0),"")</f>
        <v>1</v>
      </c>
      <c r="R37" s="106" t="str">
        <f>IFERROR(VLOOKUP("SC4_DATAPROC",#REF!,4,0),"")</f>
        <v/>
      </c>
      <c r="S37" s="106" t="str">
        <f>IFERROR(VLOOKUP("SC4_DATAPROC",#REF!,4,0),"")</f>
        <v/>
      </c>
      <c r="T37" s="106" t="str">
        <f>IFERROR(VLOOKUP("SC4_DATAPROC",#REF!,4,0),"")</f>
        <v/>
      </c>
      <c r="U37" s="106" t="str">
        <f>IFERROR(VLOOKUP("SC4_DATAPROC",#REF!,4,0),"")</f>
        <v/>
      </c>
      <c r="V37" s="106">
        <f>IFERROR(VLOOKUP("SC4_DATAPROC",'Company 18'!$B:$E,4,0),"")</f>
        <v>0</v>
      </c>
      <c r="W37" s="106">
        <f>IFERROR(VLOOKUP("SC4_DATAPROC",'Company 19'!$B:$E,4,0),"")</f>
        <v>0</v>
      </c>
      <c r="X37" s="106">
        <f>IFERROR(VLOOKUP("SC4_DATAPROC",'Company 20'!$B:$E,4,0),"")</f>
        <v>0</v>
      </c>
      <c r="Y37" s="106">
        <f>IFERROR(VLOOKUP("SC4_DATAPROC",'Company 21'!$B:$E,4,0),"")</f>
        <v>0</v>
      </c>
      <c r="Z37" s="106">
        <f>IFERROR(VLOOKUP("SC4_DATAPROC",'Company 22'!$B:$E,4,0),"")</f>
        <v>0</v>
      </c>
      <c r="AA37" s="106">
        <f>IFERROR(VLOOKUP("SC4_DATAPROC",'Company 23'!$B:$E,4,0),"")</f>
        <v>0</v>
      </c>
      <c r="AB37" s="106">
        <f>IFERROR(VLOOKUP("SC4_DATAPROC",'Company 24'!$B:$E,4,0),"")</f>
        <v>0</v>
      </c>
      <c r="AC37" s="106">
        <f>IFERROR(VLOOKUP("SC4_DATAPROC",'Company 25'!$B:$E,4,0),"")</f>
        <v>0</v>
      </c>
      <c r="AD37" s="106">
        <f>IFERROR(VLOOKUP("SC4_DATAPROC",'Company 26'!$B:$E,4,0),"")</f>
        <v>0</v>
      </c>
      <c r="AE37" s="106">
        <f>IFERROR(VLOOKUP("SC4_DATAPROC",'Company 27'!$B:$E,4,0),"")</f>
        <v>0</v>
      </c>
      <c r="AF37" s="106">
        <f>IFERROR(VLOOKUP("SC4_DATAPROC",'Company 28'!$B:$E,4,0),"")</f>
        <v>0</v>
      </c>
      <c r="AG37" s="106">
        <f>IFERROR(VLOOKUP("SC4_DATAPROC",'Company 29'!$B:$E,4,0),"")</f>
        <v>0</v>
      </c>
      <c r="AH37" s="106">
        <f>IFERROR(VLOOKUP("SC4_DATAPROC",'Company 30'!$B:$E,4,0),"")</f>
        <v>0</v>
      </c>
    </row>
    <row r="38" spans="2:34" ht="18" customHeight="1">
      <c r="B38" s="107" t="s">
        <v>211</v>
      </c>
      <c r="C38" s="108"/>
      <c r="D38" s="108"/>
      <c r="E38" s="108"/>
      <c r="F38" s="108"/>
      <c r="G38" s="108"/>
      <c r="H38" s="108"/>
      <c r="I38" s="108"/>
      <c r="J38" s="108"/>
      <c r="K38" s="108"/>
      <c r="L38" s="108"/>
      <c r="M38" s="108"/>
      <c r="N38" s="108"/>
      <c r="O38" s="108"/>
      <c r="P38" s="108"/>
      <c r="Q38" s="108"/>
      <c r="R38" s="108"/>
      <c r="S38" s="108"/>
      <c r="T38" s="108"/>
      <c r="U38" s="108"/>
      <c r="V38" s="108"/>
      <c r="W38" s="108"/>
      <c r="X38" s="108"/>
      <c r="Y38" s="108"/>
      <c r="Z38" s="108"/>
      <c r="AA38" s="108"/>
      <c r="AB38" s="108"/>
      <c r="AC38" s="108"/>
      <c r="AD38" s="108"/>
      <c r="AE38" s="108"/>
      <c r="AF38" s="108"/>
      <c r="AG38" s="108"/>
      <c r="AH38" s="108"/>
    </row>
    <row r="39" spans="2:34" ht="24.95" customHeight="1">
      <c r="B39" s="109" t="s">
        <v>122</v>
      </c>
      <c r="C39" s="110" t="s">
        <v>123</v>
      </c>
      <c r="D39" s="42" t="s">
        <v>124</v>
      </c>
      <c r="E39" s="106">
        <f>IFERROR(VLOOKUP("SF1_REALTIME",'Company 1'!$B:$E,4,0),"")</f>
        <v>0</v>
      </c>
      <c r="F39" s="106">
        <f>IFERROR(VLOOKUP("SF1_REALTIME",'Company 2'!$B:$E,4,0),"")</f>
        <v>0</v>
      </c>
      <c r="G39" s="106">
        <f>IFERROR(VLOOKUP("SF1_REALTIME",'Company 3'!$B:$E,4,0),"")</f>
        <v>1</v>
      </c>
      <c r="H39" s="106">
        <f>IFERROR(VLOOKUP("SF1_REALTIME",'Company 4'!$B:$E,4,0),"")</f>
        <v>0</v>
      </c>
      <c r="I39" s="106">
        <f>IFERROR(VLOOKUP("SF1_REALTIME",'Company 5'!$B:$E,4,0),"")</f>
        <v>1</v>
      </c>
      <c r="J39" s="106">
        <f>IFERROR(VLOOKUP("SF1_REALTIME",'Company 6'!$B:$E,4,0),"")</f>
        <v>1</v>
      </c>
      <c r="K39" s="106">
        <f>IFERROR(VLOOKUP("SF1_REALTIME",'Company 7'!$B:$E,4,0),"")</f>
        <v>1</v>
      </c>
      <c r="L39" s="106">
        <f>IFERROR(VLOOKUP("SF1_REALTIME",'Company 8'!$B:$E,4,0),"")</f>
        <v>0</v>
      </c>
      <c r="M39" s="106">
        <f>IFERROR(VLOOKUP("SF1_REALTIME",'Company 9'!$B:$E,4,0),"")</f>
        <v>0</v>
      </c>
      <c r="N39" s="106">
        <f>IFERROR(VLOOKUP("SF1_REALTIME",'Company 10'!$B:$E,4,0),"")</f>
        <v>1</v>
      </c>
      <c r="O39" s="106">
        <f>IFERROR(VLOOKUP("SF1_REALTIME",'Company 11'!$B:$E,4,0),"")</f>
        <v>0</v>
      </c>
      <c r="P39" s="106">
        <f>IFERROR(VLOOKUP("SF1_REALTIME",'Company 12'!$B:$E,4,0),"")</f>
        <v>0</v>
      </c>
      <c r="Q39" s="106">
        <f>IFERROR(VLOOKUP("SF1_REALTIME",'Company 13'!$B:$E,4,0),"")</f>
        <v>0</v>
      </c>
      <c r="R39" s="106" t="str">
        <f>IFERROR(VLOOKUP("SF1_REALTIME",#REF!,4,0),"")</f>
        <v/>
      </c>
      <c r="S39" s="106" t="str">
        <f>IFERROR(VLOOKUP("SF1_REALTIME",#REF!,4,0),"")</f>
        <v/>
      </c>
      <c r="T39" s="106" t="str">
        <f>IFERROR(VLOOKUP("SF1_REALTIME",#REF!,4,0),"")</f>
        <v/>
      </c>
      <c r="U39" s="106" t="str">
        <f>IFERROR(VLOOKUP("SF1_REALTIME",#REF!,4,0),"")</f>
        <v/>
      </c>
      <c r="V39" s="106">
        <f>IFERROR(VLOOKUP("SF1_REALTIME",'Company 18'!$B:$E,4,0),"")</f>
        <v>0</v>
      </c>
      <c r="W39" s="106">
        <f>IFERROR(VLOOKUP("SF1_REALTIME",'Company 19'!$B:$E,4,0),"")</f>
        <v>0</v>
      </c>
      <c r="X39" s="106">
        <f>IFERROR(VLOOKUP("SF1_REALTIME",'Company 20'!$B:$E,4,0),"")</f>
        <v>0</v>
      </c>
      <c r="Y39" s="106">
        <f>IFERROR(VLOOKUP("SF1_REALTIME",'Company 21'!$B:$E,4,0),"")</f>
        <v>0</v>
      </c>
      <c r="Z39" s="106">
        <f>IFERROR(VLOOKUP("SF1_REALTIME",'Company 22'!$B:$E,4,0),"")</f>
        <v>0</v>
      </c>
      <c r="AA39" s="106">
        <f>IFERROR(VLOOKUP("SF1_REALTIME",'Company 23'!$B:$E,4,0),"")</f>
        <v>0</v>
      </c>
      <c r="AB39" s="106">
        <f>IFERROR(VLOOKUP("SF1_REALTIME",'Company 24'!$B:$E,4,0),"")</f>
        <v>0</v>
      </c>
      <c r="AC39" s="106">
        <f>IFERROR(VLOOKUP("SF1_REALTIME",'Company 25'!$B:$E,4,0),"")</f>
        <v>0</v>
      </c>
      <c r="AD39" s="106">
        <f>IFERROR(VLOOKUP("SF1_REALTIME",'Company 26'!$B:$E,4,0),"")</f>
        <v>0</v>
      </c>
      <c r="AE39" s="106">
        <f>IFERROR(VLOOKUP("SF1_REALTIME",'Company 27'!$B:$E,4,0),"")</f>
        <v>0</v>
      </c>
      <c r="AF39" s="106">
        <f>IFERROR(VLOOKUP("SF1_REALTIME",'Company 28'!$B:$E,4,0),"")</f>
        <v>0</v>
      </c>
      <c r="AG39" s="106">
        <f>IFERROR(VLOOKUP("SF1_REALTIME",'Company 29'!$B:$E,4,0),"")</f>
        <v>0</v>
      </c>
      <c r="AH39" s="106">
        <f>IFERROR(VLOOKUP("SF1_REALTIME",'Company 30'!$B:$E,4,0),"")</f>
        <v>0</v>
      </c>
    </row>
    <row r="40" spans="2:34" ht="24.95" customHeight="1">
      <c r="B40" s="109" t="s">
        <v>122</v>
      </c>
      <c r="C40" s="110" t="s">
        <v>126</v>
      </c>
      <c r="D40" s="42" t="s">
        <v>127</v>
      </c>
      <c r="E40" s="106">
        <f>IFERROR(VLOOKUP("SF2_ACCESS",'Company 1'!$B:$E,4,0),"")</f>
        <v>0</v>
      </c>
      <c r="F40" s="106">
        <f>IFERROR(VLOOKUP("SF2_ACCESS",'Company 2'!$B:$E,4,0),"")</f>
        <v>0</v>
      </c>
      <c r="G40" s="106">
        <f>IFERROR(VLOOKUP("SF2_ACCESS",'Company 3'!$B:$E,4,0),"")</f>
        <v>1</v>
      </c>
      <c r="H40" s="106">
        <f>IFERROR(VLOOKUP("SF2_ACCESS",'Company 4'!$B:$E,4,0),"")</f>
        <v>0</v>
      </c>
      <c r="I40" s="106">
        <f>IFERROR(VLOOKUP("SF2_ACCESS",'Company 5'!$B:$E,4,0),"")</f>
        <v>0</v>
      </c>
      <c r="J40" s="106">
        <f>IFERROR(VLOOKUP("SF2_ACCESS",'Company 6'!$B:$E,4,0),"")</f>
        <v>1</v>
      </c>
      <c r="K40" s="106">
        <f>IFERROR(VLOOKUP("SF2_ACCESS",'Company 7'!$B:$E,4,0),"")</f>
        <v>0</v>
      </c>
      <c r="L40" s="106">
        <f>IFERROR(VLOOKUP("SF2_ACCESS",'Company 8'!$B:$E,4,0),"")</f>
        <v>0</v>
      </c>
      <c r="M40" s="106">
        <f>IFERROR(VLOOKUP("SF2_ACCESS",'Company 9'!$B:$E,4,0),"")</f>
        <v>1</v>
      </c>
      <c r="N40" s="106">
        <f>IFERROR(VLOOKUP("SF2_ACCESS",'Company 10'!$B:$E,4,0),"")</f>
        <v>0</v>
      </c>
      <c r="O40" s="106">
        <f>IFERROR(VLOOKUP("SF2_ACCESS",'Company 11'!$B:$E,4,0),"")</f>
        <v>0</v>
      </c>
      <c r="P40" s="106">
        <f>IFERROR(VLOOKUP("SF2_ACCESS",'Company 12'!$B:$E,4,0),"")</f>
        <v>0</v>
      </c>
      <c r="Q40" s="106">
        <f>IFERROR(VLOOKUP("SF2_ACCESS",'Company 13'!$B:$E,4,0),"")</f>
        <v>1</v>
      </c>
      <c r="R40" s="106" t="str">
        <f>IFERROR(VLOOKUP("SF2_ACCESS",#REF!,4,0),"")</f>
        <v/>
      </c>
      <c r="S40" s="106" t="str">
        <f>IFERROR(VLOOKUP("SF2_ACCESS",#REF!,4,0),"")</f>
        <v/>
      </c>
      <c r="T40" s="106" t="str">
        <f>IFERROR(VLOOKUP("SF2_ACCESS",#REF!,4,0),"")</f>
        <v/>
      </c>
      <c r="U40" s="106" t="str">
        <f>IFERROR(VLOOKUP("SF2_ACCESS",#REF!,4,0),"")</f>
        <v/>
      </c>
      <c r="V40" s="106">
        <f>IFERROR(VLOOKUP("SF2_ACCESS",'Company 18'!$B:$E,4,0),"")</f>
        <v>0</v>
      </c>
      <c r="W40" s="106">
        <f>IFERROR(VLOOKUP("SF2_ACCESS",'Company 19'!$B:$E,4,0),"")</f>
        <v>0</v>
      </c>
      <c r="X40" s="106">
        <f>IFERROR(VLOOKUP("SF2_ACCESS",'Company 20'!$B:$E,4,0),"")</f>
        <v>0</v>
      </c>
      <c r="Y40" s="106">
        <f>IFERROR(VLOOKUP("SF2_ACCESS",'Company 21'!$B:$E,4,0),"")</f>
        <v>0</v>
      </c>
      <c r="Z40" s="106">
        <f>IFERROR(VLOOKUP("SF2_ACCESS",'Company 22'!$B:$E,4,0),"")</f>
        <v>0</v>
      </c>
      <c r="AA40" s="106">
        <f>IFERROR(VLOOKUP("SF2_ACCESS",'Company 23'!$B:$E,4,0),"")</f>
        <v>0</v>
      </c>
      <c r="AB40" s="106">
        <f>IFERROR(VLOOKUP("SF2_ACCESS",'Company 24'!$B:$E,4,0),"")</f>
        <v>0</v>
      </c>
      <c r="AC40" s="106">
        <f>IFERROR(VLOOKUP("SF2_ACCESS",'Company 25'!$B:$E,4,0),"")</f>
        <v>0</v>
      </c>
      <c r="AD40" s="106">
        <f>IFERROR(VLOOKUP("SF2_ACCESS",'Company 26'!$B:$E,4,0),"")</f>
        <v>0</v>
      </c>
      <c r="AE40" s="106">
        <f>IFERROR(VLOOKUP("SF2_ACCESS",'Company 27'!$B:$E,4,0),"")</f>
        <v>0</v>
      </c>
      <c r="AF40" s="106">
        <f>IFERROR(VLOOKUP("SF2_ACCESS",'Company 28'!$B:$E,4,0),"")</f>
        <v>0</v>
      </c>
      <c r="AG40" s="106">
        <f>IFERROR(VLOOKUP("SF2_ACCESS",'Company 29'!$B:$E,4,0),"")</f>
        <v>0</v>
      </c>
      <c r="AH40" s="106">
        <f>IFERROR(VLOOKUP("SF2_ACCESS",'Company 30'!$B:$E,4,0),"")</f>
        <v>0</v>
      </c>
    </row>
    <row r="41" spans="2:34" ht="24.95" customHeight="1">
      <c r="B41" s="109" t="s">
        <v>122</v>
      </c>
      <c r="C41" s="110" t="s">
        <v>129</v>
      </c>
      <c r="D41" s="42" t="s">
        <v>130</v>
      </c>
      <c r="E41" s="106">
        <f>IFERROR(VLOOKUP("SF3_UX",'Company 1'!$B:$E,4,0),"")</f>
        <v>0</v>
      </c>
      <c r="F41" s="106">
        <f>IFERROR(VLOOKUP("SF3_UX",'Company 2'!$B:$E,4,0),"")</f>
        <v>0</v>
      </c>
      <c r="G41" s="106">
        <f>IFERROR(VLOOKUP("SF3_UX",'Company 3'!$B:$E,4,0),"")</f>
        <v>0</v>
      </c>
      <c r="H41" s="106">
        <f>IFERROR(VLOOKUP("SF3_UX",'Company 4'!$B:$E,4,0),"")</f>
        <v>1</v>
      </c>
      <c r="I41" s="106">
        <f>IFERROR(VLOOKUP("SF3_UX",'Company 5'!$B:$E,4,0),"")</f>
        <v>1</v>
      </c>
      <c r="J41" s="106">
        <f>IFERROR(VLOOKUP("SF3_UX",'Company 6'!$B:$E,4,0),"")</f>
        <v>0</v>
      </c>
      <c r="K41" s="106">
        <f>IFERROR(VLOOKUP("SF3_UX",'Company 7'!$B:$E,4,0),"")</f>
        <v>1</v>
      </c>
      <c r="L41" s="106">
        <f>IFERROR(VLOOKUP("SF3_UX",'Company 8'!$B:$E,4,0),"")</f>
        <v>0</v>
      </c>
      <c r="M41" s="106">
        <f>IFERROR(VLOOKUP("SF3_UX",'Company 9'!$B:$E,4,0),"")</f>
        <v>1</v>
      </c>
      <c r="N41" s="106">
        <f>IFERROR(VLOOKUP("SF3_UX",'Company 10'!$B:$E,4,0),"")</f>
        <v>1</v>
      </c>
      <c r="O41" s="106">
        <f>IFERROR(VLOOKUP("SF3_UX",'Company 11'!$B:$E,4,0),"")</f>
        <v>1</v>
      </c>
      <c r="P41" s="106">
        <f>IFERROR(VLOOKUP("SF3_UX",'Company 12'!$B:$E,4,0),"")</f>
        <v>0</v>
      </c>
      <c r="Q41" s="106">
        <f>IFERROR(VLOOKUP("SF3_UX",'Company 13'!$B:$E,4,0),"")</f>
        <v>0</v>
      </c>
      <c r="R41" s="106" t="str">
        <f>IFERROR(VLOOKUP("SF3_UX",#REF!,4,0),"")</f>
        <v/>
      </c>
      <c r="S41" s="106" t="str">
        <f>IFERROR(VLOOKUP("SF3_UX",#REF!,4,0),"")</f>
        <v/>
      </c>
      <c r="T41" s="106" t="str">
        <f>IFERROR(VLOOKUP("SF3_UX",#REF!,4,0),"")</f>
        <v/>
      </c>
      <c r="U41" s="106" t="str">
        <f>IFERROR(VLOOKUP("SF3_UX",#REF!,4,0),"")</f>
        <v/>
      </c>
      <c r="V41" s="106">
        <f>IFERROR(VLOOKUP("SF3_UX",'Company 18'!$B:$E,4,0),"")</f>
        <v>0</v>
      </c>
      <c r="W41" s="106">
        <f>IFERROR(VLOOKUP("SF3_UX",'Company 19'!$B:$E,4,0),"")</f>
        <v>0</v>
      </c>
      <c r="X41" s="106">
        <f>IFERROR(VLOOKUP("SF3_UX",'Company 20'!$B:$E,4,0),"")</f>
        <v>0</v>
      </c>
      <c r="Y41" s="106">
        <f>IFERROR(VLOOKUP("SF3_UX",'Company 21'!$B:$E,4,0),"")</f>
        <v>0</v>
      </c>
      <c r="Z41" s="106">
        <f>IFERROR(VLOOKUP("SF3_UX",'Company 22'!$B:$E,4,0),"")</f>
        <v>0</v>
      </c>
      <c r="AA41" s="106">
        <f>IFERROR(VLOOKUP("SF3_UX",'Company 23'!$B:$E,4,0),"")</f>
        <v>0</v>
      </c>
      <c r="AB41" s="106">
        <f>IFERROR(VLOOKUP("SF3_UX",'Company 24'!$B:$E,4,0),"")</f>
        <v>0</v>
      </c>
      <c r="AC41" s="106">
        <f>IFERROR(VLOOKUP("SF3_UX",'Company 25'!$B:$E,4,0),"")</f>
        <v>0</v>
      </c>
      <c r="AD41" s="106">
        <f>IFERROR(VLOOKUP("SF3_UX",'Company 26'!$B:$E,4,0),"")</f>
        <v>0</v>
      </c>
      <c r="AE41" s="106">
        <f>IFERROR(VLOOKUP("SF3_UX",'Company 27'!$B:$E,4,0),"")</f>
        <v>0</v>
      </c>
      <c r="AF41" s="106">
        <f>IFERROR(VLOOKUP("SF3_UX",'Company 28'!$B:$E,4,0),"")</f>
        <v>0</v>
      </c>
      <c r="AG41" s="106">
        <f>IFERROR(VLOOKUP("SF3_UX",'Company 29'!$B:$E,4,0),"")</f>
        <v>0</v>
      </c>
      <c r="AH41" s="106">
        <f>IFERROR(VLOOKUP("SF3_UX",'Company 30'!$B:$E,4,0),"")</f>
        <v>0</v>
      </c>
    </row>
    <row r="42" spans="2:34" ht="24.95" customHeight="1">
      <c r="B42" s="109" t="s">
        <v>122</v>
      </c>
      <c r="C42" s="110" t="s">
        <v>132</v>
      </c>
      <c r="D42" s="42" t="s">
        <v>133</v>
      </c>
      <c r="E42" s="106">
        <f>IFERROR(VLOOKUP("SF4_DECISION",'Company 1'!$B:$E,4,0),"")</f>
        <v>0</v>
      </c>
      <c r="F42" s="106">
        <f>IFERROR(VLOOKUP("SF4_DECISION",'Company 2'!$B:$E,4,0),"")</f>
        <v>0</v>
      </c>
      <c r="G42" s="106">
        <f>IFERROR(VLOOKUP("SF4_DECISION",'Company 3'!$B:$E,4,0),"")</f>
        <v>1</v>
      </c>
      <c r="H42" s="106">
        <f>IFERROR(VLOOKUP("SF4_DECISION",'Company 4'!$B:$E,4,0),"")</f>
        <v>0</v>
      </c>
      <c r="I42" s="106">
        <f>IFERROR(VLOOKUP("SF4_DECISION",'Company 5'!$B:$E,4,0),"")</f>
        <v>1</v>
      </c>
      <c r="J42" s="106">
        <f>IFERROR(VLOOKUP("SF4_DECISION",'Company 6'!$B:$E,4,0),"")</f>
        <v>1</v>
      </c>
      <c r="K42" s="106">
        <f>IFERROR(VLOOKUP("SF4_DECISION",'Company 7'!$B:$E,4,0),"")</f>
        <v>0</v>
      </c>
      <c r="L42" s="106">
        <f>IFERROR(VLOOKUP("SF4_DECISION",'Company 8'!$B:$E,4,0),"")</f>
        <v>0</v>
      </c>
      <c r="M42" s="106">
        <f>IFERROR(VLOOKUP("SF4_DECISION",'Company 9'!$B:$E,4,0),"")</f>
        <v>0</v>
      </c>
      <c r="N42" s="106">
        <f>IFERROR(VLOOKUP("SF4_DECISION",'Company 10'!$B:$E,4,0),"")</f>
        <v>0</v>
      </c>
      <c r="O42" s="106">
        <f>IFERROR(VLOOKUP("SF4_DECISION",'Company 11'!$B:$E,4,0),"")</f>
        <v>0</v>
      </c>
      <c r="P42" s="106">
        <f>IFERROR(VLOOKUP("SF4_DECISION",'Company 12'!$B:$E,4,0),"")</f>
        <v>0</v>
      </c>
      <c r="Q42" s="106">
        <f>IFERROR(VLOOKUP("SF4_DECISION",'Company 13'!$B:$E,4,0),"")</f>
        <v>1</v>
      </c>
      <c r="R42" s="106" t="str">
        <f>IFERROR(VLOOKUP("SF4_DECISION",#REF!,4,0),"")</f>
        <v/>
      </c>
      <c r="S42" s="106" t="str">
        <f>IFERROR(VLOOKUP("SF4_DECISION",#REF!,4,0),"")</f>
        <v/>
      </c>
      <c r="T42" s="106" t="str">
        <f>IFERROR(VLOOKUP("SF4_DECISION",#REF!,4,0),"")</f>
        <v/>
      </c>
      <c r="U42" s="106" t="str">
        <f>IFERROR(VLOOKUP("SF4_DECISION",#REF!,4,0),"")</f>
        <v/>
      </c>
      <c r="V42" s="106">
        <f>IFERROR(VLOOKUP("SF4_DECISION",'Company 18'!$B:$E,4,0),"")</f>
        <v>0</v>
      </c>
      <c r="W42" s="106">
        <f>IFERROR(VLOOKUP("SF4_DECISION",'Company 19'!$B:$E,4,0),"")</f>
        <v>0</v>
      </c>
      <c r="X42" s="106">
        <f>IFERROR(VLOOKUP("SF4_DECISION",'Company 20'!$B:$E,4,0),"")</f>
        <v>0</v>
      </c>
      <c r="Y42" s="106">
        <f>IFERROR(VLOOKUP("SF4_DECISION",'Company 21'!$B:$E,4,0),"")</f>
        <v>0</v>
      </c>
      <c r="Z42" s="106">
        <f>IFERROR(VLOOKUP("SF4_DECISION",'Company 22'!$B:$E,4,0),"")</f>
        <v>0</v>
      </c>
      <c r="AA42" s="106">
        <f>IFERROR(VLOOKUP("SF4_DECISION",'Company 23'!$B:$E,4,0),"")</f>
        <v>0</v>
      </c>
      <c r="AB42" s="106">
        <f>IFERROR(VLOOKUP("SF4_DECISION",'Company 24'!$B:$E,4,0),"")</f>
        <v>0</v>
      </c>
      <c r="AC42" s="106">
        <f>IFERROR(VLOOKUP("SF4_DECISION",'Company 25'!$B:$E,4,0),"")</f>
        <v>0</v>
      </c>
      <c r="AD42" s="106">
        <f>IFERROR(VLOOKUP("SF4_DECISION",'Company 26'!$B:$E,4,0),"")</f>
        <v>0</v>
      </c>
      <c r="AE42" s="106">
        <f>IFERROR(VLOOKUP("SF4_DECISION",'Company 27'!$B:$E,4,0),"")</f>
        <v>0</v>
      </c>
      <c r="AF42" s="106">
        <f>IFERROR(VLOOKUP("SF4_DECISION",'Company 28'!$B:$E,4,0),"")</f>
        <v>0</v>
      </c>
      <c r="AG42" s="106">
        <f>IFERROR(VLOOKUP("SF4_DECISION",'Company 29'!$B:$E,4,0),"")</f>
        <v>0</v>
      </c>
      <c r="AH42" s="106">
        <f>IFERROR(VLOOKUP("SF4_DECISION",'Company 30'!$B:$E,4,0),"")</f>
        <v>0</v>
      </c>
    </row>
    <row r="43" spans="2:34" ht="24.95" customHeight="1">
      <c r="B43" s="109" t="s">
        <v>122</v>
      </c>
      <c r="C43" s="110" t="s">
        <v>135</v>
      </c>
      <c r="D43" s="42" t="s">
        <v>136</v>
      </c>
      <c r="E43" s="106">
        <f>IFERROR(VLOOKUP("SF5_MASKING",'Company 1'!$B:$E,4,0),"")</f>
        <v>1</v>
      </c>
      <c r="F43" s="106">
        <f>IFERROR(VLOOKUP("SF5_MASKING",'Company 2'!$B:$E,4,0),"")</f>
        <v>1</v>
      </c>
      <c r="G43" s="106">
        <f>IFERROR(VLOOKUP("SF5_MASKING",'Company 3'!$B:$E,4,0),"")</f>
        <v>0</v>
      </c>
      <c r="H43" s="106">
        <f>IFERROR(VLOOKUP("SF5_MASKING",'Company 4'!$B:$E,4,0),"")</f>
        <v>0</v>
      </c>
      <c r="I43" s="106">
        <f>IFERROR(VLOOKUP("SF5_MASKING",'Company 5'!$B:$E,4,0),"")</f>
        <v>0</v>
      </c>
      <c r="J43" s="106">
        <f>IFERROR(VLOOKUP("SF5_MASKING",'Company 6'!$B:$E,4,0),"")</f>
        <v>0</v>
      </c>
      <c r="K43" s="106">
        <f>IFERROR(VLOOKUP("SF5_MASKING",'Company 7'!$B:$E,4,0),"")</f>
        <v>0</v>
      </c>
      <c r="L43" s="106">
        <f>IFERROR(VLOOKUP("SF5_MASKING",'Company 8'!$B:$E,4,0),"")</f>
        <v>0</v>
      </c>
      <c r="M43" s="106">
        <f>IFERROR(VLOOKUP("SF5_MASKING",'Company 9'!$B:$E,4,0),"")</f>
        <v>0</v>
      </c>
      <c r="N43" s="106">
        <f>IFERROR(VLOOKUP("SF5_MASKING",'Company 10'!$B:$E,4,0),"")</f>
        <v>0</v>
      </c>
      <c r="O43" s="106">
        <f>IFERROR(VLOOKUP("SF5_MASKING",'Company 11'!$B:$E,4,0),"")</f>
        <v>0</v>
      </c>
      <c r="P43" s="106">
        <f>IFERROR(VLOOKUP("SF5_MASKING",'Company 12'!$B:$E,4,0),"")</f>
        <v>1</v>
      </c>
      <c r="Q43" s="106">
        <f>IFERROR(VLOOKUP("SF5_MASKING",'Company 13'!$B:$E,4,0),"")</f>
        <v>1</v>
      </c>
      <c r="R43" s="106" t="str">
        <f>IFERROR(VLOOKUP("SF5_MASKING",#REF!,4,0),"")</f>
        <v/>
      </c>
      <c r="S43" s="106" t="str">
        <f>IFERROR(VLOOKUP("SF5_MASKING",#REF!,4,0),"")</f>
        <v/>
      </c>
      <c r="T43" s="106" t="str">
        <f>IFERROR(VLOOKUP("SF5_MASKING",#REF!,4,0),"")</f>
        <v/>
      </c>
      <c r="U43" s="106" t="str">
        <f>IFERROR(VLOOKUP("SF5_MASKING",#REF!,4,0),"")</f>
        <v/>
      </c>
      <c r="V43" s="106">
        <f>IFERROR(VLOOKUP("SF5_MASKING",'Company 18'!$B:$E,4,0),"")</f>
        <v>0</v>
      </c>
      <c r="W43" s="106">
        <f>IFERROR(VLOOKUP("SF5_MASKING",'Company 19'!$B:$E,4,0),"")</f>
        <v>0</v>
      </c>
      <c r="X43" s="106">
        <f>IFERROR(VLOOKUP("SF5_MASKING",'Company 20'!$B:$E,4,0),"")</f>
        <v>0</v>
      </c>
      <c r="Y43" s="106">
        <f>IFERROR(VLOOKUP("SF5_MASKING",'Company 21'!$B:$E,4,0),"")</f>
        <v>0</v>
      </c>
      <c r="Z43" s="106">
        <f>IFERROR(VLOOKUP("SF5_MASKING",'Company 22'!$B:$E,4,0),"")</f>
        <v>0</v>
      </c>
      <c r="AA43" s="106">
        <f>IFERROR(VLOOKUP("SF5_MASKING",'Company 23'!$B:$E,4,0),"")</f>
        <v>0</v>
      </c>
      <c r="AB43" s="106">
        <f>IFERROR(VLOOKUP("SF5_MASKING",'Company 24'!$B:$E,4,0),"")</f>
        <v>0</v>
      </c>
      <c r="AC43" s="106">
        <f>IFERROR(VLOOKUP("SF5_MASKING",'Company 25'!$B:$E,4,0),"")</f>
        <v>0</v>
      </c>
      <c r="AD43" s="106">
        <f>IFERROR(VLOOKUP("SF5_MASKING",'Company 26'!$B:$E,4,0),"")</f>
        <v>0</v>
      </c>
      <c r="AE43" s="106">
        <f>IFERROR(VLOOKUP("SF5_MASKING",'Company 27'!$B:$E,4,0),"")</f>
        <v>0</v>
      </c>
      <c r="AF43" s="106">
        <f>IFERROR(VLOOKUP("SF5_MASKING",'Company 28'!$B:$E,4,0),"")</f>
        <v>0</v>
      </c>
      <c r="AG43" s="106">
        <f>IFERROR(VLOOKUP("SF5_MASKING",'Company 29'!$B:$E,4,0),"")</f>
        <v>0</v>
      </c>
      <c r="AH43" s="106">
        <f>IFERROR(VLOOKUP("SF5_MASKING",'Company 30'!$B:$E,4,0),"")</f>
        <v>0</v>
      </c>
    </row>
    <row r="44" spans="2:34" ht="18" customHeight="1">
      <c r="B44" s="102" t="s">
        <v>212</v>
      </c>
      <c r="C44" s="103"/>
      <c r="D44" s="103"/>
      <c r="E44" s="103"/>
      <c r="F44" s="103"/>
      <c r="G44" s="103"/>
      <c r="H44" s="103"/>
      <c r="I44" s="103"/>
      <c r="J44" s="103"/>
      <c r="K44" s="103"/>
      <c r="L44" s="103"/>
      <c r="M44" s="103"/>
      <c r="N44" s="103"/>
      <c r="O44" s="103"/>
      <c r="P44" s="103"/>
      <c r="Q44" s="103"/>
      <c r="R44" s="103"/>
      <c r="S44" s="103"/>
      <c r="T44" s="103"/>
      <c r="U44" s="103"/>
      <c r="V44" s="103"/>
      <c r="W44" s="103"/>
      <c r="X44" s="103"/>
      <c r="Y44" s="103"/>
      <c r="Z44" s="103"/>
      <c r="AA44" s="103"/>
      <c r="AB44" s="103"/>
      <c r="AC44" s="103"/>
      <c r="AD44" s="103"/>
      <c r="AE44" s="103"/>
      <c r="AF44" s="103"/>
      <c r="AG44" s="103"/>
      <c r="AH44" s="103"/>
    </row>
    <row r="45" spans="2:34" ht="24.95" customHeight="1">
      <c r="B45" s="104" t="s">
        <v>138</v>
      </c>
      <c r="C45" s="105" t="s">
        <v>139</v>
      </c>
      <c r="D45" s="42" t="s">
        <v>140</v>
      </c>
      <c r="E45" s="106">
        <f>IFERROR(VLOOKUP("SD1_TRENDS",'Company 1'!$B:$E,4,0),"")</f>
        <v>1</v>
      </c>
      <c r="F45" s="106">
        <f>IFERROR(VLOOKUP("SD1_TRENDS",'Company 2'!$B:$E,4,0),"")</f>
        <v>0</v>
      </c>
      <c r="G45" s="106">
        <f>IFERROR(VLOOKUP("SD1_TRENDS",'Company 3'!$B:$E,4,0),"")</f>
        <v>0</v>
      </c>
      <c r="H45" s="106">
        <f>IFERROR(VLOOKUP("SD1_TRENDS",'Company 4'!$B:$E,4,0),"")</f>
        <v>0</v>
      </c>
      <c r="I45" s="106">
        <f>IFERROR(VLOOKUP("SD1_TRENDS",'Company 5'!$B:$E,4,0),"")</f>
        <v>0</v>
      </c>
      <c r="J45" s="106">
        <f>IFERROR(VLOOKUP("SD1_TRENDS",'Company 6'!$B:$E,4,0),"")</f>
        <v>1</v>
      </c>
      <c r="K45" s="106">
        <f>IFERROR(VLOOKUP("SD1_TRENDS",'Company 7'!$B:$E,4,0),"")</f>
        <v>0</v>
      </c>
      <c r="L45" s="106">
        <f>IFERROR(VLOOKUP("SD1_TRENDS",'Company 8'!$B:$E,4,0),"")</f>
        <v>1</v>
      </c>
      <c r="M45" s="106">
        <f>IFERROR(VLOOKUP("SD1_TRENDS",'Company 9'!$B:$E,4,0),"")</f>
        <v>1</v>
      </c>
      <c r="N45" s="106">
        <f>IFERROR(VLOOKUP("SD1_TRENDS",'Company 10'!$B:$E,4,0),"")</f>
        <v>1</v>
      </c>
      <c r="O45" s="106">
        <f>IFERROR(VLOOKUP("SD1_TRENDS",'Company 11'!$B:$E,4,0),"")</f>
        <v>1</v>
      </c>
      <c r="P45" s="106">
        <f>IFERROR(VLOOKUP("SD1_TRENDS",'Company 12'!$B:$E,4,0),"")</f>
        <v>1</v>
      </c>
      <c r="Q45" s="106">
        <f>IFERROR(VLOOKUP("SD1_TRENDS",'Company 13'!$B:$E,4,0),"")</f>
        <v>1</v>
      </c>
      <c r="R45" s="106" t="str">
        <f>IFERROR(VLOOKUP("SD1_TRENDS",#REF!,4,0),"")</f>
        <v/>
      </c>
      <c r="S45" s="106" t="str">
        <f>IFERROR(VLOOKUP("SD1_TRENDS",#REF!,4,0),"")</f>
        <v/>
      </c>
      <c r="T45" s="106" t="str">
        <f>IFERROR(VLOOKUP("SD1_TRENDS",#REF!,4,0),"")</f>
        <v/>
      </c>
      <c r="U45" s="106" t="str">
        <f>IFERROR(VLOOKUP("SD1_TRENDS",#REF!,4,0),"")</f>
        <v/>
      </c>
      <c r="V45" s="106">
        <f>IFERROR(VLOOKUP("SD1_TRENDS",'Company 18'!$B:$E,4,0),"")</f>
        <v>0</v>
      </c>
      <c r="W45" s="106">
        <f>IFERROR(VLOOKUP("SD1_TRENDS",'Company 19'!$B:$E,4,0),"")</f>
        <v>0</v>
      </c>
      <c r="X45" s="106">
        <f>IFERROR(VLOOKUP("SD1_TRENDS",'Company 20'!$B:$E,4,0),"")</f>
        <v>0</v>
      </c>
      <c r="Y45" s="106">
        <f>IFERROR(VLOOKUP("SD1_TRENDS",'Company 21'!$B:$E,4,0),"")</f>
        <v>0</v>
      </c>
      <c r="Z45" s="106">
        <f>IFERROR(VLOOKUP("SD1_TRENDS",'Company 22'!$B:$E,4,0),"")</f>
        <v>0</v>
      </c>
      <c r="AA45" s="106">
        <f>IFERROR(VLOOKUP("SD1_TRENDS",'Company 23'!$B:$E,4,0),"")</f>
        <v>0</v>
      </c>
      <c r="AB45" s="106">
        <f>IFERROR(VLOOKUP("SD1_TRENDS",'Company 24'!$B:$E,4,0),"")</f>
        <v>0</v>
      </c>
      <c r="AC45" s="106">
        <f>IFERROR(VLOOKUP("SD1_TRENDS",'Company 25'!$B:$E,4,0),"")</f>
        <v>0</v>
      </c>
      <c r="AD45" s="106">
        <f>IFERROR(VLOOKUP("SD1_TRENDS",'Company 26'!$B:$E,4,0),"")</f>
        <v>0</v>
      </c>
      <c r="AE45" s="106">
        <f>IFERROR(VLOOKUP("SD1_TRENDS",'Company 27'!$B:$E,4,0),"")</f>
        <v>0</v>
      </c>
      <c r="AF45" s="106">
        <f>IFERROR(VLOOKUP("SD1_TRENDS",'Company 28'!$B:$E,4,0),"")</f>
        <v>0</v>
      </c>
      <c r="AG45" s="106">
        <f>IFERROR(VLOOKUP("SD1_TRENDS",'Company 29'!$B:$E,4,0),"")</f>
        <v>0</v>
      </c>
      <c r="AH45" s="106">
        <f>IFERROR(VLOOKUP("SD1_TRENDS",'Company 30'!$B:$E,4,0),"")</f>
        <v>0</v>
      </c>
    </row>
    <row r="46" spans="2:34" ht="24.95" customHeight="1">
      <c r="B46" s="104" t="s">
        <v>138</v>
      </c>
      <c r="C46" s="105" t="s">
        <v>142</v>
      </c>
      <c r="D46" s="42" t="s">
        <v>143</v>
      </c>
      <c r="E46" s="106">
        <f>IFERROR(VLOOKUP("SD2_MARKET",'Company 1'!$B:$E,4,0),"")</f>
        <v>1</v>
      </c>
      <c r="F46" s="106">
        <f>IFERROR(VLOOKUP("SD2_MARKET",'Company 2'!$B:$E,4,0),"")</f>
        <v>1</v>
      </c>
      <c r="G46" s="106">
        <f>IFERROR(VLOOKUP("SD2_MARKET",'Company 3'!$B:$E,4,0),"")</f>
        <v>0</v>
      </c>
      <c r="H46" s="106">
        <f>IFERROR(VLOOKUP("SD2_MARKET",'Company 4'!$B:$E,4,0),"")</f>
        <v>1</v>
      </c>
      <c r="I46" s="106">
        <f>IFERROR(VLOOKUP("SD2_MARKET",'Company 5'!$B:$E,4,0),"")</f>
        <v>0</v>
      </c>
      <c r="J46" s="106">
        <f>IFERROR(VLOOKUP("SD2_MARKET",'Company 6'!$B:$E,4,0),"")</f>
        <v>1</v>
      </c>
      <c r="K46" s="106">
        <f>IFERROR(VLOOKUP("SD2_MARKET",'Company 7'!$B:$E,4,0),"")</f>
        <v>1</v>
      </c>
      <c r="L46" s="106">
        <f>IFERROR(VLOOKUP("SD2_MARKET",'Company 8'!$B:$E,4,0),"")</f>
        <v>1</v>
      </c>
      <c r="M46" s="106">
        <f>IFERROR(VLOOKUP("SD2_MARKET",'Company 9'!$B:$E,4,0),"")</f>
        <v>1</v>
      </c>
      <c r="N46" s="106">
        <f>IFERROR(VLOOKUP("SD2_MARKET",'Company 10'!$B:$E,4,0),"")</f>
        <v>1</v>
      </c>
      <c r="O46" s="106">
        <f>IFERROR(VLOOKUP("SD2_MARKET",'Company 11'!$B:$E,4,0),"")</f>
        <v>1</v>
      </c>
      <c r="P46" s="106">
        <f>IFERROR(VLOOKUP("SD2_MARKET",'Company 12'!$B:$E,4,0),"")</f>
        <v>1</v>
      </c>
      <c r="Q46" s="106">
        <f>IFERROR(VLOOKUP("SD2_MARKET",'Company 13'!$B:$E,4,0),"")</f>
        <v>1</v>
      </c>
      <c r="R46" s="106" t="str">
        <f>IFERROR(VLOOKUP("SD2_MARKET",#REF!,4,0),"")</f>
        <v/>
      </c>
      <c r="S46" s="106" t="str">
        <f>IFERROR(VLOOKUP("SD2_MARKET",#REF!,4,0),"")</f>
        <v/>
      </c>
      <c r="T46" s="106" t="str">
        <f>IFERROR(VLOOKUP("SD2_MARKET",#REF!,4,0),"")</f>
        <v/>
      </c>
      <c r="U46" s="106" t="str">
        <f>IFERROR(VLOOKUP("SD2_MARKET",#REF!,4,0),"")</f>
        <v/>
      </c>
      <c r="V46" s="106">
        <f>IFERROR(VLOOKUP("SD2_MARKET",'Company 18'!$B:$E,4,0),"")</f>
        <v>0</v>
      </c>
      <c r="W46" s="106">
        <f>IFERROR(VLOOKUP("SD2_MARKET",'Company 19'!$B:$E,4,0),"")</f>
        <v>0</v>
      </c>
      <c r="X46" s="106">
        <f>IFERROR(VLOOKUP("SD2_MARKET",'Company 20'!$B:$E,4,0),"")</f>
        <v>0</v>
      </c>
      <c r="Y46" s="106">
        <f>IFERROR(VLOOKUP("SD2_MARKET",'Company 21'!$B:$E,4,0),"")</f>
        <v>0</v>
      </c>
      <c r="Z46" s="106">
        <f>IFERROR(VLOOKUP("SD2_MARKET",'Company 22'!$B:$E,4,0),"")</f>
        <v>0</v>
      </c>
      <c r="AA46" s="106">
        <f>IFERROR(VLOOKUP("SD2_MARKET",'Company 23'!$B:$E,4,0),"")</f>
        <v>0</v>
      </c>
      <c r="AB46" s="106">
        <f>IFERROR(VLOOKUP("SD2_MARKET",'Company 24'!$B:$E,4,0),"")</f>
        <v>0</v>
      </c>
      <c r="AC46" s="106">
        <f>IFERROR(VLOOKUP("SD2_MARKET",'Company 25'!$B:$E,4,0),"")</f>
        <v>0</v>
      </c>
      <c r="AD46" s="106">
        <f>IFERROR(VLOOKUP("SD2_MARKET",'Company 26'!$B:$E,4,0),"")</f>
        <v>0</v>
      </c>
      <c r="AE46" s="106">
        <f>IFERROR(VLOOKUP("SD2_MARKET",'Company 27'!$B:$E,4,0),"")</f>
        <v>0</v>
      </c>
      <c r="AF46" s="106">
        <f>IFERROR(VLOOKUP("SD2_MARKET",'Company 28'!$B:$E,4,0),"")</f>
        <v>0</v>
      </c>
      <c r="AG46" s="106">
        <f>IFERROR(VLOOKUP("SD2_MARKET",'Company 29'!$B:$E,4,0),"")</f>
        <v>0</v>
      </c>
      <c r="AH46" s="106">
        <f>IFERROR(VLOOKUP("SD2_MARKET",'Company 30'!$B:$E,4,0),"")</f>
        <v>0</v>
      </c>
    </row>
    <row r="47" spans="2:34" ht="24.95" customHeight="1">
      <c r="B47" s="104" t="s">
        <v>138</v>
      </c>
      <c r="C47" s="105" t="s">
        <v>145</v>
      </c>
      <c r="D47" s="42" t="s">
        <v>146</v>
      </c>
      <c r="E47" s="106">
        <f>IFERROR(VLOOKUP("SD3_CATEGORY",'Company 1'!$B:$E,4,0),"")</f>
        <v>1</v>
      </c>
      <c r="F47" s="106">
        <f>IFERROR(VLOOKUP("SD3_CATEGORY",'Company 2'!$B:$E,4,0),"")</f>
        <v>0</v>
      </c>
      <c r="G47" s="106">
        <f>IFERROR(VLOOKUP("SD3_CATEGORY",'Company 3'!$B:$E,4,0),"")</f>
        <v>1</v>
      </c>
      <c r="H47" s="106">
        <f>IFERROR(VLOOKUP("SD3_CATEGORY",'Company 4'!$B:$E,4,0),"")</f>
        <v>1</v>
      </c>
      <c r="I47" s="106">
        <f>IFERROR(VLOOKUP("SD3_CATEGORY",'Company 5'!$B:$E,4,0),"")</f>
        <v>0</v>
      </c>
      <c r="J47" s="106">
        <f>IFERROR(VLOOKUP("SD3_CATEGORY",'Company 6'!$B:$E,4,0),"")</f>
        <v>1</v>
      </c>
      <c r="K47" s="106">
        <f>IFERROR(VLOOKUP("SD3_CATEGORY",'Company 7'!$B:$E,4,0),"")</f>
        <v>1</v>
      </c>
      <c r="L47" s="106">
        <f>IFERROR(VLOOKUP("SD3_CATEGORY",'Company 8'!$B:$E,4,0),"")</f>
        <v>1</v>
      </c>
      <c r="M47" s="106">
        <f>IFERROR(VLOOKUP("SD3_CATEGORY",'Company 9'!$B:$E,4,0),"")</f>
        <v>1</v>
      </c>
      <c r="N47" s="106">
        <f>IFERROR(VLOOKUP("SD3_CATEGORY",'Company 10'!$B:$E,4,0),"")</f>
        <v>1</v>
      </c>
      <c r="O47" s="106">
        <f>IFERROR(VLOOKUP("SD3_CATEGORY",'Company 11'!$B:$E,4,0),"")</f>
        <v>1</v>
      </c>
      <c r="P47" s="106">
        <f>IFERROR(VLOOKUP("SD3_CATEGORY",'Company 12'!$B:$E,4,0),"")</f>
        <v>0</v>
      </c>
      <c r="Q47" s="106">
        <f>IFERROR(VLOOKUP("SD3_CATEGORY",'Company 13'!$B:$E,4,0),"")</f>
        <v>1</v>
      </c>
      <c r="R47" s="106" t="str">
        <f>IFERROR(VLOOKUP("SD3_CATEGORY",#REF!,4,0),"")</f>
        <v/>
      </c>
      <c r="S47" s="106" t="str">
        <f>IFERROR(VLOOKUP("SD3_CATEGORY",#REF!,4,0),"")</f>
        <v/>
      </c>
      <c r="T47" s="106" t="str">
        <f>IFERROR(VLOOKUP("SD3_CATEGORY",#REF!,4,0),"")</f>
        <v/>
      </c>
      <c r="U47" s="106" t="str">
        <f>IFERROR(VLOOKUP("SD3_CATEGORY",#REF!,4,0),"")</f>
        <v/>
      </c>
      <c r="V47" s="106">
        <f>IFERROR(VLOOKUP("SD3_CATEGORY",'Company 18'!$B:$E,4,0),"")</f>
        <v>0</v>
      </c>
      <c r="W47" s="106">
        <f>IFERROR(VLOOKUP("SD3_CATEGORY",'Company 19'!$B:$E,4,0),"")</f>
        <v>0</v>
      </c>
      <c r="X47" s="106">
        <f>IFERROR(VLOOKUP("SD3_CATEGORY",'Company 20'!$B:$E,4,0),"")</f>
        <v>0</v>
      </c>
      <c r="Y47" s="106">
        <f>IFERROR(VLOOKUP("SD3_CATEGORY",'Company 21'!$B:$E,4,0),"")</f>
        <v>0</v>
      </c>
      <c r="Z47" s="106">
        <f>IFERROR(VLOOKUP("SD3_CATEGORY",'Company 22'!$B:$E,4,0),"")</f>
        <v>0</v>
      </c>
      <c r="AA47" s="106">
        <f>IFERROR(VLOOKUP("SD3_CATEGORY",'Company 23'!$B:$E,4,0),"")</f>
        <v>0</v>
      </c>
      <c r="AB47" s="106">
        <f>IFERROR(VLOOKUP("SD3_CATEGORY",'Company 24'!$B:$E,4,0),"")</f>
        <v>0</v>
      </c>
      <c r="AC47" s="106">
        <f>IFERROR(VLOOKUP("SD3_CATEGORY",'Company 25'!$B:$E,4,0),"")</f>
        <v>0</v>
      </c>
      <c r="AD47" s="106">
        <f>IFERROR(VLOOKUP("SD3_CATEGORY",'Company 26'!$B:$E,4,0),"")</f>
        <v>0</v>
      </c>
      <c r="AE47" s="106">
        <f>IFERROR(VLOOKUP("SD3_CATEGORY",'Company 27'!$B:$E,4,0),"")</f>
        <v>0</v>
      </c>
      <c r="AF47" s="106">
        <f>IFERROR(VLOOKUP("SD3_CATEGORY",'Company 28'!$B:$E,4,0),"")</f>
        <v>0</v>
      </c>
      <c r="AG47" s="106">
        <f>IFERROR(VLOOKUP("SD3_CATEGORY",'Company 29'!$B:$E,4,0),"")</f>
        <v>0</v>
      </c>
      <c r="AH47" s="106">
        <f>IFERROR(VLOOKUP("SD3_CATEGORY",'Company 30'!$B:$E,4,0),"")</f>
        <v>0</v>
      </c>
    </row>
    <row r="48" spans="2:34" ht="24.95" customHeight="1">
      <c r="B48" s="104" t="s">
        <v>138</v>
      </c>
      <c r="C48" s="105" t="s">
        <v>148</v>
      </c>
      <c r="D48" s="42" t="s">
        <v>149</v>
      </c>
      <c r="E48" s="106">
        <f>IFERROR(VLOOKUP("SD4_SHIPMENT",'Company 1'!$B:$E,4,0),"")</f>
        <v>0</v>
      </c>
      <c r="F48" s="106">
        <f>IFERROR(VLOOKUP("SD4_SHIPMENT",'Company 2'!$B:$E,4,0),"")</f>
        <v>0</v>
      </c>
      <c r="G48" s="106">
        <f>IFERROR(VLOOKUP("SD4_SHIPMENT",'Company 3'!$B:$E,4,0),"")</f>
        <v>0</v>
      </c>
      <c r="H48" s="106">
        <f>IFERROR(VLOOKUP("SD4_SHIPMENT",'Company 4'!$B:$E,4,0),"")</f>
        <v>1</v>
      </c>
      <c r="I48" s="106">
        <f>IFERROR(VLOOKUP("SD4_SHIPMENT",'Company 5'!$B:$E,4,0),"")</f>
        <v>1</v>
      </c>
      <c r="J48" s="106">
        <f>IFERROR(VLOOKUP("SD4_SHIPMENT",'Company 6'!$B:$E,4,0),"")</f>
        <v>1</v>
      </c>
      <c r="K48" s="106">
        <f>IFERROR(VLOOKUP("SD4_SHIPMENT",'Company 7'!$B:$E,4,0),"")</f>
        <v>0</v>
      </c>
      <c r="L48" s="106">
        <f>IFERROR(VLOOKUP("SD4_SHIPMENT",'Company 8'!$B:$E,4,0),"")</f>
        <v>0</v>
      </c>
      <c r="M48" s="106">
        <f>IFERROR(VLOOKUP("SD4_SHIPMENT",'Company 9'!$B:$E,4,0),"")</f>
        <v>1</v>
      </c>
      <c r="N48" s="106">
        <f>IFERROR(VLOOKUP("SD4_SHIPMENT",'Company 10'!$B:$E,4,0),"")</f>
        <v>0</v>
      </c>
      <c r="O48" s="106">
        <f>IFERROR(VLOOKUP("SD4_SHIPMENT",'Company 11'!$B:$E,4,0),"")</f>
        <v>0</v>
      </c>
      <c r="P48" s="106">
        <f>IFERROR(VLOOKUP("SD4_SHIPMENT",'Company 12'!$B:$E,4,0),"")</f>
        <v>1</v>
      </c>
      <c r="Q48" s="106">
        <f>IFERROR(VLOOKUP("SD4_SHIPMENT",'Company 13'!$B:$E,4,0),"")</f>
        <v>1</v>
      </c>
      <c r="R48" s="106" t="str">
        <f>IFERROR(VLOOKUP("SD4_SHIPMENT",#REF!,4,0),"")</f>
        <v/>
      </c>
      <c r="S48" s="106" t="str">
        <f>IFERROR(VLOOKUP("SD4_SHIPMENT",#REF!,4,0),"")</f>
        <v/>
      </c>
      <c r="T48" s="106" t="str">
        <f>IFERROR(VLOOKUP("SD4_SHIPMENT",#REF!,4,0),"")</f>
        <v/>
      </c>
      <c r="U48" s="106" t="str">
        <f>IFERROR(VLOOKUP("SD4_SHIPMENT",#REF!,4,0),"")</f>
        <v/>
      </c>
      <c r="V48" s="106">
        <f>IFERROR(VLOOKUP("SD4_SHIPMENT",'Company 18'!$B:$E,4,0),"")</f>
        <v>0</v>
      </c>
      <c r="W48" s="106">
        <f>IFERROR(VLOOKUP("SD4_SHIPMENT",'Company 19'!$B:$E,4,0),"")</f>
        <v>0</v>
      </c>
      <c r="X48" s="106">
        <f>IFERROR(VLOOKUP("SD4_SHIPMENT",'Company 20'!$B:$E,4,0),"")</f>
        <v>0</v>
      </c>
      <c r="Y48" s="106">
        <f>IFERROR(VLOOKUP("SD4_SHIPMENT",'Company 21'!$B:$E,4,0),"")</f>
        <v>0</v>
      </c>
      <c r="Z48" s="106">
        <f>IFERROR(VLOOKUP("SD4_SHIPMENT",'Company 22'!$B:$E,4,0),"")</f>
        <v>0</v>
      </c>
      <c r="AA48" s="106">
        <f>IFERROR(VLOOKUP("SD4_SHIPMENT",'Company 23'!$B:$E,4,0),"")</f>
        <v>0</v>
      </c>
      <c r="AB48" s="106">
        <f>IFERROR(VLOOKUP("SD4_SHIPMENT",'Company 24'!$B:$E,4,0),"")</f>
        <v>0</v>
      </c>
      <c r="AC48" s="106">
        <f>IFERROR(VLOOKUP("SD4_SHIPMENT",'Company 25'!$B:$E,4,0),"")</f>
        <v>0</v>
      </c>
      <c r="AD48" s="106">
        <f>IFERROR(VLOOKUP("SD4_SHIPMENT",'Company 26'!$B:$E,4,0),"")</f>
        <v>0</v>
      </c>
      <c r="AE48" s="106">
        <f>IFERROR(VLOOKUP("SD4_SHIPMENT",'Company 27'!$B:$E,4,0),"")</f>
        <v>0</v>
      </c>
      <c r="AF48" s="106">
        <f>IFERROR(VLOOKUP("SD4_SHIPMENT",'Company 28'!$B:$E,4,0),"")</f>
        <v>0</v>
      </c>
      <c r="AG48" s="106">
        <f>IFERROR(VLOOKUP("SD4_SHIPMENT",'Company 29'!$B:$E,4,0),"")</f>
        <v>0</v>
      </c>
      <c r="AH48" s="106">
        <f>IFERROR(VLOOKUP("SD4_SHIPMENT",'Company 30'!$B:$E,4,0),"")</f>
        <v>0</v>
      </c>
    </row>
    <row r="49" spans="2:34" ht="24.95" customHeight="1">
      <c r="B49" s="104" t="s">
        <v>138</v>
      </c>
      <c r="C49" s="105" t="s">
        <v>151</v>
      </c>
      <c r="D49" s="42" t="s">
        <v>152</v>
      </c>
      <c r="E49" s="106">
        <f>IFERROR(VLOOKUP("SD5_LEAD",'Company 1'!$B:$E,4,0),"")</f>
        <v>0</v>
      </c>
      <c r="F49" s="106">
        <f>IFERROR(VLOOKUP("SD5_LEAD",'Company 2'!$B:$E,4,0),"")</f>
        <v>0</v>
      </c>
      <c r="G49" s="106">
        <f>IFERROR(VLOOKUP("SD5_LEAD",'Company 3'!$B:$E,4,0),"")</f>
        <v>0</v>
      </c>
      <c r="H49" s="106">
        <f>IFERROR(VLOOKUP("SD5_LEAD",'Company 4'!$B:$E,4,0),"")</f>
        <v>1</v>
      </c>
      <c r="I49" s="106">
        <f>IFERROR(VLOOKUP("SD5_LEAD",'Company 5'!$B:$E,4,0),"")</f>
        <v>1</v>
      </c>
      <c r="J49" s="106">
        <f>IFERROR(VLOOKUP("SD5_LEAD",'Company 6'!$B:$E,4,0),"")</f>
        <v>0</v>
      </c>
      <c r="K49" s="106">
        <f>IFERROR(VLOOKUP("SD5_LEAD",'Company 7'!$B:$E,4,0),"")</f>
        <v>0</v>
      </c>
      <c r="L49" s="106">
        <f>IFERROR(VLOOKUP("SD5_LEAD",'Company 8'!$B:$E,4,0),"")</f>
        <v>0</v>
      </c>
      <c r="M49" s="106">
        <f>IFERROR(VLOOKUP("SD5_LEAD",'Company 9'!$B:$E,4,0),"")</f>
        <v>0</v>
      </c>
      <c r="N49" s="106">
        <f>IFERROR(VLOOKUP("SD5_LEAD",'Company 10'!$B:$E,4,0),"")</f>
        <v>0</v>
      </c>
      <c r="O49" s="106">
        <f>IFERROR(VLOOKUP("SD5_LEAD",'Company 11'!$B:$E,4,0),"")</f>
        <v>0</v>
      </c>
      <c r="P49" s="106">
        <f>IFERROR(VLOOKUP("SD5_LEAD",'Company 12'!$B:$E,4,0),"")</f>
        <v>0</v>
      </c>
      <c r="Q49" s="106">
        <f>IFERROR(VLOOKUP("SD5_LEAD",'Company 13'!$B:$E,4,0),"")</f>
        <v>1</v>
      </c>
      <c r="R49" s="106" t="str">
        <f>IFERROR(VLOOKUP("SD5_LEAD",#REF!,4,0),"")</f>
        <v/>
      </c>
      <c r="S49" s="106" t="str">
        <f>IFERROR(VLOOKUP("SD5_LEAD",#REF!,4,0),"")</f>
        <v/>
      </c>
      <c r="T49" s="106" t="str">
        <f>IFERROR(VLOOKUP("SD5_LEAD",#REF!,4,0),"")</f>
        <v/>
      </c>
      <c r="U49" s="106" t="str">
        <f>IFERROR(VLOOKUP("SD5_LEAD",#REF!,4,0),"")</f>
        <v/>
      </c>
      <c r="V49" s="106">
        <f>IFERROR(VLOOKUP("SD5_LEAD",'Company 18'!$B:$E,4,0),"")</f>
        <v>0</v>
      </c>
      <c r="W49" s="106">
        <f>IFERROR(VLOOKUP("SD5_LEAD",'Company 19'!$B:$E,4,0),"")</f>
        <v>0</v>
      </c>
      <c r="X49" s="106">
        <f>IFERROR(VLOOKUP("SD5_LEAD",'Company 20'!$B:$E,4,0),"")</f>
        <v>0</v>
      </c>
      <c r="Y49" s="106">
        <f>IFERROR(VLOOKUP("SD5_LEAD",'Company 21'!$B:$E,4,0),"")</f>
        <v>0</v>
      </c>
      <c r="Z49" s="106">
        <f>IFERROR(VLOOKUP("SD5_LEAD",'Company 22'!$B:$E,4,0),"")</f>
        <v>0</v>
      </c>
      <c r="AA49" s="106">
        <f>IFERROR(VLOOKUP("SD5_LEAD",'Company 23'!$B:$E,4,0),"")</f>
        <v>0</v>
      </c>
      <c r="AB49" s="106">
        <f>IFERROR(VLOOKUP("SD5_LEAD",'Company 24'!$B:$E,4,0),"")</f>
        <v>0</v>
      </c>
      <c r="AC49" s="106">
        <f>IFERROR(VLOOKUP("SD5_LEAD",'Company 25'!$B:$E,4,0),"")</f>
        <v>0</v>
      </c>
      <c r="AD49" s="106">
        <f>IFERROR(VLOOKUP("SD5_LEAD",'Company 26'!$B:$E,4,0),"")</f>
        <v>0</v>
      </c>
      <c r="AE49" s="106">
        <f>IFERROR(VLOOKUP("SD5_LEAD",'Company 27'!$B:$E,4,0),"")</f>
        <v>0</v>
      </c>
      <c r="AF49" s="106">
        <f>IFERROR(VLOOKUP("SD5_LEAD",'Company 28'!$B:$E,4,0),"")</f>
        <v>0</v>
      </c>
      <c r="AG49" s="106">
        <f>IFERROR(VLOOKUP("SD5_LEAD",'Company 29'!$B:$E,4,0),"")</f>
        <v>0</v>
      </c>
      <c r="AH49" s="106">
        <f>IFERROR(VLOOKUP("SD5_LEAD",'Company 30'!$B:$E,4,0),"")</f>
        <v>0</v>
      </c>
    </row>
    <row r="50" spans="2:34" ht="24.95" customHeight="1">
      <c r="B50" s="104" t="s">
        <v>138</v>
      </c>
      <c r="C50" s="117" t="s">
        <v>154</v>
      </c>
      <c r="D50" s="1" t="s">
        <v>155</v>
      </c>
      <c r="E50" s="106">
        <f>IFERROR(VLOOKUP("SD6_CONJOINT",'Company 1'!$B:$E,4,0),"")</f>
        <v>0</v>
      </c>
      <c r="F50" s="106">
        <f>IFERROR(VLOOKUP("SD6_CONJOINT",'Company 2'!$B:$E,4,0),"")</f>
        <v>0</v>
      </c>
      <c r="G50" s="106">
        <f>IFERROR(VLOOKUP("SD6_CONJOINT",'Company 3'!$B:$E,4,0),"")</f>
        <v>0</v>
      </c>
      <c r="H50" s="106">
        <f>IFERROR(VLOOKUP("SD6_CONJOINT",'Company 4'!$B:$E,4,0),"")</f>
        <v>0</v>
      </c>
      <c r="I50" s="106">
        <f>IFERROR(VLOOKUP("SD6_CONJOINT",'Company 5'!$B:$E,4,0),"")</f>
        <v>0</v>
      </c>
      <c r="J50" s="106">
        <f>IFERROR(VLOOKUP("SD6_CONJOINT",'Company 6'!$B:$E,4,0),"")</f>
        <v>0</v>
      </c>
      <c r="K50" s="106">
        <f>IFERROR(VLOOKUP("SD6_CONJOINT",'Company 7'!$B:$E,4,0),"")</f>
        <v>0</v>
      </c>
      <c r="L50" s="106">
        <f>IFERROR(VLOOKUP("SD6_CONJOINT",'Company 8'!$B:$E,4,0),"")</f>
        <v>0</v>
      </c>
      <c r="M50" s="106">
        <f>IFERROR(VLOOKUP("SD6_CONJOINT",'Company 9'!$B:$E,4,0),"")</f>
        <v>0</v>
      </c>
      <c r="N50" s="106">
        <f>IFERROR(VLOOKUP("SD6_CONJOINT",'Company 10'!$B:$E,4,0),"")</f>
        <v>0</v>
      </c>
      <c r="O50" s="106">
        <f>IFERROR(VLOOKUP("SD6_CONJOINT",'Company 11'!$B:$E,4,0),"")</f>
        <v>0</v>
      </c>
      <c r="P50" s="106">
        <f>IFERROR(VLOOKUP("SD6_CONJOINT",'Company 12'!$B:$E,4,0),"")</f>
        <v>0</v>
      </c>
      <c r="Q50" s="106">
        <f>IFERROR(VLOOKUP("SD6_CONJOINT",'Company 13'!$B:$E,4,0),"")</f>
        <v>0</v>
      </c>
      <c r="R50" s="106" t="str">
        <f>IFERROR(VLOOKUP("SD6_CONJOINT",#REF!,4,0),"")</f>
        <v/>
      </c>
      <c r="S50" s="106" t="str">
        <f>IFERROR(VLOOKUP("SD6_CONJOINT",#REF!,4,0),"")</f>
        <v/>
      </c>
      <c r="T50" s="106" t="str">
        <f>IFERROR(VLOOKUP("SD6_CONJOINT",#REF!,4,0),"")</f>
        <v/>
      </c>
      <c r="U50" s="106" t="str">
        <f>IFERROR(VLOOKUP("SD6_CONJOINT",#REF!,4,0),"")</f>
        <v/>
      </c>
      <c r="V50" s="106">
        <f>IFERROR(VLOOKUP("SD6_CONJOINT",'Company 18'!$B:$E,4,0),"")</f>
        <v>0</v>
      </c>
      <c r="W50" s="106">
        <f>IFERROR(VLOOKUP("SD6_CONJOINT",'Company 19'!$B:$E,4,0),"")</f>
        <v>0</v>
      </c>
      <c r="X50" s="106">
        <f>IFERROR(VLOOKUP("SD6_CONJOINT",'Company 20'!$B:$E,4,0),"")</f>
        <v>0</v>
      </c>
      <c r="Y50" s="106">
        <f>IFERROR(VLOOKUP("SD6_CONJOINT",'Company 21'!$B:$E,4,0),"")</f>
        <v>0</v>
      </c>
      <c r="Z50" s="106">
        <f>IFERROR(VLOOKUP("SD6_CONJOINT",'Company 22'!$B:$E,4,0),"")</f>
        <v>0</v>
      </c>
      <c r="AA50" s="106">
        <f>IFERROR(VLOOKUP("SD6_CONJOINT",'Company 23'!$B:$E,4,0),"")</f>
        <v>0</v>
      </c>
      <c r="AB50" s="106">
        <f>IFERROR(VLOOKUP("SD6_CONJOINT",'Company 24'!$B:$E,4,0),"")</f>
        <v>0</v>
      </c>
      <c r="AC50" s="106">
        <f>IFERROR(VLOOKUP("SD6_CONJOINT",'Company 25'!$B:$E,4,0),"")</f>
        <v>0</v>
      </c>
      <c r="AD50" s="106">
        <f>IFERROR(VLOOKUP("SD6_CONJOINT",'Company 26'!$B:$E,4,0),"")</f>
        <v>0</v>
      </c>
      <c r="AE50" s="106">
        <f>IFERROR(VLOOKUP("SD6_CONJOINT",'Company 27'!$B:$E,4,0),"")</f>
        <v>0</v>
      </c>
      <c r="AF50" s="106">
        <f>IFERROR(VLOOKUP("SD6_CONJOINT",'Company 28'!$B:$E,4,0),"")</f>
        <v>0</v>
      </c>
      <c r="AG50" s="106">
        <f>IFERROR(VLOOKUP("SD6_CONJOINT",'Company 29'!$B:$E,4,0),"")</f>
        <v>0</v>
      </c>
      <c r="AH50" s="106">
        <f>IFERROR(VLOOKUP("SD6_CONJOINT",'Company 30'!$B:$E,4,0),"")</f>
        <v>0</v>
      </c>
    </row>
    <row r="51" spans="2:34" ht="27.95" customHeight="1"/>
    <row r="52" spans="2:34">
      <c r="B52" s="86" t="s">
        <v>213</v>
      </c>
      <c r="C52" s="170" t="s">
        <v>214</v>
      </c>
      <c r="D52" s="199"/>
      <c r="E52" s="199"/>
      <c r="F52" s="199"/>
      <c r="G52" s="199"/>
      <c r="H52" s="199"/>
      <c r="I52" s="199"/>
      <c r="J52" s="199"/>
      <c r="K52" s="199"/>
      <c r="L52" s="199"/>
      <c r="M52" s="199"/>
      <c r="N52" s="199"/>
      <c r="O52" s="199"/>
      <c r="P52" s="199"/>
      <c r="Q52" s="199"/>
      <c r="R52" s="199"/>
      <c r="S52" s="199"/>
      <c r="T52" s="199"/>
      <c r="U52" s="199"/>
      <c r="V52" s="199"/>
      <c r="W52" s="199"/>
      <c r="X52" s="199"/>
      <c r="Y52" s="199"/>
      <c r="Z52" s="199"/>
      <c r="AA52" s="199"/>
      <c r="AB52" s="199"/>
      <c r="AC52" s="199"/>
      <c r="AD52" s="199"/>
      <c r="AE52" s="199"/>
      <c r="AF52" s="199"/>
      <c r="AG52" s="199"/>
      <c r="AH52" s="200"/>
    </row>
    <row r="53" spans="2:34">
      <c r="C53" s="201"/>
      <c r="D53" s="201"/>
      <c r="E53" s="201"/>
      <c r="F53" s="201"/>
      <c r="G53" s="201"/>
      <c r="H53" s="201"/>
      <c r="I53" s="201"/>
    </row>
  </sheetData>
  <autoFilter ref="B9:AH9" xr:uid="{00000000-0009-0000-0000-000001000000}"/>
  <mergeCells count="2">
    <mergeCell ref="C52:AH52"/>
    <mergeCell ref="C53:I53"/>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FF00"/>
  </sheetPr>
  <dimension ref="B1:O67"/>
  <sheetViews>
    <sheetView zoomScale="85" zoomScaleNormal="85" workbookViewId="0">
      <pane xSplit="7" ySplit="13" topLeftCell="H18" activePane="bottomRight" state="frozen"/>
      <selection pane="bottomRight" activeCell="C21" sqref="C21"/>
      <selection pane="bottomLeft" activeCell="C21" sqref="C21"/>
      <selection pane="topRight" activeCell="C21" sqref="C21"/>
    </sheetView>
  </sheetViews>
  <sheetFormatPr defaultRowHeight="14.45"/>
  <cols>
    <col min="1" max="1" width="2" customWidth="1"/>
    <col min="2" max="2" width="28" customWidth="1"/>
    <col min="3" max="3" width="45" bestFit="1" customWidth="1"/>
    <col min="4" max="4" width="18" customWidth="1"/>
    <col min="5" max="7" width="14" customWidth="1"/>
    <col min="8" max="8" width="55" customWidth="1"/>
    <col min="9" max="13" width="30.140625" customWidth="1"/>
  </cols>
  <sheetData>
    <row r="1" spans="2:15" ht="27.95" customHeight="1">
      <c r="B1" s="118" t="s">
        <v>215</v>
      </c>
      <c r="C1" s="68"/>
      <c r="D1" s="68"/>
      <c r="E1" s="68"/>
      <c r="F1" s="68"/>
      <c r="G1" s="68"/>
      <c r="H1" s="68"/>
    </row>
    <row r="2" spans="2:15" ht="15.95" customHeight="1">
      <c r="B2" s="19" t="s">
        <v>216</v>
      </c>
      <c r="C2" s="43" t="s">
        <v>217</v>
      </c>
      <c r="D2" s="43" t="s">
        <v>218</v>
      </c>
      <c r="E2" s="103"/>
      <c r="F2" s="103"/>
      <c r="G2" s="103"/>
      <c r="H2" s="43" t="s">
        <v>219</v>
      </c>
    </row>
    <row r="3" spans="2:15" ht="15.95" customHeight="1">
      <c r="B3" s="119" t="s">
        <v>220</v>
      </c>
      <c r="C3" s="42" t="s">
        <v>221</v>
      </c>
      <c r="D3" s="120" t="s">
        <v>222</v>
      </c>
      <c r="E3" s="121"/>
      <c r="F3" s="121"/>
      <c r="G3" s="121"/>
      <c r="H3" s="121"/>
    </row>
    <row r="4" spans="2:15" ht="15" customHeight="1">
      <c r="B4" s="119" t="s">
        <v>199</v>
      </c>
      <c r="C4" s="42" t="s">
        <v>223</v>
      </c>
      <c r="D4" s="121"/>
      <c r="E4" s="121"/>
      <c r="F4" s="121"/>
      <c r="G4" s="121"/>
      <c r="H4" s="121"/>
    </row>
    <row r="5" spans="2:15" ht="15.95" customHeight="1">
      <c r="B5" s="119" t="s">
        <v>224</v>
      </c>
      <c r="C5" s="42" t="s">
        <v>225</v>
      </c>
      <c r="D5" s="121"/>
      <c r="E5" s="121"/>
      <c r="F5" s="121"/>
      <c r="G5" s="121"/>
      <c r="H5" s="121"/>
    </row>
    <row r="6" spans="2:15" ht="15.95" customHeight="1">
      <c r="B6" s="119" t="s">
        <v>226</v>
      </c>
      <c r="C6" s="42" t="s">
        <v>162</v>
      </c>
      <c r="D6" s="121"/>
      <c r="E6" s="121"/>
      <c r="F6" s="121"/>
      <c r="G6" s="121"/>
      <c r="H6" s="121"/>
    </row>
    <row r="7" spans="2:15" ht="15.95" customHeight="1">
      <c r="B7" s="119" t="s">
        <v>227</v>
      </c>
      <c r="C7" s="42" t="s">
        <v>228</v>
      </c>
      <c r="D7" s="121"/>
      <c r="E7" s="121"/>
      <c r="F7" s="121"/>
      <c r="G7" s="121"/>
      <c r="H7" s="121"/>
    </row>
    <row r="8" spans="2:15" ht="15.95" customHeight="1">
      <c r="B8" s="119" t="s">
        <v>229</v>
      </c>
      <c r="C8" s="42" t="s">
        <v>230</v>
      </c>
      <c r="D8" s="121"/>
      <c r="E8" s="121"/>
      <c r="F8" s="121"/>
      <c r="G8" s="121"/>
      <c r="H8" s="121"/>
    </row>
    <row r="9" spans="2:15" ht="15.95" customHeight="1">
      <c r="B9" s="119" t="s">
        <v>231</v>
      </c>
      <c r="C9" s="42"/>
      <c r="D9" s="121"/>
      <c r="E9" s="121"/>
      <c r="F9" s="121"/>
      <c r="G9" s="121"/>
      <c r="H9" s="121"/>
    </row>
    <row r="10" spans="2:15" ht="15.95" customHeight="1">
      <c r="B10" s="119" t="s">
        <v>201</v>
      </c>
      <c r="C10" s="42" t="s">
        <v>9</v>
      </c>
      <c r="D10" s="121"/>
      <c r="E10" s="121"/>
      <c r="F10" s="121"/>
      <c r="G10" s="121"/>
      <c r="H10" s="121"/>
    </row>
    <row r="11" spans="2:15" ht="15.95" customHeight="1">
      <c r="B11" s="119" t="s">
        <v>203</v>
      </c>
      <c r="C11" s="42" t="s">
        <v>9</v>
      </c>
      <c r="D11" s="121"/>
      <c r="E11" s="121"/>
      <c r="F11" s="121"/>
      <c r="G11" s="121"/>
      <c r="H11" s="121"/>
    </row>
    <row r="12" spans="2:15" ht="15.95" customHeight="1">
      <c r="B12" s="119" t="s">
        <v>232</v>
      </c>
      <c r="C12" s="122">
        <v>160000000</v>
      </c>
      <c r="D12" s="121"/>
      <c r="E12" s="121"/>
      <c r="F12" s="121"/>
      <c r="G12" s="121"/>
      <c r="H12" s="174"/>
      <c r="I12" s="199"/>
      <c r="J12" s="199"/>
      <c r="K12" s="199"/>
      <c r="L12" s="199"/>
      <c r="M12" s="200"/>
      <c r="N12" s="201"/>
      <c r="O12" s="201"/>
    </row>
    <row r="13" spans="2:15" ht="15.95" customHeight="1">
      <c r="B13" s="119" t="s">
        <v>161</v>
      </c>
      <c r="C13" s="42" t="s">
        <v>233</v>
      </c>
      <c r="D13" s="121"/>
      <c r="E13" s="121"/>
      <c r="F13" s="121"/>
      <c r="G13" s="121"/>
      <c r="H13" s="121"/>
    </row>
    <row r="14" spans="2:15" ht="15.95" customHeight="1">
      <c r="B14" s="68"/>
      <c r="C14" s="68"/>
      <c r="D14" s="68"/>
      <c r="E14" s="68"/>
      <c r="F14" s="68"/>
      <c r="G14" s="68"/>
      <c r="H14" s="68"/>
      <c r="I14" s="1"/>
      <c r="J14" s="1"/>
      <c r="K14" s="1"/>
      <c r="L14" s="1"/>
      <c r="M14" s="2"/>
    </row>
    <row r="15" spans="2:15" ht="54.95" customHeight="1">
      <c r="B15" s="123" t="s">
        <v>46</v>
      </c>
      <c r="C15" s="124" t="s">
        <v>47</v>
      </c>
      <c r="D15" s="1"/>
      <c r="E15" s="1"/>
      <c r="F15" s="1"/>
      <c r="G15" s="1"/>
      <c r="H15" s="2"/>
    </row>
    <row r="16" spans="2:15" ht="39.950000000000003" customHeight="1">
      <c r="B16" s="102" t="s">
        <v>234</v>
      </c>
      <c r="C16" s="172"/>
      <c r="D16" s="199"/>
      <c r="E16" s="199"/>
      <c r="F16" s="199"/>
      <c r="G16" s="199"/>
      <c r="H16" s="200"/>
      <c r="I16" t="s">
        <v>22</v>
      </c>
    </row>
    <row r="17" spans="2:9" ht="54.95" customHeight="1">
      <c r="B17" s="105" t="s">
        <v>52</v>
      </c>
      <c r="C17" s="119" t="s">
        <v>235</v>
      </c>
      <c r="D17" s="125" t="s">
        <v>236</v>
      </c>
      <c r="E17" s="126">
        <v>7</v>
      </c>
      <c r="F17" s="127" t="s">
        <v>237</v>
      </c>
      <c r="G17" s="128" t="s">
        <v>238</v>
      </c>
      <c r="H17" s="129" t="s">
        <v>239</v>
      </c>
      <c r="I17" s="4" t="s">
        <v>240</v>
      </c>
    </row>
    <row r="18" spans="2:9" ht="54.95" customHeight="1">
      <c r="B18" s="130" t="s">
        <v>241</v>
      </c>
      <c r="C18" s="131" t="s">
        <v>242</v>
      </c>
      <c r="D18" s="1"/>
      <c r="E18" s="1"/>
      <c r="F18" s="1"/>
      <c r="G18" s="1"/>
      <c r="H18" s="2"/>
    </row>
    <row r="19" spans="2:9" ht="54.95" customHeight="1">
      <c r="B19" s="105" t="s">
        <v>56</v>
      </c>
      <c r="C19" s="119" t="s">
        <v>243</v>
      </c>
      <c r="D19" s="125" t="s">
        <v>244</v>
      </c>
      <c r="E19" s="126">
        <v>1</v>
      </c>
      <c r="F19" s="127" t="s">
        <v>245</v>
      </c>
      <c r="G19" s="128" t="s">
        <v>246</v>
      </c>
      <c r="H19" s="129" t="s">
        <v>247</v>
      </c>
    </row>
    <row r="20" spans="2:9" ht="18" customHeight="1">
      <c r="B20" s="105" t="s">
        <v>59</v>
      </c>
      <c r="C20" s="119" t="s">
        <v>248</v>
      </c>
      <c r="D20" s="125" t="s">
        <v>244</v>
      </c>
      <c r="E20" s="126">
        <v>1</v>
      </c>
      <c r="F20" s="127" t="s">
        <v>249</v>
      </c>
      <c r="G20" s="128" t="s">
        <v>250</v>
      </c>
      <c r="H20" s="129" t="s">
        <v>251</v>
      </c>
    </row>
    <row r="21" spans="2:9" ht="15.95" customHeight="1">
      <c r="B21" s="105" t="s">
        <v>62</v>
      </c>
      <c r="C21" s="119" t="s">
        <v>252</v>
      </c>
      <c r="D21" s="125" t="s">
        <v>244</v>
      </c>
      <c r="E21" s="126">
        <v>0</v>
      </c>
      <c r="F21" s="127" t="s">
        <v>253</v>
      </c>
      <c r="G21" s="128" t="s">
        <v>254</v>
      </c>
      <c r="H21" s="129" t="s">
        <v>255</v>
      </c>
    </row>
    <row r="22" spans="2:9" ht="54.95" customHeight="1">
      <c r="B22" s="102" t="s">
        <v>256</v>
      </c>
      <c r="C22" s="103"/>
      <c r="D22" s="103"/>
      <c r="E22" s="103"/>
      <c r="F22" s="103"/>
      <c r="G22" s="103"/>
      <c r="H22" s="103"/>
    </row>
    <row r="23" spans="2:9" ht="54.95" customHeight="1">
      <c r="B23" s="132" t="s">
        <v>46</v>
      </c>
      <c r="C23" s="133" t="s">
        <v>47</v>
      </c>
      <c r="D23" s="132" t="s">
        <v>257</v>
      </c>
      <c r="E23" s="134" t="s">
        <v>258</v>
      </c>
      <c r="F23" s="135" t="s">
        <v>259</v>
      </c>
      <c r="G23" s="136" t="s">
        <v>260</v>
      </c>
      <c r="H23" s="133" t="s">
        <v>261</v>
      </c>
    </row>
    <row r="24" spans="2:9" ht="54.95" customHeight="1">
      <c r="B24" s="105" t="s">
        <v>66</v>
      </c>
      <c r="C24" s="42" t="s">
        <v>262</v>
      </c>
      <c r="D24" s="137" t="s">
        <v>263</v>
      </c>
      <c r="E24" s="126">
        <v>3</v>
      </c>
      <c r="F24" s="127" t="s">
        <v>264</v>
      </c>
      <c r="G24" s="128" t="s">
        <v>265</v>
      </c>
      <c r="H24" s="129" t="s">
        <v>266</v>
      </c>
    </row>
    <row r="25" spans="2:9" ht="54.95" customHeight="1">
      <c r="B25" s="105" t="s">
        <v>69</v>
      </c>
      <c r="C25" s="42" t="s">
        <v>267</v>
      </c>
      <c r="D25" s="137" t="s">
        <v>263</v>
      </c>
      <c r="E25" s="126">
        <v>2</v>
      </c>
      <c r="F25" s="127" t="s">
        <v>268</v>
      </c>
      <c r="G25" s="128" t="s">
        <v>269</v>
      </c>
      <c r="H25" s="129" t="s">
        <v>270</v>
      </c>
    </row>
    <row r="26" spans="2:9" ht="54.95" customHeight="1">
      <c r="B26" s="105" t="s">
        <v>71</v>
      </c>
      <c r="C26" s="42" t="s">
        <v>271</v>
      </c>
      <c r="D26" s="137" t="s">
        <v>263</v>
      </c>
      <c r="E26" s="126">
        <v>2</v>
      </c>
      <c r="F26" s="127" t="s">
        <v>272</v>
      </c>
      <c r="G26" s="128" t="s">
        <v>273</v>
      </c>
      <c r="H26" s="129" t="s">
        <v>274</v>
      </c>
    </row>
    <row r="27" spans="2:9" ht="54.95" customHeight="1">
      <c r="B27" s="105" t="s">
        <v>73</v>
      </c>
      <c r="C27" s="42" t="s">
        <v>275</v>
      </c>
      <c r="D27" s="137" t="s">
        <v>263</v>
      </c>
      <c r="E27" s="126">
        <v>2</v>
      </c>
      <c r="F27" s="127" t="s">
        <v>276</v>
      </c>
      <c r="G27" s="128" t="s">
        <v>277</v>
      </c>
      <c r="H27" s="129" t="s">
        <v>278</v>
      </c>
    </row>
    <row r="28" spans="2:9" ht="54.95" customHeight="1">
      <c r="B28" s="105" t="s">
        <v>75</v>
      </c>
      <c r="C28" s="42" t="s">
        <v>279</v>
      </c>
      <c r="D28" s="137" t="s">
        <v>263</v>
      </c>
      <c r="E28" s="126">
        <v>2</v>
      </c>
      <c r="F28" s="127" t="s">
        <v>280</v>
      </c>
      <c r="G28" s="128" t="s">
        <v>281</v>
      </c>
      <c r="H28" s="129" t="s">
        <v>282</v>
      </c>
    </row>
    <row r="29" spans="2:9" ht="54.95" customHeight="1">
      <c r="B29" s="105" t="s">
        <v>77</v>
      </c>
      <c r="C29" s="42" t="s">
        <v>283</v>
      </c>
      <c r="D29" s="137" t="s">
        <v>263</v>
      </c>
      <c r="E29" s="126">
        <v>4</v>
      </c>
      <c r="F29" s="127" t="s">
        <v>284</v>
      </c>
      <c r="G29" s="128" t="s">
        <v>285</v>
      </c>
      <c r="H29" s="129" t="s">
        <v>286</v>
      </c>
    </row>
    <row r="30" spans="2:9" ht="54.95" customHeight="1">
      <c r="B30" s="105" t="s">
        <v>79</v>
      </c>
      <c r="C30" s="42" t="s">
        <v>287</v>
      </c>
      <c r="D30" s="137" t="s">
        <v>263</v>
      </c>
      <c r="E30" s="126">
        <v>3</v>
      </c>
      <c r="F30" s="127" t="s">
        <v>288</v>
      </c>
      <c r="G30" s="128" t="s">
        <v>289</v>
      </c>
      <c r="H30" s="129" t="s">
        <v>290</v>
      </c>
    </row>
    <row r="31" spans="2:9" ht="18" customHeight="1">
      <c r="B31" s="105" t="s">
        <v>81</v>
      </c>
      <c r="C31" s="42" t="s">
        <v>291</v>
      </c>
      <c r="D31" s="1"/>
      <c r="E31" s="1"/>
      <c r="F31" s="1"/>
      <c r="G31" s="1"/>
      <c r="H31" s="2"/>
    </row>
    <row r="32" spans="2:9" ht="30" customHeight="1">
      <c r="B32" s="105" t="s">
        <v>84</v>
      </c>
      <c r="C32" s="42" t="s">
        <v>292</v>
      </c>
      <c r="D32" s="138" t="s">
        <v>236</v>
      </c>
      <c r="E32" s="126">
        <v>6</v>
      </c>
      <c r="F32" s="139" t="s">
        <v>293</v>
      </c>
      <c r="G32" s="128" t="s">
        <v>294</v>
      </c>
      <c r="H32" s="140" t="s">
        <v>295</v>
      </c>
    </row>
    <row r="33" spans="2:8" ht="20.100000000000001" customHeight="1">
      <c r="B33" s="102" t="s">
        <v>296</v>
      </c>
      <c r="C33" s="103"/>
      <c r="D33" s="1"/>
      <c r="E33" s="1"/>
      <c r="F33" s="1"/>
      <c r="G33" s="1"/>
      <c r="H33" s="2"/>
    </row>
    <row r="34" spans="2:8" ht="39.950000000000003" customHeight="1">
      <c r="B34" s="141" t="s">
        <v>297</v>
      </c>
      <c r="C34" s="173" t="s">
        <v>298</v>
      </c>
      <c r="D34" s="199"/>
      <c r="E34" s="199"/>
      <c r="F34" s="199"/>
      <c r="G34" s="199"/>
      <c r="H34" s="200"/>
    </row>
    <row r="35" spans="2:8" ht="20.100000000000001" customHeight="1">
      <c r="B35" s="143" t="s">
        <v>88</v>
      </c>
      <c r="C35" s="42" t="s">
        <v>89</v>
      </c>
      <c r="D35" s="137" t="s">
        <v>244</v>
      </c>
      <c r="E35" s="126">
        <v>0</v>
      </c>
      <c r="F35" s="144" t="s">
        <v>299</v>
      </c>
      <c r="G35" s="145" t="s">
        <v>300</v>
      </c>
      <c r="H35" s="121"/>
    </row>
    <row r="36" spans="2:8" ht="20.100000000000001" customHeight="1">
      <c r="B36" s="130" t="s">
        <v>241</v>
      </c>
      <c r="C36" s="131" t="s">
        <v>301</v>
      </c>
      <c r="D36" s="1"/>
      <c r="E36" s="1"/>
      <c r="F36" s="1"/>
      <c r="G36" s="1"/>
      <c r="H36" s="2"/>
    </row>
    <row r="37" spans="2:8" ht="20.100000000000001" customHeight="1">
      <c r="B37" s="143" t="s">
        <v>91</v>
      </c>
      <c r="C37" s="42" t="s">
        <v>92</v>
      </c>
      <c r="D37" s="137" t="s">
        <v>244</v>
      </c>
      <c r="E37" s="126">
        <v>0</v>
      </c>
      <c r="F37" s="144" t="s">
        <v>299</v>
      </c>
      <c r="G37" s="145" t="s">
        <v>300</v>
      </c>
      <c r="H37" s="121"/>
    </row>
    <row r="38" spans="2:8" ht="20.100000000000001" customHeight="1">
      <c r="B38" s="143" t="s">
        <v>94</v>
      </c>
      <c r="C38" s="42" t="s">
        <v>302</v>
      </c>
      <c r="D38" s="137" t="s">
        <v>244</v>
      </c>
      <c r="E38" s="126">
        <v>0</v>
      </c>
      <c r="F38" s="144" t="s">
        <v>299</v>
      </c>
      <c r="G38" s="145" t="s">
        <v>300</v>
      </c>
      <c r="H38" s="121"/>
    </row>
    <row r="39" spans="2:8" ht="20.100000000000001" customHeight="1">
      <c r="B39" s="143" t="s">
        <v>97</v>
      </c>
      <c r="C39" s="42" t="s">
        <v>98</v>
      </c>
      <c r="D39" s="137" t="s">
        <v>244</v>
      </c>
      <c r="E39" s="126">
        <v>1</v>
      </c>
      <c r="F39" s="144" t="s">
        <v>299</v>
      </c>
      <c r="G39" s="145" t="s">
        <v>300</v>
      </c>
      <c r="H39" s="121"/>
    </row>
    <row r="40" spans="2:8" ht="20.100000000000001" customHeight="1">
      <c r="B40" s="143" t="s">
        <v>100</v>
      </c>
      <c r="C40" s="42" t="s">
        <v>101</v>
      </c>
      <c r="D40" s="137" t="s">
        <v>244</v>
      </c>
      <c r="E40" s="126">
        <v>0</v>
      </c>
      <c r="F40" s="144" t="s">
        <v>299</v>
      </c>
      <c r="G40" s="145" t="s">
        <v>300</v>
      </c>
      <c r="H40" s="121"/>
    </row>
    <row r="41" spans="2:8" ht="18" customHeight="1">
      <c r="B41" s="143" t="s">
        <v>103</v>
      </c>
      <c r="C41" s="42" t="s">
        <v>104</v>
      </c>
      <c r="D41" s="84" t="s">
        <v>244</v>
      </c>
      <c r="E41" s="146"/>
      <c r="F41" s="127" t="s">
        <v>299</v>
      </c>
      <c r="G41" s="128" t="s">
        <v>300</v>
      </c>
      <c r="H41" s="129" t="s">
        <v>298</v>
      </c>
    </row>
    <row r="42" spans="2:8" ht="30" customHeight="1">
      <c r="B42" s="143" t="s">
        <v>106</v>
      </c>
      <c r="C42" s="42" t="s">
        <v>303</v>
      </c>
      <c r="D42" s="84" t="s">
        <v>244</v>
      </c>
      <c r="E42" s="146"/>
      <c r="F42" s="127" t="s">
        <v>299</v>
      </c>
      <c r="G42" s="128" t="s">
        <v>300</v>
      </c>
      <c r="H42" s="129" t="s">
        <v>298</v>
      </c>
    </row>
    <row r="43" spans="2:8" ht="20.100000000000001" customHeight="1">
      <c r="B43" s="102" t="s">
        <v>304</v>
      </c>
      <c r="C43" s="103"/>
      <c r="D43" s="103"/>
      <c r="E43" s="103"/>
      <c r="F43" s="103"/>
      <c r="G43" s="103"/>
      <c r="H43" s="103"/>
    </row>
    <row r="44" spans="2:8" ht="20.100000000000001" customHeight="1">
      <c r="B44" s="141" t="s">
        <v>297</v>
      </c>
      <c r="C44" s="142" t="s">
        <v>298</v>
      </c>
      <c r="D44" s="1"/>
      <c r="E44" s="1"/>
      <c r="F44" s="1"/>
      <c r="G44" s="1"/>
      <c r="H44" s="2"/>
    </row>
    <row r="45" spans="2:8" ht="20.100000000000001" customHeight="1">
      <c r="B45" s="143" t="s">
        <v>110</v>
      </c>
      <c r="C45" s="42" t="s">
        <v>111</v>
      </c>
      <c r="D45" s="137" t="s">
        <v>244</v>
      </c>
      <c r="E45" s="126">
        <v>1</v>
      </c>
      <c r="F45" s="144" t="s">
        <v>299</v>
      </c>
      <c r="G45" s="145" t="s">
        <v>300</v>
      </c>
      <c r="H45" s="121" t="s">
        <v>305</v>
      </c>
    </row>
    <row r="46" spans="2:8" ht="20.100000000000001" customHeight="1">
      <c r="B46" s="143" t="s">
        <v>113</v>
      </c>
      <c r="C46" s="42" t="s">
        <v>114</v>
      </c>
      <c r="D46" s="137" t="s">
        <v>244</v>
      </c>
      <c r="E46" s="126">
        <v>0</v>
      </c>
      <c r="F46" s="144" t="s">
        <v>299</v>
      </c>
      <c r="G46" s="145" t="s">
        <v>300</v>
      </c>
      <c r="H46" s="121"/>
    </row>
    <row r="47" spans="2:8" ht="18" customHeight="1">
      <c r="B47" s="143" t="s">
        <v>116</v>
      </c>
      <c r="C47" s="42" t="s">
        <v>117</v>
      </c>
      <c r="D47" s="84" t="s">
        <v>244</v>
      </c>
      <c r="E47" s="126">
        <v>0</v>
      </c>
      <c r="F47" s="127" t="s">
        <v>299</v>
      </c>
      <c r="G47" s="128" t="s">
        <v>300</v>
      </c>
      <c r="H47" s="129" t="s">
        <v>298</v>
      </c>
    </row>
    <row r="48" spans="2:8" ht="30" customHeight="1">
      <c r="B48" s="143" t="s">
        <v>119</v>
      </c>
      <c r="C48" s="42" t="s">
        <v>120</v>
      </c>
      <c r="D48" s="84" t="s">
        <v>244</v>
      </c>
      <c r="E48" s="126">
        <v>0</v>
      </c>
      <c r="F48" s="127" t="s">
        <v>299</v>
      </c>
      <c r="G48" s="128" t="s">
        <v>300</v>
      </c>
      <c r="H48" s="129" t="s">
        <v>298</v>
      </c>
    </row>
    <row r="49" spans="2:8" ht="20.100000000000001" customHeight="1">
      <c r="B49" s="102" t="s">
        <v>306</v>
      </c>
      <c r="C49" s="103"/>
      <c r="D49" s="1"/>
      <c r="E49" s="1"/>
      <c r="F49" s="1"/>
      <c r="G49" s="1"/>
      <c r="H49" s="2"/>
    </row>
    <row r="50" spans="2:8" ht="39.950000000000003" customHeight="1">
      <c r="B50" s="141" t="s">
        <v>297</v>
      </c>
      <c r="C50" s="173" t="s">
        <v>298</v>
      </c>
      <c r="D50" s="199"/>
      <c r="E50" s="199"/>
      <c r="F50" s="199"/>
      <c r="G50" s="199"/>
      <c r="H50" s="200"/>
    </row>
    <row r="51" spans="2:8" ht="20.100000000000001" customHeight="1">
      <c r="B51" s="143" t="s">
        <v>123</v>
      </c>
      <c r="C51" s="42" t="s">
        <v>307</v>
      </c>
      <c r="D51" s="137" t="s">
        <v>244</v>
      </c>
      <c r="E51" s="126">
        <v>0</v>
      </c>
      <c r="F51" s="144" t="s">
        <v>299</v>
      </c>
      <c r="G51" s="145" t="s">
        <v>300</v>
      </c>
      <c r="H51" s="121"/>
    </row>
    <row r="52" spans="2:8" ht="20.100000000000001" customHeight="1">
      <c r="B52" s="130" t="s">
        <v>241</v>
      </c>
      <c r="C52" s="131" t="s">
        <v>308</v>
      </c>
      <c r="D52" s="1"/>
      <c r="E52" s="1"/>
      <c r="F52" s="1"/>
      <c r="G52" s="1"/>
      <c r="H52" s="2"/>
    </row>
    <row r="53" spans="2:8" ht="20.100000000000001" customHeight="1">
      <c r="B53" s="143" t="s">
        <v>126</v>
      </c>
      <c r="C53" s="42" t="s">
        <v>309</v>
      </c>
      <c r="D53" s="137" t="s">
        <v>244</v>
      </c>
      <c r="E53" s="126">
        <v>0</v>
      </c>
      <c r="F53" s="144" t="s">
        <v>299</v>
      </c>
      <c r="G53" s="145" t="s">
        <v>300</v>
      </c>
      <c r="H53" s="121"/>
    </row>
    <row r="54" spans="2:8" ht="20.100000000000001" customHeight="1">
      <c r="B54" s="143" t="s">
        <v>129</v>
      </c>
      <c r="C54" s="42" t="s">
        <v>130</v>
      </c>
      <c r="D54" s="137" t="s">
        <v>244</v>
      </c>
      <c r="E54" s="126">
        <v>0</v>
      </c>
      <c r="F54" s="144" t="s">
        <v>299</v>
      </c>
      <c r="G54" s="145" t="s">
        <v>300</v>
      </c>
      <c r="H54" s="121"/>
    </row>
    <row r="55" spans="2:8" ht="18" customHeight="1">
      <c r="B55" s="143" t="s">
        <v>132</v>
      </c>
      <c r="C55" s="42" t="s">
        <v>310</v>
      </c>
      <c r="D55" s="137" t="s">
        <v>244</v>
      </c>
      <c r="E55" s="126">
        <v>0</v>
      </c>
      <c r="F55" s="144" t="s">
        <v>299</v>
      </c>
      <c r="G55" s="145" t="s">
        <v>300</v>
      </c>
      <c r="H55" s="2"/>
    </row>
    <row r="56" spans="2:8" ht="30" customHeight="1">
      <c r="B56" s="143" t="s">
        <v>135</v>
      </c>
      <c r="C56" s="42" t="s">
        <v>311</v>
      </c>
      <c r="D56" s="137" t="s">
        <v>244</v>
      </c>
      <c r="E56" s="126">
        <v>1</v>
      </c>
      <c r="F56" s="144" t="s">
        <v>299</v>
      </c>
      <c r="G56" s="145" t="s">
        <v>300</v>
      </c>
      <c r="H56" s="2" t="s">
        <v>312</v>
      </c>
    </row>
    <row r="57" spans="2:8" ht="20.100000000000001" customHeight="1">
      <c r="B57" s="102" t="s">
        <v>313</v>
      </c>
      <c r="C57" s="103"/>
      <c r="D57" s="103"/>
      <c r="E57" s="103"/>
      <c r="F57" s="103"/>
      <c r="G57" s="103"/>
      <c r="H57" s="103"/>
    </row>
    <row r="58" spans="2:8" ht="20.100000000000001" customHeight="1">
      <c r="B58" s="141" t="s">
        <v>297</v>
      </c>
      <c r="C58" s="142" t="s">
        <v>298</v>
      </c>
      <c r="D58" s="1"/>
      <c r="E58" s="1"/>
      <c r="F58" s="1"/>
      <c r="G58" s="1"/>
      <c r="H58" s="2"/>
    </row>
    <row r="59" spans="2:8" ht="20.100000000000001" customHeight="1">
      <c r="B59" s="143" t="s">
        <v>139</v>
      </c>
      <c r="C59" s="42" t="s">
        <v>314</v>
      </c>
      <c r="D59" s="137" t="s">
        <v>244</v>
      </c>
      <c r="E59" s="126">
        <v>1</v>
      </c>
      <c r="F59" s="144" t="s">
        <v>299</v>
      </c>
      <c r="G59" s="145" t="s">
        <v>300</v>
      </c>
      <c r="H59" s="121"/>
    </row>
    <row r="60" spans="2:8" ht="20.100000000000001" customHeight="1">
      <c r="B60" s="143" t="s">
        <v>142</v>
      </c>
      <c r="C60" s="42" t="s">
        <v>143</v>
      </c>
      <c r="D60" s="137" t="s">
        <v>244</v>
      </c>
      <c r="E60" s="126">
        <v>1</v>
      </c>
      <c r="F60" s="144" t="s">
        <v>299</v>
      </c>
      <c r="G60" s="145" t="s">
        <v>300</v>
      </c>
      <c r="H60" s="121"/>
    </row>
    <row r="61" spans="2:8" ht="20.100000000000001" customHeight="1">
      <c r="B61" s="143" t="s">
        <v>145</v>
      </c>
      <c r="C61" s="42" t="s">
        <v>315</v>
      </c>
      <c r="D61" s="137" t="s">
        <v>244</v>
      </c>
      <c r="E61" s="126">
        <v>1</v>
      </c>
      <c r="F61" s="144" t="s">
        <v>299</v>
      </c>
      <c r="G61" s="145" t="s">
        <v>300</v>
      </c>
      <c r="H61" s="121"/>
    </row>
    <row r="62" spans="2:8" ht="20.100000000000001" customHeight="1">
      <c r="B62" s="143" t="s">
        <v>148</v>
      </c>
      <c r="C62" s="42" t="s">
        <v>316</v>
      </c>
      <c r="D62" s="137" t="s">
        <v>244</v>
      </c>
      <c r="E62" s="126">
        <v>0</v>
      </c>
      <c r="F62" s="144" t="s">
        <v>299</v>
      </c>
      <c r="G62" s="145" t="s">
        <v>300</v>
      </c>
      <c r="H62" s="121"/>
    </row>
    <row r="63" spans="2:8" ht="18" customHeight="1">
      <c r="B63" s="143" t="s">
        <v>151</v>
      </c>
      <c r="C63" s="42" t="s">
        <v>152</v>
      </c>
      <c r="D63" s="137" t="s">
        <v>244</v>
      </c>
      <c r="E63" s="126">
        <v>0</v>
      </c>
      <c r="F63" s="144" t="s">
        <v>299</v>
      </c>
      <c r="G63" s="145" t="s">
        <v>300</v>
      </c>
      <c r="H63" s="2"/>
    </row>
    <row r="64" spans="2:8" ht="30" customHeight="1">
      <c r="B64" s="143" t="s">
        <v>154</v>
      </c>
      <c r="C64" s="42" t="s">
        <v>155</v>
      </c>
      <c r="D64" s="137" t="s">
        <v>244</v>
      </c>
      <c r="E64" s="126">
        <v>0</v>
      </c>
      <c r="F64" s="144" t="s">
        <v>299</v>
      </c>
      <c r="G64" s="145" t="s">
        <v>300</v>
      </c>
      <c r="H64" s="2"/>
    </row>
    <row r="65" spans="2:8" ht="20.100000000000001" customHeight="1">
      <c r="B65" s="141" t="s">
        <v>297</v>
      </c>
      <c r="C65" s="142" t="s">
        <v>298</v>
      </c>
      <c r="D65" s="1"/>
      <c r="E65" s="1"/>
      <c r="F65" s="1"/>
      <c r="G65" s="1"/>
      <c r="H65" s="2"/>
    </row>
    <row r="67" spans="2:8" ht="30" customHeight="1">
      <c r="B67" s="147" t="s">
        <v>317</v>
      </c>
      <c r="C67" s="170" t="s">
        <v>318</v>
      </c>
      <c r="D67" s="199"/>
      <c r="E67" s="199"/>
      <c r="F67" s="199"/>
      <c r="G67" s="199"/>
      <c r="H67" s="200"/>
    </row>
  </sheetData>
  <mergeCells count="6">
    <mergeCell ref="C67:H67"/>
    <mergeCell ref="C16:H16"/>
    <mergeCell ref="C50:H50"/>
    <mergeCell ref="N12:O12"/>
    <mergeCell ref="C34:H34"/>
    <mergeCell ref="H12:M12"/>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FF00"/>
  </sheetPr>
  <dimension ref="B1:O67"/>
  <sheetViews>
    <sheetView zoomScale="85" zoomScaleNormal="85" workbookViewId="0">
      <pane xSplit="7" ySplit="13" topLeftCell="H29" activePane="bottomRight" state="frozen"/>
      <selection pane="bottomRight" activeCell="C21" sqref="C21"/>
      <selection pane="bottomLeft" activeCell="C21" sqref="C21"/>
      <selection pane="topRight" activeCell="C21" sqref="C21"/>
    </sheetView>
  </sheetViews>
  <sheetFormatPr defaultRowHeight="14.45"/>
  <cols>
    <col min="1" max="1" width="2" customWidth="1"/>
    <col min="2" max="2" width="28" customWidth="1"/>
    <col min="3" max="3" width="45" bestFit="1" customWidth="1"/>
    <col min="4" max="4" width="18" customWidth="1"/>
    <col min="5" max="7" width="14" customWidth="1"/>
    <col min="8" max="8" width="55" customWidth="1"/>
    <col min="9" max="13" width="30.140625" customWidth="1"/>
  </cols>
  <sheetData>
    <row r="1" spans="2:15" ht="27.95" customHeight="1">
      <c r="B1" s="118" t="s">
        <v>319</v>
      </c>
      <c r="C1" s="68"/>
      <c r="D1" s="68"/>
      <c r="E1" s="68"/>
      <c r="F1" s="68"/>
      <c r="G1" s="68"/>
      <c r="H1" s="68"/>
    </row>
    <row r="2" spans="2:15" ht="15.95" customHeight="1">
      <c r="B2" s="19" t="s">
        <v>216</v>
      </c>
      <c r="C2" s="43" t="s">
        <v>217</v>
      </c>
      <c r="D2" s="43" t="s">
        <v>218</v>
      </c>
      <c r="E2" s="103"/>
      <c r="F2" s="103"/>
      <c r="G2" s="103"/>
      <c r="H2" s="43" t="s">
        <v>219</v>
      </c>
    </row>
    <row r="3" spans="2:15" ht="15.95" customHeight="1">
      <c r="B3" s="119" t="s">
        <v>220</v>
      </c>
      <c r="C3" s="148" t="s">
        <v>320</v>
      </c>
      <c r="D3" s="121"/>
      <c r="E3" s="121"/>
      <c r="F3" s="121"/>
      <c r="G3" s="121"/>
      <c r="H3" s="121"/>
    </row>
    <row r="4" spans="2:15" ht="15.95" customHeight="1">
      <c r="B4" s="119" t="s">
        <v>199</v>
      </c>
      <c r="C4" s="148" t="s">
        <v>321</v>
      </c>
      <c r="D4" s="121"/>
      <c r="E4" s="121"/>
      <c r="F4" s="121"/>
      <c r="G4" s="121"/>
      <c r="H4" s="121"/>
    </row>
    <row r="5" spans="2:15" ht="15.95" customHeight="1">
      <c r="B5" s="119" t="s">
        <v>224</v>
      </c>
      <c r="C5" s="42" t="s">
        <v>322</v>
      </c>
      <c r="D5" s="121"/>
      <c r="E5" s="121"/>
      <c r="F5" s="121"/>
      <c r="G5" s="121"/>
      <c r="H5" s="121"/>
    </row>
    <row r="6" spans="2:15" ht="15.95" customHeight="1">
      <c r="B6" s="119" t="s">
        <v>226</v>
      </c>
      <c r="C6" s="42" t="s">
        <v>163</v>
      </c>
      <c r="D6" s="121"/>
      <c r="E6" s="121"/>
      <c r="F6" s="121"/>
      <c r="G6" s="121"/>
      <c r="H6" s="121"/>
    </row>
    <row r="7" spans="2:15" ht="15.95" customHeight="1">
      <c r="B7" s="119" t="s">
        <v>227</v>
      </c>
      <c r="C7" s="42" t="s">
        <v>228</v>
      </c>
      <c r="D7" s="121"/>
      <c r="E7" s="121"/>
      <c r="F7" s="121"/>
      <c r="G7" s="121"/>
      <c r="H7" s="121"/>
    </row>
    <row r="8" spans="2:15" ht="15.95" customHeight="1">
      <c r="B8" s="119" t="s">
        <v>229</v>
      </c>
      <c r="C8" s="42" t="s">
        <v>323</v>
      </c>
      <c r="D8" s="121"/>
      <c r="E8" s="121"/>
      <c r="F8" s="121"/>
      <c r="G8" s="121"/>
      <c r="H8" s="121"/>
    </row>
    <row r="9" spans="2:15" ht="15.95" customHeight="1">
      <c r="B9" s="119" t="s">
        <v>231</v>
      </c>
      <c r="C9" s="42" t="s">
        <v>323</v>
      </c>
      <c r="D9" s="121"/>
      <c r="E9" s="121"/>
      <c r="F9" s="121"/>
      <c r="G9" s="121"/>
      <c r="H9" s="121"/>
    </row>
    <row r="10" spans="2:15" ht="15.95" customHeight="1">
      <c r="B10" s="119" t="s">
        <v>201</v>
      </c>
      <c r="C10" s="42" t="s">
        <v>324</v>
      </c>
      <c r="D10" s="121"/>
      <c r="E10" s="121"/>
      <c r="F10" s="121"/>
      <c r="G10" s="121"/>
      <c r="H10" s="121"/>
    </row>
    <row r="11" spans="2:15" ht="15.95" customHeight="1">
      <c r="B11" s="119" t="s">
        <v>203</v>
      </c>
      <c r="C11" s="42" t="s">
        <v>9</v>
      </c>
      <c r="D11" s="121"/>
      <c r="E11" s="121"/>
      <c r="F11" s="121"/>
      <c r="G11" s="121"/>
      <c r="H11" s="121"/>
    </row>
    <row r="12" spans="2:15" ht="15.95" customHeight="1">
      <c r="B12" s="119" t="s">
        <v>232</v>
      </c>
      <c r="C12" s="122">
        <v>2000000000</v>
      </c>
      <c r="D12" s="121"/>
      <c r="E12" s="121"/>
      <c r="F12" s="121"/>
      <c r="G12" s="121"/>
      <c r="H12" s="174"/>
      <c r="I12" s="199"/>
      <c r="J12" s="199"/>
      <c r="K12" s="199"/>
      <c r="L12" s="199"/>
      <c r="M12" s="200"/>
      <c r="N12" s="201"/>
      <c r="O12" s="201"/>
    </row>
    <row r="13" spans="2:15" ht="15.95" customHeight="1">
      <c r="B13" s="119" t="s">
        <v>161</v>
      </c>
      <c r="C13" s="42" t="s">
        <v>325</v>
      </c>
      <c r="D13" s="121"/>
      <c r="E13" s="121"/>
      <c r="F13" s="121"/>
      <c r="G13" s="121"/>
      <c r="H13" s="121"/>
    </row>
    <row r="14" spans="2:15" ht="15.95" customHeight="1">
      <c r="B14" s="68"/>
      <c r="C14" s="68"/>
      <c r="D14" s="68"/>
      <c r="E14" s="68"/>
      <c r="F14" s="68"/>
      <c r="G14" s="68"/>
      <c r="H14" s="68"/>
      <c r="I14" s="1"/>
      <c r="J14" s="1"/>
      <c r="K14" s="1"/>
      <c r="L14" s="1"/>
      <c r="M14" s="2"/>
    </row>
    <row r="15" spans="2:15" ht="54.95" customHeight="1">
      <c r="B15" s="123" t="s">
        <v>46</v>
      </c>
      <c r="C15" s="124" t="s">
        <v>47</v>
      </c>
      <c r="D15" s="1"/>
      <c r="E15" s="1"/>
      <c r="F15" s="1"/>
      <c r="G15" s="1"/>
      <c r="H15" s="2"/>
    </row>
    <row r="16" spans="2:15" ht="39.950000000000003" customHeight="1">
      <c r="B16" s="102" t="s">
        <v>234</v>
      </c>
      <c r="C16" s="103"/>
      <c r="D16" s="103"/>
      <c r="E16" s="103"/>
      <c r="F16" s="103"/>
      <c r="G16" s="103"/>
      <c r="H16" s="103"/>
    </row>
    <row r="17" spans="2:8" ht="54.95" customHeight="1">
      <c r="B17" s="105" t="s">
        <v>52</v>
      </c>
      <c r="C17" s="119" t="s">
        <v>235</v>
      </c>
      <c r="D17" s="125" t="s">
        <v>236</v>
      </c>
      <c r="E17" s="126">
        <v>2</v>
      </c>
      <c r="F17" s="127" t="s">
        <v>237</v>
      </c>
      <c r="G17" s="128" t="s">
        <v>238</v>
      </c>
      <c r="H17" s="129" t="s">
        <v>239</v>
      </c>
    </row>
    <row r="18" spans="2:8" ht="54.95" customHeight="1">
      <c r="B18" s="130" t="s">
        <v>241</v>
      </c>
      <c r="C18" s="176" t="s">
        <v>326</v>
      </c>
      <c r="D18" s="199"/>
      <c r="E18" s="199"/>
      <c r="F18" s="199"/>
      <c r="G18" s="199"/>
      <c r="H18" s="200"/>
    </row>
    <row r="19" spans="2:8" ht="54.95" customHeight="1">
      <c r="B19" s="105" t="s">
        <v>56</v>
      </c>
      <c r="C19" s="119" t="s">
        <v>243</v>
      </c>
      <c r="D19" s="125" t="s">
        <v>244</v>
      </c>
      <c r="E19" s="126">
        <v>1</v>
      </c>
      <c r="F19" s="127" t="s">
        <v>245</v>
      </c>
      <c r="G19" s="128" t="s">
        <v>246</v>
      </c>
      <c r="H19" s="129" t="s">
        <v>247</v>
      </c>
    </row>
    <row r="20" spans="2:8" ht="18" customHeight="1">
      <c r="B20" s="105" t="s">
        <v>59</v>
      </c>
      <c r="C20" s="119" t="s">
        <v>248</v>
      </c>
      <c r="D20" s="125" t="s">
        <v>244</v>
      </c>
      <c r="E20" s="126">
        <v>0</v>
      </c>
      <c r="F20" s="127" t="s">
        <v>249</v>
      </c>
      <c r="G20" s="128" t="s">
        <v>250</v>
      </c>
      <c r="H20" s="129" t="s">
        <v>251</v>
      </c>
    </row>
    <row r="21" spans="2:8" ht="15.95" customHeight="1">
      <c r="B21" s="105" t="s">
        <v>62</v>
      </c>
      <c r="C21" s="119" t="s">
        <v>252</v>
      </c>
      <c r="D21" s="125" t="s">
        <v>244</v>
      </c>
      <c r="E21" s="126">
        <v>1</v>
      </c>
      <c r="F21" s="127" t="s">
        <v>253</v>
      </c>
      <c r="G21" s="128" t="s">
        <v>254</v>
      </c>
      <c r="H21" s="129" t="s">
        <v>255</v>
      </c>
    </row>
    <row r="22" spans="2:8" ht="54.95" customHeight="1">
      <c r="B22" s="102" t="s">
        <v>256</v>
      </c>
      <c r="C22" s="103"/>
      <c r="D22" s="103"/>
      <c r="E22" s="103"/>
      <c r="F22" s="103"/>
      <c r="G22" s="103"/>
      <c r="H22" s="103"/>
    </row>
    <row r="23" spans="2:8" ht="54.95" customHeight="1">
      <c r="B23" s="132" t="s">
        <v>46</v>
      </c>
      <c r="C23" s="133" t="s">
        <v>47</v>
      </c>
      <c r="D23" s="132" t="s">
        <v>257</v>
      </c>
      <c r="E23" s="134" t="s">
        <v>258</v>
      </c>
      <c r="F23" s="135" t="s">
        <v>259</v>
      </c>
      <c r="G23" s="136" t="s">
        <v>260</v>
      </c>
      <c r="H23" s="133" t="s">
        <v>261</v>
      </c>
    </row>
    <row r="24" spans="2:8" ht="54.95" customHeight="1">
      <c r="B24" s="105" t="s">
        <v>66</v>
      </c>
      <c r="C24" s="42" t="s">
        <v>262</v>
      </c>
      <c r="D24" s="137" t="s">
        <v>263</v>
      </c>
      <c r="E24" s="149"/>
      <c r="F24" s="127" t="s">
        <v>264</v>
      </c>
      <c r="G24" s="128" t="s">
        <v>265</v>
      </c>
      <c r="H24" s="129" t="s">
        <v>266</v>
      </c>
    </row>
    <row r="25" spans="2:8" ht="54.95" customHeight="1">
      <c r="B25" s="105" t="s">
        <v>69</v>
      </c>
      <c r="C25" s="42" t="s">
        <v>267</v>
      </c>
      <c r="D25" s="137" t="s">
        <v>263</v>
      </c>
      <c r="E25" s="149"/>
      <c r="F25" s="127" t="s">
        <v>268</v>
      </c>
      <c r="G25" s="128" t="s">
        <v>269</v>
      </c>
      <c r="H25" s="129" t="s">
        <v>270</v>
      </c>
    </row>
    <row r="26" spans="2:8" ht="54.95" customHeight="1">
      <c r="B26" s="105" t="s">
        <v>71</v>
      </c>
      <c r="C26" s="42" t="s">
        <v>271</v>
      </c>
      <c r="D26" s="137" t="s">
        <v>263</v>
      </c>
      <c r="E26" s="126">
        <v>1</v>
      </c>
      <c r="F26" s="127" t="s">
        <v>272</v>
      </c>
      <c r="G26" s="128" t="s">
        <v>273</v>
      </c>
      <c r="H26" s="129" t="s">
        <v>274</v>
      </c>
    </row>
    <row r="27" spans="2:8" ht="54.95" customHeight="1">
      <c r="B27" s="105" t="s">
        <v>73</v>
      </c>
      <c r="C27" s="42" t="s">
        <v>275</v>
      </c>
      <c r="D27" s="137" t="s">
        <v>263</v>
      </c>
      <c r="E27" s="126">
        <v>1</v>
      </c>
      <c r="F27" s="127" t="s">
        <v>276</v>
      </c>
      <c r="G27" s="128" t="s">
        <v>277</v>
      </c>
      <c r="H27" s="129" t="s">
        <v>278</v>
      </c>
    </row>
    <row r="28" spans="2:8" ht="54.95" customHeight="1">
      <c r="B28" s="105" t="s">
        <v>75</v>
      </c>
      <c r="C28" s="42" t="s">
        <v>279</v>
      </c>
      <c r="D28" s="137" t="s">
        <v>263</v>
      </c>
      <c r="E28" s="126">
        <v>1</v>
      </c>
      <c r="F28" s="127" t="s">
        <v>280</v>
      </c>
      <c r="G28" s="128" t="s">
        <v>281</v>
      </c>
      <c r="H28" s="129" t="s">
        <v>282</v>
      </c>
    </row>
    <row r="29" spans="2:8" ht="54.95" customHeight="1">
      <c r="B29" s="105" t="s">
        <v>77</v>
      </c>
      <c r="C29" s="42" t="s">
        <v>283</v>
      </c>
      <c r="D29" s="137" t="s">
        <v>263</v>
      </c>
      <c r="E29" s="149"/>
      <c r="F29" s="127" t="s">
        <v>284</v>
      </c>
      <c r="G29" s="128" t="s">
        <v>285</v>
      </c>
      <c r="H29" s="129" t="s">
        <v>286</v>
      </c>
    </row>
    <row r="30" spans="2:8" ht="54.95" customHeight="1">
      <c r="B30" s="105" t="s">
        <v>79</v>
      </c>
      <c r="C30" s="42" t="s">
        <v>287</v>
      </c>
      <c r="D30" s="137" t="s">
        <v>263</v>
      </c>
      <c r="E30" s="126">
        <v>5</v>
      </c>
      <c r="F30" s="127" t="s">
        <v>288</v>
      </c>
      <c r="G30" s="128" t="s">
        <v>289</v>
      </c>
      <c r="H30" s="129" t="s">
        <v>290</v>
      </c>
    </row>
    <row r="31" spans="2:8" ht="18" customHeight="1">
      <c r="B31" s="105" t="s">
        <v>81</v>
      </c>
      <c r="C31" s="42" t="s">
        <v>291</v>
      </c>
      <c r="D31" s="137" t="s">
        <v>263</v>
      </c>
      <c r="E31" s="149"/>
      <c r="F31" s="127" t="s">
        <v>327</v>
      </c>
      <c r="G31" s="128" t="s">
        <v>328</v>
      </c>
      <c r="H31" s="129" t="s">
        <v>329</v>
      </c>
    </row>
    <row r="32" spans="2:8" ht="30" customHeight="1">
      <c r="B32" s="105" t="s">
        <v>84</v>
      </c>
      <c r="C32" s="42" t="s">
        <v>292</v>
      </c>
      <c r="D32" s="138" t="s">
        <v>236</v>
      </c>
      <c r="E32" s="126">
        <v>2</v>
      </c>
      <c r="F32" s="139" t="s">
        <v>293</v>
      </c>
      <c r="G32" s="128" t="s">
        <v>294</v>
      </c>
      <c r="H32" s="140" t="s">
        <v>295</v>
      </c>
    </row>
    <row r="33" spans="2:8" ht="20.100000000000001" customHeight="1">
      <c r="B33" s="102" t="s">
        <v>296</v>
      </c>
      <c r="C33" s="103"/>
      <c r="D33" s="103"/>
      <c r="E33" s="103"/>
      <c r="F33" s="103"/>
      <c r="G33" s="103"/>
      <c r="H33" s="103"/>
    </row>
    <row r="34" spans="2:8" ht="39.950000000000003" customHeight="1">
      <c r="B34" s="141" t="s">
        <v>297</v>
      </c>
      <c r="C34" s="173" t="s">
        <v>298</v>
      </c>
      <c r="D34" s="199"/>
      <c r="E34" s="199"/>
      <c r="F34" s="199"/>
      <c r="G34" s="199"/>
      <c r="H34" s="200"/>
    </row>
    <row r="35" spans="2:8" ht="20.100000000000001" customHeight="1">
      <c r="B35" s="143" t="s">
        <v>88</v>
      </c>
      <c r="C35" s="42" t="s">
        <v>89</v>
      </c>
      <c r="D35" s="137" t="s">
        <v>244</v>
      </c>
      <c r="E35" s="126">
        <v>0</v>
      </c>
      <c r="F35" s="144" t="s">
        <v>299</v>
      </c>
      <c r="G35" s="145" t="s">
        <v>300</v>
      </c>
      <c r="H35" s="121"/>
    </row>
    <row r="36" spans="2:8" ht="20.100000000000001" customHeight="1">
      <c r="B36" s="130" t="s">
        <v>241</v>
      </c>
      <c r="C36" s="175" t="s">
        <v>330</v>
      </c>
      <c r="D36" s="199"/>
      <c r="E36" s="199"/>
      <c r="F36" s="199"/>
      <c r="G36" s="199"/>
      <c r="H36" s="200"/>
    </row>
    <row r="37" spans="2:8" ht="20.100000000000001" customHeight="1">
      <c r="B37" s="143" t="s">
        <v>91</v>
      </c>
      <c r="C37" s="42" t="s">
        <v>92</v>
      </c>
      <c r="D37" s="137" t="s">
        <v>244</v>
      </c>
      <c r="E37" s="126">
        <v>0</v>
      </c>
      <c r="F37" s="144" t="s">
        <v>299</v>
      </c>
      <c r="G37" s="145" t="s">
        <v>300</v>
      </c>
      <c r="H37" s="121"/>
    </row>
    <row r="38" spans="2:8" ht="20.100000000000001" customHeight="1">
      <c r="B38" s="143" t="s">
        <v>94</v>
      </c>
      <c r="C38" s="42" t="s">
        <v>302</v>
      </c>
      <c r="D38" s="137" t="s">
        <v>244</v>
      </c>
      <c r="E38" s="126">
        <v>1</v>
      </c>
      <c r="F38" s="144" t="s">
        <v>299</v>
      </c>
      <c r="G38" s="145" t="s">
        <v>300</v>
      </c>
      <c r="H38" s="121"/>
    </row>
    <row r="39" spans="2:8" ht="20.100000000000001" customHeight="1">
      <c r="B39" s="143" t="s">
        <v>97</v>
      </c>
      <c r="C39" s="42" t="s">
        <v>98</v>
      </c>
      <c r="D39" s="137" t="s">
        <v>244</v>
      </c>
      <c r="E39" s="126">
        <v>0</v>
      </c>
      <c r="F39" s="144" t="s">
        <v>299</v>
      </c>
      <c r="G39" s="145" t="s">
        <v>300</v>
      </c>
      <c r="H39" s="121"/>
    </row>
    <row r="40" spans="2:8" ht="20.100000000000001" customHeight="1">
      <c r="B40" s="143" t="s">
        <v>100</v>
      </c>
      <c r="C40" s="42" t="s">
        <v>101</v>
      </c>
      <c r="D40" s="137" t="s">
        <v>244</v>
      </c>
      <c r="E40" s="126">
        <v>0</v>
      </c>
      <c r="F40" s="144" t="s">
        <v>299</v>
      </c>
      <c r="G40" s="145" t="s">
        <v>300</v>
      </c>
      <c r="H40" s="121"/>
    </row>
    <row r="41" spans="2:8" ht="18" customHeight="1">
      <c r="B41" s="143" t="s">
        <v>103</v>
      </c>
      <c r="C41" s="42" t="s">
        <v>104</v>
      </c>
      <c r="D41" s="84" t="s">
        <v>244</v>
      </c>
      <c r="E41" s="126">
        <v>0</v>
      </c>
      <c r="F41" s="127" t="s">
        <v>299</v>
      </c>
      <c r="G41" s="128" t="s">
        <v>300</v>
      </c>
      <c r="H41" s="129" t="s">
        <v>298</v>
      </c>
    </row>
    <row r="42" spans="2:8" ht="30" customHeight="1">
      <c r="B42" s="143" t="s">
        <v>106</v>
      </c>
      <c r="C42" s="42" t="s">
        <v>303</v>
      </c>
      <c r="D42" s="84" t="s">
        <v>244</v>
      </c>
      <c r="E42" s="126">
        <v>0</v>
      </c>
      <c r="F42" s="127" t="s">
        <v>299</v>
      </c>
      <c r="G42" s="128" t="s">
        <v>300</v>
      </c>
      <c r="H42" s="129" t="s">
        <v>298</v>
      </c>
    </row>
    <row r="43" spans="2:8" ht="20.100000000000001" customHeight="1">
      <c r="B43" s="102" t="s">
        <v>304</v>
      </c>
      <c r="C43" s="103"/>
      <c r="D43" s="103"/>
      <c r="E43" s="103"/>
      <c r="F43" s="103"/>
      <c r="G43" s="103"/>
      <c r="H43" s="103"/>
    </row>
    <row r="44" spans="2:8" ht="20.100000000000001" customHeight="1">
      <c r="B44" s="141" t="s">
        <v>297</v>
      </c>
      <c r="C44" s="173" t="s">
        <v>298</v>
      </c>
      <c r="D44" s="199"/>
      <c r="E44" s="199"/>
      <c r="F44" s="199"/>
      <c r="G44" s="199"/>
      <c r="H44" s="200"/>
    </row>
    <row r="45" spans="2:8" ht="20.100000000000001" customHeight="1">
      <c r="B45" s="143" t="s">
        <v>110</v>
      </c>
      <c r="C45" s="42" t="s">
        <v>111</v>
      </c>
      <c r="D45" s="137" t="s">
        <v>244</v>
      </c>
      <c r="E45" s="126">
        <v>1</v>
      </c>
      <c r="F45" s="144" t="s">
        <v>299</v>
      </c>
      <c r="G45" s="145" t="s">
        <v>300</v>
      </c>
      <c r="H45" s="121"/>
    </row>
    <row r="46" spans="2:8" ht="20.100000000000001" customHeight="1">
      <c r="B46" s="143" t="s">
        <v>113</v>
      </c>
      <c r="C46" s="42" t="s">
        <v>114</v>
      </c>
      <c r="D46" s="137" t="s">
        <v>244</v>
      </c>
      <c r="E46" s="126">
        <v>1</v>
      </c>
      <c r="F46" s="144" t="s">
        <v>299</v>
      </c>
      <c r="G46" s="145" t="s">
        <v>300</v>
      </c>
      <c r="H46" s="121"/>
    </row>
    <row r="47" spans="2:8" ht="18" customHeight="1">
      <c r="B47" s="143" t="s">
        <v>116</v>
      </c>
      <c r="C47" s="42" t="s">
        <v>117</v>
      </c>
      <c r="D47" s="84" t="s">
        <v>244</v>
      </c>
      <c r="E47" s="126">
        <v>0</v>
      </c>
      <c r="F47" s="127" t="s">
        <v>299</v>
      </c>
      <c r="G47" s="128" t="s">
        <v>300</v>
      </c>
      <c r="H47" s="129" t="s">
        <v>298</v>
      </c>
    </row>
    <row r="48" spans="2:8" ht="30" customHeight="1">
      <c r="B48" s="143" t="s">
        <v>119</v>
      </c>
      <c r="C48" s="42" t="s">
        <v>120</v>
      </c>
      <c r="D48" s="84" t="s">
        <v>244</v>
      </c>
      <c r="E48" s="126">
        <v>1</v>
      </c>
      <c r="F48" s="127" t="s">
        <v>299</v>
      </c>
      <c r="G48" s="128" t="s">
        <v>300</v>
      </c>
      <c r="H48" s="129" t="s">
        <v>298</v>
      </c>
    </row>
    <row r="49" spans="2:8" ht="20.100000000000001" customHeight="1">
      <c r="B49" s="102" t="s">
        <v>306</v>
      </c>
      <c r="C49" s="103"/>
      <c r="D49" s="103"/>
      <c r="E49" s="103"/>
      <c r="F49" s="103"/>
      <c r="G49" s="103"/>
      <c r="H49" s="103"/>
    </row>
    <row r="50" spans="2:8" ht="39.950000000000003" customHeight="1">
      <c r="B50" s="141" t="s">
        <v>297</v>
      </c>
      <c r="C50" s="173" t="s">
        <v>298</v>
      </c>
      <c r="D50" s="199"/>
      <c r="E50" s="199"/>
      <c r="F50" s="199"/>
      <c r="G50" s="199"/>
      <c r="H50" s="200"/>
    </row>
    <row r="51" spans="2:8" ht="20.100000000000001" customHeight="1">
      <c r="B51" s="143" t="s">
        <v>123</v>
      </c>
      <c r="C51" s="42" t="s">
        <v>307</v>
      </c>
      <c r="D51" s="137" t="s">
        <v>244</v>
      </c>
      <c r="E51" s="126">
        <v>0</v>
      </c>
      <c r="F51" s="144" t="s">
        <v>299</v>
      </c>
      <c r="G51" s="145" t="s">
        <v>300</v>
      </c>
      <c r="H51" s="121"/>
    </row>
    <row r="52" spans="2:8" ht="20.100000000000001" customHeight="1">
      <c r="B52" s="130" t="s">
        <v>241</v>
      </c>
      <c r="C52" s="175" t="s">
        <v>330</v>
      </c>
      <c r="D52" s="199"/>
      <c r="E52" s="199"/>
      <c r="F52" s="199"/>
      <c r="G52" s="199"/>
      <c r="H52" s="200"/>
    </row>
    <row r="53" spans="2:8" ht="20.100000000000001" customHeight="1">
      <c r="B53" s="143" t="s">
        <v>126</v>
      </c>
      <c r="C53" s="42" t="s">
        <v>309</v>
      </c>
      <c r="D53" s="137" t="s">
        <v>244</v>
      </c>
      <c r="E53" s="126">
        <v>0</v>
      </c>
      <c r="F53" s="144" t="s">
        <v>299</v>
      </c>
      <c r="G53" s="145" t="s">
        <v>300</v>
      </c>
      <c r="H53" s="121"/>
    </row>
    <row r="54" spans="2:8" ht="20.100000000000001" customHeight="1">
      <c r="B54" s="143" t="s">
        <v>129</v>
      </c>
      <c r="C54" s="42" t="s">
        <v>130</v>
      </c>
      <c r="D54" s="137" t="s">
        <v>244</v>
      </c>
      <c r="E54" s="126">
        <v>0</v>
      </c>
      <c r="F54" s="144" t="s">
        <v>299</v>
      </c>
      <c r="G54" s="145" t="s">
        <v>300</v>
      </c>
      <c r="H54" s="121"/>
    </row>
    <row r="55" spans="2:8" ht="18" customHeight="1">
      <c r="B55" s="143" t="s">
        <v>132</v>
      </c>
      <c r="C55" s="42" t="s">
        <v>310</v>
      </c>
      <c r="D55" s="137" t="s">
        <v>244</v>
      </c>
      <c r="E55" s="126">
        <v>0</v>
      </c>
      <c r="F55" s="144" t="s">
        <v>299</v>
      </c>
      <c r="G55" s="145" t="s">
        <v>300</v>
      </c>
      <c r="H55" s="121"/>
    </row>
    <row r="56" spans="2:8" ht="30" customHeight="1">
      <c r="B56" s="143" t="s">
        <v>135</v>
      </c>
      <c r="C56" s="42" t="s">
        <v>311</v>
      </c>
      <c r="D56" s="137" t="s">
        <v>244</v>
      </c>
      <c r="E56" s="126">
        <v>1</v>
      </c>
      <c r="F56" s="144" t="s">
        <v>299</v>
      </c>
      <c r="G56" s="145" t="s">
        <v>300</v>
      </c>
      <c r="H56" s="121"/>
    </row>
    <row r="57" spans="2:8" ht="20.100000000000001" customHeight="1">
      <c r="B57" s="102" t="s">
        <v>313</v>
      </c>
      <c r="C57" s="103"/>
      <c r="D57" s="103"/>
      <c r="E57" s="103"/>
      <c r="F57" s="103"/>
      <c r="G57" s="103"/>
      <c r="H57" s="103"/>
    </row>
    <row r="58" spans="2:8" ht="20.100000000000001" customHeight="1">
      <c r="B58" s="141" t="s">
        <v>297</v>
      </c>
      <c r="C58" s="173" t="s">
        <v>298</v>
      </c>
      <c r="D58" s="199"/>
      <c r="E58" s="199"/>
      <c r="F58" s="199"/>
      <c r="G58" s="199"/>
      <c r="H58" s="200"/>
    </row>
    <row r="59" spans="2:8" ht="20.100000000000001" customHeight="1">
      <c r="B59" s="143" t="s">
        <v>139</v>
      </c>
      <c r="C59" s="42" t="s">
        <v>314</v>
      </c>
      <c r="D59" s="137" t="s">
        <v>244</v>
      </c>
      <c r="E59" s="126">
        <v>0</v>
      </c>
      <c r="F59" s="144" t="s">
        <v>299</v>
      </c>
      <c r="G59" s="145" t="s">
        <v>300</v>
      </c>
      <c r="H59" s="121"/>
    </row>
    <row r="60" spans="2:8" ht="20.100000000000001" customHeight="1">
      <c r="B60" s="143" t="s">
        <v>142</v>
      </c>
      <c r="C60" s="42" t="s">
        <v>143</v>
      </c>
      <c r="D60" s="137" t="s">
        <v>244</v>
      </c>
      <c r="E60" s="126">
        <v>1</v>
      </c>
      <c r="F60" s="144" t="s">
        <v>299</v>
      </c>
      <c r="G60" s="145" t="s">
        <v>300</v>
      </c>
      <c r="H60" s="121"/>
    </row>
    <row r="61" spans="2:8" ht="20.100000000000001" customHeight="1">
      <c r="B61" s="143" t="s">
        <v>145</v>
      </c>
      <c r="C61" s="42" t="s">
        <v>315</v>
      </c>
      <c r="D61" s="137" t="s">
        <v>244</v>
      </c>
      <c r="E61" s="126">
        <v>0</v>
      </c>
      <c r="F61" s="144" t="s">
        <v>299</v>
      </c>
      <c r="G61" s="145" t="s">
        <v>300</v>
      </c>
      <c r="H61" s="121"/>
    </row>
    <row r="62" spans="2:8" ht="20.100000000000001" customHeight="1">
      <c r="B62" s="143" t="s">
        <v>148</v>
      </c>
      <c r="C62" s="42" t="s">
        <v>316</v>
      </c>
      <c r="D62" s="137" t="s">
        <v>244</v>
      </c>
      <c r="E62" s="126">
        <v>0</v>
      </c>
      <c r="F62" s="144" t="s">
        <v>299</v>
      </c>
      <c r="G62" s="145" t="s">
        <v>300</v>
      </c>
      <c r="H62" s="121"/>
    </row>
    <row r="63" spans="2:8" ht="18" customHeight="1">
      <c r="B63" s="143" t="s">
        <v>151</v>
      </c>
      <c r="C63" s="42" t="s">
        <v>152</v>
      </c>
      <c r="D63" s="137" t="s">
        <v>244</v>
      </c>
      <c r="E63" s="126">
        <v>0</v>
      </c>
      <c r="F63" s="144" t="s">
        <v>299</v>
      </c>
      <c r="G63" s="145" t="s">
        <v>300</v>
      </c>
      <c r="H63" s="121"/>
    </row>
    <row r="64" spans="2:8" ht="30" customHeight="1">
      <c r="B64" s="143" t="s">
        <v>154</v>
      </c>
      <c r="C64" s="42" t="s">
        <v>155</v>
      </c>
      <c r="D64" s="137" t="s">
        <v>244</v>
      </c>
      <c r="E64" s="126">
        <v>0</v>
      </c>
      <c r="F64" s="144" t="s">
        <v>299</v>
      </c>
      <c r="G64" s="145" t="s">
        <v>300</v>
      </c>
      <c r="H64" s="121"/>
    </row>
    <row r="65" spans="2:8" ht="20.100000000000001" customHeight="1">
      <c r="B65" s="141" t="s">
        <v>297</v>
      </c>
      <c r="C65" s="142" t="s">
        <v>298</v>
      </c>
      <c r="D65" s="1"/>
      <c r="E65" s="1"/>
      <c r="F65" s="1"/>
      <c r="G65" s="1"/>
      <c r="H65" s="2"/>
    </row>
    <row r="67" spans="2:8" ht="30" customHeight="1">
      <c r="B67" s="147" t="s">
        <v>317</v>
      </c>
      <c r="C67" s="170" t="s">
        <v>318</v>
      </c>
      <c r="D67" s="199"/>
      <c r="E67" s="199"/>
      <c r="F67" s="199"/>
      <c r="G67" s="199"/>
      <c r="H67" s="200"/>
    </row>
  </sheetData>
  <mergeCells count="10">
    <mergeCell ref="C67:H67"/>
    <mergeCell ref="C58:H58"/>
    <mergeCell ref="C50:H50"/>
    <mergeCell ref="N12:O12"/>
    <mergeCell ref="C44:H44"/>
    <mergeCell ref="C36:H36"/>
    <mergeCell ref="C52:H52"/>
    <mergeCell ref="C18:H18"/>
    <mergeCell ref="C34:H34"/>
    <mergeCell ref="H12:M12"/>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FFFF00"/>
  </sheetPr>
  <dimension ref="B1:O67"/>
  <sheetViews>
    <sheetView zoomScale="84" zoomScaleNormal="115" workbookViewId="0">
      <pane xSplit="7" ySplit="13" topLeftCell="H30" activePane="bottomRight" state="frozen"/>
      <selection pane="bottomRight" activeCell="C21" sqref="C21"/>
      <selection pane="bottomLeft" activeCell="C21" sqref="C21"/>
      <selection pane="topRight" activeCell="C21" sqref="C21"/>
    </sheetView>
  </sheetViews>
  <sheetFormatPr defaultRowHeight="14.45"/>
  <cols>
    <col min="1" max="1" width="2" customWidth="1"/>
    <col min="2" max="2" width="28" customWidth="1"/>
    <col min="3" max="3" width="45" bestFit="1" customWidth="1"/>
    <col min="4" max="4" width="18" customWidth="1"/>
    <col min="5" max="7" width="14" customWidth="1"/>
    <col min="8" max="8" width="55" customWidth="1"/>
    <col min="9" max="13" width="30.140625" customWidth="1"/>
  </cols>
  <sheetData>
    <row r="1" spans="2:15" ht="27.95" customHeight="1">
      <c r="B1" s="118" t="s">
        <v>331</v>
      </c>
      <c r="C1" s="68"/>
      <c r="D1" s="68"/>
      <c r="E1" s="68"/>
      <c r="F1" s="68"/>
      <c r="G1" s="68"/>
      <c r="H1" s="68"/>
    </row>
    <row r="2" spans="2:15" ht="15.95" customHeight="1">
      <c r="B2" s="19" t="s">
        <v>216</v>
      </c>
      <c r="C2" s="43" t="s">
        <v>217</v>
      </c>
      <c r="D2" s="43" t="s">
        <v>218</v>
      </c>
      <c r="E2" s="103"/>
      <c r="F2" s="103"/>
      <c r="G2" s="103"/>
      <c r="H2" s="43" t="s">
        <v>219</v>
      </c>
    </row>
    <row r="3" spans="2:15" ht="15.95" customHeight="1">
      <c r="B3" s="119" t="s">
        <v>220</v>
      </c>
      <c r="C3" s="148" t="s">
        <v>332</v>
      </c>
      <c r="D3" s="121"/>
      <c r="E3" s="121"/>
      <c r="F3" s="121"/>
      <c r="G3" s="121"/>
      <c r="H3" s="121"/>
    </row>
    <row r="4" spans="2:15" ht="15.95" customHeight="1">
      <c r="B4" s="119" t="s">
        <v>199</v>
      </c>
      <c r="C4" s="42" t="s">
        <v>333</v>
      </c>
      <c r="D4" s="121"/>
      <c r="E4" s="121"/>
      <c r="F4" s="121"/>
      <c r="G4" s="121"/>
      <c r="H4" s="121"/>
    </row>
    <row r="5" spans="2:15" ht="15.95" customHeight="1">
      <c r="B5" s="119" t="s">
        <v>224</v>
      </c>
      <c r="C5" s="42" t="s">
        <v>32</v>
      </c>
      <c r="D5" s="121"/>
      <c r="E5" s="121"/>
      <c r="F5" s="121"/>
      <c r="G5" s="121"/>
      <c r="H5" s="121"/>
    </row>
    <row r="6" spans="2:15" ht="15.95" customHeight="1">
      <c r="B6" s="119" t="s">
        <v>226</v>
      </c>
      <c r="C6" s="42" t="s">
        <v>164</v>
      </c>
      <c r="D6" s="121"/>
      <c r="E6" s="121"/>
      <c r="F6" s="121"/>
      <c r="G6" s="121"/>
      <c r="H6" s="121"/>
    </row>
    <row r="7" spans="2:15" ht="15.95" customHeight="1">
      <c r="B7" s="119" t="s">
        <v>227</v>
      </c>
      <c r="C7" s="151">
        <v>46239</v>
      </c>
      <c r="D7" s="121"/>
      <c r="E7" s="121"/>
      <c r="F7" s="121"/>
      <c r="G7" s="121"/>
      <c r="H7" s="121"/>
    </row>
    <row r="8" spans="2:15" ht="15.95" customHeight="1">
      <c r="B8" s="119" t="s">
        <v>229</v>
      </c>
      <c r="C8" s="42" t="s">
        <v>334</v>
      </c>
      <c r="D8" s="121"/>
      <c r="E8" s="121"/>
      <c r="F8" s="121"/>
      <c r="G8" s="121"/>
      <c r="H8" s="121"/>
    </row>
    <row r="9" spans="2:15" ht="15.95" customHeight="1">
      <c r="B9" s="119" t="s">
        <v>231</v>
      </c>
      <c r="C9" s="42"/>
      <c r="D9" s="121"/>
      <c r="E9" s="121"/>
      <c r="F9" s="121"/>
      <c r="G9" s="121"/>
      <c r="H9" s="121"/>
    </row>
    <row r="10" spans="2:15" ht="15.95" customHeight="1">
      <c r="B10" s="119" t="s">
        <v>201</v>
      </c>
      <c r="C10" s="42" t="s">
        <v>335</v>
      </c>
      <c r="D10" s="121"/>
      <c r="E10" s="121"/>
      <c r="F10" s="121"/>
      <c r="G10" s="121"/>
      <c r="H10" s="121"/>
    </row>
    <row r="11" spans="2:15" ht="15.95" customHeight="1">
      <c r="B11" s="119" t="s">
        <v>203</v>
      </c>
      <c r="C11" s="42" t="s">
        <v>12</v>
      </c>
      <c r="D11" s="121"/>
      <c r="E11" s="121"/>
      <c r="F11" s="121"/>
      <c r="G11" s="121"/>
      <c r="H11" s="121"/>
    </row>
    <row r="12" spans="2:15" ht="15.95" customHeight="1">
      <c r="B12" s="119" t="s">
        <v>232</v>
      </c>
      <c r="C12" s="152">
        <v>332000000</v>
      </c>
      <c r="D12" s="121"/>
      <c r="E12" s="121"/>
      <c r="F12" s="121"/>
      <c r="G12" s="121"/>
      <c r="H12" s="174"/>
      <c r="I12" s="199"/>
      <c r="J12" s="199"/>
      <c r="K12" s="199"/>
      <c r="L12" s="199"/>
      <c r="M12" s="200"/>
      <c r="N12" s="201"/>
      <c r="O12" s="201"/>
    </row>
    <row r="13" spans="2:15" ht="15.95" customHeight="1">
      <c r="B13" s="119" t="s">
        <v>161</v>
      </c>
      <c r="C13" s="42" t="s">
        <v>233</v>
      </c>
      <c r="D13" s="121"/>
      <c r="E13" s="121"/>
      <c r="F13" s="121"/>
      <c r="G13" s="121"/>
      <c r="H13" s="121"/>
    </row>
    <row r="14" spans="2:15" ht="15.95" customHeight="1">
      <c r="B14" s="68"/>
      <c r="C14" s="68"/>
      <c r="D14" s="68"/>
      <c r="E14" s="68"/>
      <c r="F14" s="68"/>
      <c r="G14" s="68"/>
      <c r="H14" s="68"/>
      <c r="I14" s="1"/>
      <c r="J14" s="1"/>
      <c r="K14" s="1"/>
      <c r="L14" s="1"/>
      <c r="M14" s="2"/>
    </row>
    <row r="15" spans="2:15" ht="54.95" customHeight="1">
      <c r="B15" s="123" t="s">
        <v>46</v>
      </c>
      <c r="C15" s="124" t="s">
        <v>47</v>
      </c>
      <c r="D15" s="1"/>
      <c r="E15" s="1"/>
      <c r="F15" s="1"/>
      <c r="G15" s="1"/>
      <c r="H15" s="2"/>
    </row>
    <row r="16" spans="2:15" ht="39.950000000000003" customHeight="1">
      <c r="B16" s="102" t="s">
        <v>234</v>
      </c>
      <c r="C16" s="103"/>
      <c r="D16" s="103"/>
      <c r="E16" s="103"/>
      <c r="F16" s="103"/>
      <c r="G16" s="103"/>
      <c r="H16" s="103"/>
    </row>
    <row r="17" spans="2:8" ht="54.95" customHeight="1">
      <c r="B17" s="105" t="s">
        <v>52</v>
      </c>
      <c r="C17" s="119" t="s">
        <v>235</v>
      </c>
      <c r="D17" s="125" t="s">
        <v>236</v>
      </c>
      <c r="E17" s="126">
        <v>7</v>
      </c>
      <c r="F17" s="127" t="s">
        <v>237</v>
      </c>
      <c r="G17" s="128" t="s">
        <v>238</v>
      </c>
      <c r="H17" s="129" t="s">
        <v>239</v>
      </c>
    </row>
    <row r="18" spans="2:8" ht="54.95" customHeight="1">
      <c r="B18" s="130" t="s">
        <v>241</v>
      </c>
      <c r="C18" s="176" t="s">
        <v>336</v>
      </c>
      <c r="D18" s="199"/>
      <c r="E18" s="199"/>
      <c r="F18" s="199"/>
      <c r="G18" s="199"/>
      <c r="H18" s="200"/>
    </row>
    <row r="19" spans="2:8" ht="54.95" customHeight="1">
      <c r="B19" s="105" t="s">
        <v>56</v>
      </c>
      <c r="C19" s="119" t="s">
        <v>243</v>
      </c>
      <c r="D19" s="125" t="s">
        <v>244</v>
      </c>
      <c r="E19" s="126">
        <v>1</v>
      </c>
      <c r="F19" s="127" t="s">
        <v>245</v>
      </c>
      <c r="G19" s="128" t="s">
        <v>246</v>
      </c>
      <c r="H19" s="129" t="s">
        <v>247</v>
      </c>
    </row>
    <row r="20" spans="2:8" ht="18" customHeight="1">
      <c r="B20" s="105" t="s">
        <v>59</v>
      </c>
      <c r="C20" s="119" t="s">
        <v>248</v>
      </c>
      <c r="D20" s="125" t="s">
        <v>244</v>
      </c>
      <c r="E20" s="126">
        <v>1</v>
      </c>
      <c r="F20" s="127" t="s">
        <v>249</v>
      </c>
      <c r="G20" s="128" t="s">
        <v>250</v>
      </c>
      <c r="H20" s="129" t="s">
        <v>251</v>
      </c>
    </row>
    <row r="21" spans="2:8" ht="15.95" customHeight="1">
      <c r="B21" s="105" t="s">
        <v>62</v>
      </c>
      <c r="C21" s="119" t="s">
        <v>252</v>
      </c>
      <c r="D21" s="125" t="s">
        <v>244</v>
      </c>
      <c r="E21" s="126">
        <v>1</v>
      </c>
      <c r="F21" s="127" t="s">
        <v>253</v>
      </c>
      <c r="G21" s="128" t="s">
        <v>254</v>
      </c>
      <c r="H21" s="129" t="s">
        <v>255</v>
      </c>
    </row>
    <row r="22" spans="2:8" ht="54.95" customHeight="1">
      <c r="B22" s="102" t="s">
        <v>256</v>
      </c>
      <c r="C22" s="103"/>
      <c r="D22" s="103"/>
      <c r="E22" s="103"/>
      <c r="F22" s="103"/>
      <c r="G22" s="103"/>
      <c r="H22" s="103"/>
    </row>
    <row r="23" spans="2:8" ht="54.95" customHeight="1">
      <c r="B23" s="132" t="s">
        <v>46</v>
      </c>
      <c r="C23" s="133" t="s">
        <v>47</v>
      </c>
      <c r="D23" s="132" t="s">
        <v>257</v>
      </c>
      <c r="E23" s="134" t="s">
        <v>258</v>
      </c>
      <c r="F23" s="135" t="s">
        <v>259</v>
      </c>
      <c r="G23" s="136" t="s">
        <v>260</v>
      </c>
      <c r="H23" s="133" t="s">
        <v>261</v>
      </c>
    </row>
    <row r="24" spans="2:8" ht="54.95" customHeight="1">
      <c r="B24" s="105" t="s">
        <v>66</v>
      </c>
      <c r="C24" s="42" t="s">
        <v>262</v>
      </c>
      <c r="D24" s="137" t="s">
        <v>263</v>
      </c>
      <c r="E24" s="126">
        <v>4</v>
      </c>
      <c r="F24" s="127" t="s">
        <v>264</v>
      </c>
      <c r="G24" s="128" t="s">
        <v>265</v>
      </c>
      <c r="H24" s="129" t="s">
        <v>266</v>
      </c>
    </row>
    <row r="25" spans="2:8" ht="54.95" customHeight="1">
      <c r="B25" s="105" t="s">
        <v>69</v>
      </c>
      <c r="C25" s="42" t="s">
        <v>267</v>
      </c>
      <c r="D25" s="137" t="s">
        <v>263</v>
      </c>
      <c r="E25" s="126">
        <v>4</v>
      </c>
      <c r="F25" s="127" t="s">
        <v>268</v>
      </c>
      <c r="G25" s="128" t="s">
        <v>269</v>
      </c>
      <c r="H25" s="129" t="s">
        <v>270</v>
      </c>
    </row>
    <row r="26" spans="2:8" ht="54.95" customHeight="1">
      <c r="B26" s="105" t="s">
        <v>71</v>
      </c>
      <c r="C26" s="42" t="s">
        <v>271</v>
      </c>
      <c r="D26" s="137" t="s">
        <v>263</v>
      </c>
      <c r="E26" s="126">
        <v>4</v>
      </c>
      <c r="F26" s="127" t="s">
        <v>272</v>
      </c>
      <c r="G26" s="128" t="s">
        <v>273</v>
      </c>
      <c r="H26" s="129" t="s">
        <v>274</v>
      </c>
    </row>
    <row r="27" spans="2:8" ht="54.95" customHeight="1">
      <c r="B27" s="105" t="s">
        <v>73</v>
      </c>
      <c r="C27" s="42" t="s">
        <v>275</v>
      </c>
      <c r="D27" s="137" t="s">
        <v>263</v>
      </c>
      <c r="E27" s="126">
        <v>5</v>
      </c>
      <c r="F27" s="127" t="s">
        <v>276</v>
      </c>
      <c r="G27" s="128" t="s">
        <v>277</v>
      </c>
      <c r="H27" s="129" t="s">
        <v>278</v>
      </c>
    </row>
    <row r="28" spans="2:8" ht="54.95" customHeight="1">
      <c r="B28" s="105" t="s">
        <v>75</v>
      </c>
      <c r="C28" s="42" t="s">
        <v>279</v>
      </c>
      <c r="D28" s="137" t="s">
        <v>263</v>
      </c>
      <c r="E28" s="126">
        <v>4</v>
      </c>
      <c r="F28" s="127" t="s">
        <v>280</v>
      </c>
      <c r="G28" s="128" t="s">
        <v>281</v>
      </c>
      <c r="H28" s="129" t="s">
        <v>282</v>
      </c>
    </row>
    <row r="29" spans="2:8" ht="54.95" customHeight="1">
      <c r="B29" s="105" t="s">
        <v>77</v>
      </c>
      <c r="C29" s="42" t="s">
        <v>283</v>
      </c>
      <c r="D29" s="137" t="s">
        <v>263</v>
      </c>
      <c r="E29" s="126">
        <v>3</v>
      </c>
      <c r="F29" s="127" t="s">
        <v>284</v>
      </c>
      <c r="G29" s="128" t="s">
        <v>285</v>
      </c>
      <c r="H29" s="129" t="s">
        <v>286</v>
      </c>
    </row>
    <row r="30" spans="2:8" ht="54.95" customHeight="1">
      <c r="B30" s="105" t="s">
        <v>79</v>
      </c>
      <c r="C30" s="42" t="s">
        <v>287</v>
      </c>
      <c r="D30" s="137" t="s">
        <v>263</v>
      </c>
      <c r="E30" s="126">
        <v>4</v>
      </c>
      <c r="F30" s="127" t="s">
        <v>288</v>
      </c>
      <c r="G30" s="128" t="s">
        <v>289</v>
      </c>
      <c r="H30" s="129" t="s">
        <v>290</v>
      </c>
    </row>
    <row r="31" spans="2:8" ht="18" customHeight="1">
      <c r="B31" s="105" t="s">
        <v>81</v>
      </c>
      <c r="C31" s="42" t="s">
        <v>291</v>
      </c>
      <c r="D31" s="137" t="s">
        <v>263</v>
      </c>
      <c r="E31" s="126">
        <v>3</v>
      </c>
      <c r="F31" s="127" t="s">
        <v>327</v>
      </c>
      <c r="G31" s="128" t="s">
        <v>328</v>
      </c>
      <c r="H31" s="129" t="s">
        <v>329</v>
      </c>
    </row>
    <row r="32" spans="2:8" ht="30" customHeight="1">
      <c r="B32" s="105" t="s">
        <v>84</v>
      </c>
      <c r="C32" s="42" t="s">
        <v>292</v>
      </c>
      <c r="D32" s="138" t="s">
        <v>236</v>
      </c>
      <c r="E32" s="126">
        <v>8</v>
      </c>
      <c r="F32" s="139" t="s">
        <v>293</v>
      </c>
      <c r="G32" s="128" t="s">
        <v>294</v>
      </c>
      <c r="H32" s="140" t="s">
        <v>295</v>
      </c>
    </row>
    <row r="33" spans="2:8" ht="20.100000000000001" customHeight="1">
      <c r="B33" s="102" t="s">
        <v>296</v>
      </c>
      <c r="C33" s="103"/>
      <c r="D33" s="103"/>
      <c r="E33" s="103"/>
      <c r="F33" s="103"/>
      <c r="G33" s="103"/>
      <c r="H33" s="103"/>
    </row>
    <row r="34" spans="2:8" ht="39.950000000000003" customHeight="1">
      <c r="B34" s="141" t="s">
        <v>297</v>
      </c>
      <c r="C34" s="173" t="s">
        <v>298</v>
      </c>
      <c r="D34" s="199"/>
      <c r="E34" s="199"/>
      <c r="F34" s="199"/>
      <c r="G34" s="199"/>
      <c r="H34" s="200"/>
    </row>
    <row r="35" spans="2:8" ht="20.100000000000001" customHeight="1">
      <c r="B35" s="143" t="s">
        <v>88</v>
      </c>
      <c r="C35" s="42" t="s">
        <v>89</v>
      </c>
      <c r="D35" s="137" t="s">
        <v>244</v>
      </c>
      <c r="E35" s="126">
        <v>1</v>
      </c>
      <c r="F35" s="144" t="s">
        <v>299</v>
      </c>
      <c r="G35" s="145" t="s">
        <v>300</v>
      </c>
      <c r="H35" s="121"/>
    </row>
    <row r="36" spans="2:8" ht="20.100000000000001" customHeight="1">
      <c r="B36" s="130" t="s">
        <v>241</v>
      </c>
      <c r="C36" s="176" t="s">
        <v>337</v>
      </c>
      <c r="D36" s="199"/>
      <c r="E36" s="199"/>
      <c r="F36" s="199"/>
      <c r="G36" s="199"/>
      <c r="H36" s="200"/>
    </row>
    <row r="37" spans="2:8" ht="20.100000000000001" customHeight="1">
      <c r="B37" s="143" t="s">
        <v>91</v>
      </c>
      <c r="C37" s="42" t="s">
        <v>92</v>
      </c>
      <c r="D37" s="137" t="s">
        <v>244</v>
      </c>
      <c r="E37" s="126">
        <v>1</v>
      </c>
      <c r="F37" s="144" t="s">
        <v>299</v>
      </c>
      <c r="G37" s="145" t="s">
        <v>300</v>
      </c>
      <c r="H37" s="121"/>
    </row>
    <row r="38" spans="2:8" ht="20.100000000000001" customHeight="1">
      <c r="B38" s="143" t="s">
        <v>94</v>
      </c>
      <c r="C38" s="42" t="s">
        <v>302</v>
      </c>
      <c r="D38" s="137" t="s">
        <v>244</v>
      </c>
      <c r="E38" s="126">
        <v>0</v>
      </c>
      <c r="F38" s="144" t="s">
        <v>299</v>
      </c>
      <c r="G38" s="145" t="s">
        <v>300</v>
      </c>
      <c r="H38" s="121"/>
    </row>
    <row r="39" spans="2:8" ht="20.100000000000001" customHeight="1">
      <c r="B39" s="143" t="s">
        <v>97</v>
      </c>
      <c r="C39" s="42" t="s">
        <v>98</v>
      </c>
      <c r="D39" s="137" t="s">
        <v>244</v>
      </c>
      <c r="E39" s="126">
        <v>1</v>
      </c>
      <c r="F39" s="144" t="s">
        <v>299</v>
      </c>
      <c r="G39" s="145" t="s">
        <v>300</v>
      </c>
      <c r="H39" s="121"/>
    </row>
    <row r="40" spans="2:8" ht="20.100000000000001" customHeight="1">
      <c r="B40" s="143" t="s">
        <v>100</v>
      </c>
      <c r="C40" s="42" t="s">
        <v>101</v>
      </c>
      <c r="D40" s="137" t="s">
        <v>244</v>
      </c>
      <c r="E40" s="126">
        <v>0</v>
      </c>
      <c r="F40" s="144" t="s">
        <v>299</v>
      </c>
      <c r="G40" s="145" t="s">
        <v>300</v>
      </c>
      <c r="H40" s="121"/>
    </row>
    <row r="41" spans="2:8" ht="18" customHeight="1">
      <c r="B41" s="143" t="s">
        <v>103</v>
      </c>
      <c r="C41" s="42" t="s">
        <v>104</v>
      </c>
      <c r="D41" s="84" t="s">
        <v>244</v>
      </c>
      <c r="E41" s="126">
        <v>0</v>
      </c>
      <c r="F41" s="127" t="s">
        <v>299</v>
      </c>
      <c r="G41" s="128" t="s">
        <v>300</v>
      </c>
      <c r="H41" s="129" t="s">
        <v>298</v>
      </c>
    </row>
    <row r="42" spans="2:8" ht="30" customHeight="1">
      <c r="B42" s="143" t="s">
        <v>106</v>
      </c>
      <c r="C42" s="42" t="s">
        <v>303</v>
      </c>
      <c r="D42" s="84" t="s">
        <v>244</v>
      </c>
      <c r="E42" s="126">
        <v>0</v>
      </c>
      <c r="F42" s="127" t="s">
        <v>299</v>
      </c>
      <c r="G42" s="128" t="s">
        <v>300</v>
      </c>
      <c r="H42" s="129" t="s">
        <v>298</v>
      </c>
    </row>
    <row r="43" spans="2:8" ht="20.100000000000001" customHeight="1">
      <c r="B43" s="102" t="s">
        <v>304</v>
      </c>
      <c r="C43" s="103"/>
      <c r="D43" s="103"/>
      <c r="E43" s="103"/>
      <c r="F43" s="103"/>
      <c r="G43" s="103"/>
      <c r="H43" s="103"/>
    </row>
    <row r="44" spans="2:8" ht="20.100000000000001" customHeight="1">
      <c r="B44" s="141" t="s">
        <v>297</v>
      </c>
      <c r="C44" s="173" t="s">
        <v>298</v>
      </c>
      <c r="D44" s="199"/>
      <c r="E44" s="199"/>
      <c r="F44" s="199"/>
      <c r="G44" s="199"/>
      <c r="H44" s="200"/>
    </row>
    <row r="45" spans="2:8" ht="20.100000000000001" customHeight="1">
      <c r="B45" s="143" t="s">
        <v>110</v>
      </c>
      <c r="C45" s="42" t="s">
        <v>111</v>
      </c>
      <c r="D45" s="137" t="s">
        <v>244</v>
      </c>
      <c r="E45" s="126">
        <v>1</v>
      </c>
      <c r="F45" s="144" t="s">
        <v>299</v>
      </c>
      <c r="G45" s="145" t="s">
        <v>300</v>
      </c>
      <c r="H45" s="121"/>
    </row>
    <row r="46" spans="2:8" ht="20.100000000000001" customHeight="1">
      <c r="B46" s="143" t="s">
        <v>113</v>
      </c>
      <c r="C46" s="42" t="s">
        <v>114</v>
      </c>
      <c r="D46" s="137" t="s">
        <v>244</v>
      </c>
      <c r="E46" s="126">
        <v>1</v>
      </c>
      <c r="F46" s="144" t="s">
        <v>299</v>
      </c>
      <c r="G46" s="145" t="s">
        <v>300</v>
      </c>
      <c r="H46" s="121"/>
    </row>
    <row r="47" spans="2:8" ht="18" customHeight="1">
      <c r="B47" s="143" t="s">
        <v>116</v>
      </c>
      <c r="C47" s="42" t="s">
        <v>117</v>
      </c>
      <c r="D47" s="84" t="s">
        <v>244</v>
      </c>
      <c r="E47" s="126">
        <v>1</v>
      </c>
      <c r="F47" s="127" t="s">
        <v>299</v>
      </c>
      <c r="G47" s="128" t="s">
        <v>300</v>
      </c>
      <c r="H47" s="129" t="s">
        <v>298</v>
      </c>
    </row>
    <row r="48" spans="2:8" ht="30" customHeight="1">
      <c r="B48" s="143" t="s">
        <v>119</v>
      </c>
      <c r="C48" s="42" t="s">
        <v>120</v>
      </c>
      <c r="D48" s="84" t="s">
        <v>244</v>
      </c>
      <c r="E48" s="126">
        <v>1</v>
      </c>
      <c r="F48" s="127" t="s">
        <v>299</v>
      </c>
      <c r="G48" s="128" t="s">
        <v>300</v>
      </c>
      <c r="H48" s="129" t="s">
        <v>298</v>
      </c>
    </row>
    <row r="49" spans="2:8" ht="20.100000000000001" customHeight="1">
      <c r="B49" s="102" t="s">
        <v>306</v>
      </c>
      <c r="C49" s="103"/>
      <c r="D49" s="103"/>
      <c r="E49" s="103"/>
      <c r="F49" s="103"/>
      <c r="G49" s="103"/>
      <c r="H49" s="103"/>
    </row>
    <row r="50" spans="2:8" ht="39.950000000000003" customHeight="1">
      <c r="B50" s="141" t="s">
        <v>297</v>
      </c>
      <c r="C50" s="173" t="s">
        <v>298</v>
      </c>
      <c r="D50" s="199"/>
      <c r="E50" s="199"/>
      <c r="F50" s="199"/>
      <c r="G50" s="199"/>
      <c r="H50" s="200"/>
    </row>
    <row r="51" spans="2:8" ht="20.100000000000001" customHeight="1">
      <c r="B51" s="143" t="s">
        <v>123</v>
      </c>
      <c r="C51" s="42" t="s">
        <v>307</v>
      </c>
      <c r="D51" s="137" t="s">
        <v>244</v>
      </c>
      <c r="E51" s="126">
        <v>1</v>
      </c>
      <c r="F51" s="144" t="s">
        <v>299</v>
      </c>
      <c r="G51" s="145" t="s">
        <v>300</v>
      </c>
      <c r="H51" s="121"/>
    </row>
    <row r="52" spans="2:8" ht="20.100000000000001" customHeight="1">
      <c r="B52" s="130" t="s">
        <v>241</v>
      </c>
      <c r="C52" s="176" t="s">
        <v>338</v>
      </c>
      <c r="D52" s="199"/>
      <c r="E52" s="199"/>
      <c r="F52" s="199"/>
      <c r="G52" s="199"/>
      <c r="H52" s="200"/>
    </row>
    <row r="53" spans="2:8" ht="20.100000000000001" customHeight="1">
      <c r="B53" s="143" t="s">
        <v>126</v>
      </c>
      <c r="C53" s="42" t="s">
        <v>309</v>
      </c>
      <c r="D53" s="137" t="s">
        <v>244</v>
      </c>
      <c r="E53" s="126">
        <v>1</v>
      </c>
      <c r="F53" s="144" t="s">
        <v>299</v>
      </c>
      <c r="G53" s="145" t="s">
        <v>300</v>
      </c>
      <c r="H53" s="121"/>
    </row>
    <row r="54" spans="2:8" ht="20.100000000000001" customHeight="1">
      <c r="B54" s="143" t="s">
        <v>129</v>
      </c>
      <c r="C54" s="42" t="s">
        <v>130</v>
      </c>
      <c r="D54" s="137" t="s">
        <v>244</v>
      </c>
      <c r="E54" s="126">
        <v>0</v>
      </c>
      <c r="F54" s="144" t="s">
        <v>299</v>
      </c>
      <c r="G54" s="145" t="s">
        <v>300</v>
      </c>
      <c r="H54" s="121"/>
    </row>
    <row r="55" spans="2:8" ht="18" customHeight="1">
      <c r="B55" s="143" t="s">
        <v>132</v>
      </c>
      <c r="C55" s="42" t="s">
        <v>310</v>
      </c>
      <c r="D55" s="137" t="s">
        <v>244</v>
      </c>
      <c r="E55" s="126">
        <v>1</v>
      </c>
      <c r="F55" s="144" t="s">
        <v>299</v>
      </c>
      <c r="G55" s="145" t="s">
        <v>300</v>
      </c>
      <c r="H55" s="121"/>
    </row>
    <row r="56" spans="2:8" ht="30" customHeight="1">
      <c r="B56" s="143" t="s">
        <v>135</v>
      </c>
      <c r="C56" s="42" t="s">
        <v>311</v>
      </c>
      <c r="D56" s="137" t="s">
        <v>244</v>
      </c>
      <c r="E56" s="126">
        <v>0</v>
      </c>
      <c r="F56" s="144" t="s">
        <v>299</v>
      </c>
      <c r="G56" s="145" t="s">
        <v>300</v>
      </c>
      <c r="H56" s="121"/>
    </row>
    <row r="57" spans="2:8" ht="20.100000000000001" customHeight="1">
      <c r="B57" s="102" t="s">
        <v>313</v>
      </c>
      <c r="C57" s="103"/>
      <c r="D57" s="103"/>
      <c r="E57" s="103"/>
      <c r="F57" s="103"/>
      <c r="G57" s="103"/>
      <c r="H57" s="103"/>
    </row>
    <row r="58" spans="2:8" ht="20.100000000000001" customHeight="1">
      <c r="B58" s="141" t="s">
        <v>297</v>
      </c>
      <c r="C58" s="173" t="s">
        <v>298</v>
      </c>
      <c r="D58" s="199"/>
      <c r="E58" s="199"/>
      <c r="F58" s="199"/>
      <c r="G58" s="199"/>
      <c r="H58" s="200"/>
    </row>
    <row r="59" spans="2:8" ht="20.100000000000001" customHeight="1">
      <c r="B59" s="143" t="s">
        <v>139</v>
      </c>
      <c r="C59" s="42" t="s">
        <v>314</v>
      </c>
      <c r="D59" s="137" t="s">
        <v>244</v>
      </c>
      <c r="E59" s="126">
        <v>0</v>
      </c>
      <c r="F59" s="144" t="s">
        <v>299</v>
      </c>
      <c r="G59" s="145" t="s">
        <v>300</v>
      </c>
      <c r="H59" s="121"/>
    </row>
    <row r="60" spans="2:8" ht="20.100000000000001" customHeight="1">
      <c r="B60" s="143" t="s">
        <v>142</v>
      </c>
      <c r="C60" s="42" t="s">
        <v>143</v>
      </c>
      <c r="D60" s="137" t="s">
        <v>244</v>
      </c>
      <c r="E60" s="126">
        <v>0</v>
      </c>
      <c r="F60" s="144" t="s">
        <v>299</v>
      </c>
      <c r="G60" s="145" t="s">
        <v>300</v>
      </c>
      <c r="H60" s="121"/>
    </row>
    <row r="61" spans="2:8" ht="20.100000000000001" customHeight="1">
      <c r="B61" s="143" t="s">
        <v>145</v>
      </c>
      <c r="C61" s="42" t="s">
        <v>315</v>
      </c>
      <c r="D61" s="137" t="s">
        <v>244</v>
      </c>
      <c r="E61" s="126">
        <v>1</v>
      </c>
      <c r="F61" s="144" t="s">
        <v>299</v>
      </c>
      <c r="G61" s="145" t="s">
        <v>300</v>
      </c>
      <c r="H61" s="121"/>
    </row>
    <row r="62" spans="2:8" ht="20.100000000000001" customHeight="1">
      <c r="B62" s="143" t="s">
        <v>148</v>
      </c>
      <c r="C62" s="42" t="s">
        <v>316</v>
      </c>
      <c r="D62" s="137" t="s">
        <v>244</v>
      </c>
      <c r="E62" s="126">
        <v>0</v>
      </c>
      <c r="F62" s="144" t="s">
        <v>299</v>
      </c>
      <c r="G62" s="145" t="s">
        <v>300</v>
      </c>
      <c r="H62" s="121"/>
    </row>
    <row r="63" spans="2:8" ht="18" customHeight="1">
      <c r="B63" s="143" t="s">
        <v>151</v>
      </c>
      <c r="C63" s="42" t="s">
        <v>152</v>
      </c>
      <c r="D63" s="137" t="s">
        <v>244</v>
      </c>
      <c r="E63" s="126">
        <v>0</v>
      </c>
      <c r="F63" s="144" t="s">
        <v>299</v>
      </c>
      <c r="G63" s="145" t="s">
        <v>300</v>
      </c>
      <c r="H63" s="121"/>
    </row>
    <row r="64" spans="2:8" ht="30" customHeight="1">
      <c r="B64" s="143" t="s">
        <v>154</v>
      </c>
      <c r="C64" s="42" t="s">
        <v>155</v>
      </c>
      <c r="D64" s="137" t="s">
        <v>244</v>
      </c>
      <c r="E64" s="126">
        <v>0</v>
      </c>
      <c r="F64" s="144" t="s">
        <v>299</v>
      </c>
      <c r="G64" s="145" t="s">
        <v>300</v>
      </c>
      <c r="H64" s="121"/>
    </row>
    <row r="65" spans="2:8" ht="20.100000000000001" customHeight="1">
      <c r="B65" s="141" t="s">
        <v>297</v>
      </c>
      <c r="C65" s="142" t="s">
        <v>298</v>
      </c>
      <c r="D65" s="1"/>
      <c r="E65" s="1"/>
      <c r="F65" s="1"/>
      <c r="G65" s="1"/>
      <c r="H65" s="2"/>
    </row>
    <row r="67" spans="2:8" ht="30" customHeight="1">
      <c r="B67" s="147" t="s">
        <v>317</v>
      </c>
      <c r="C67" s="170" t="s">
        <v>318</v>
      </c>
      <c r="D67" s="199"/>
      <c r="E67" s="199"/>
      <c r="F67" s="199"/>
      <c r="G67" s="199"/>
      <c r="H67" s="200"/>
    </row>
  </sheetData>
  <mergeCells count="10">
    <mergeCell ref="C67:H67"/>
    <mergeCell ref="C58:H58"/>
    <mergeCell ref="C50:H50"/>
    <mergeCell ref="N12:O12"/>
    <mergeCell ref="C44:H44"/>
    <mergeCell ref="C36:H36"/>
    <mergeCell ref="C52:H52"/>
    <mergeCell ref="C18:H18"/>
    <mergeCell ref="C34:H34"/>
    <mergeCell ref="H12:M12"/>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FFFF00"/>
  </sheetPr>
  <dimension ref="B1:O67"/>
  <sheetViews>
    <sheetView zoomScale="85" zoomScaleNormal="85" workbookViewId="0">
      <pane xSplit="7" ySplit="13" topLeftCell="H24" activePane="bottomRight" state="frozen"/>
      <selection pane="bottomRight" activeCell="C21" sqref="C21"/>
      <selection pane="bottomLeft" activeCell="C21" sqref="C21"/>
      <selection pane="topRight" activeCell="C21" sqref="C21"/>
    </sheetView>
  </sheetViews>
  <sheetFormatPr defaultRowHeight="14.45"/>
  <cols>
    <col min="1" max="1" width="2" customWidth="1"/>
    <col min="2" max="2" width="28" customWidth="1"/>
    <col min="3" max="3" width="45" bestFit="1" customWidth="1"/>
    <col min="4" max="4" width="18" customWidth="1"/>
    <col min="5" max="7" width="14" customWidth="1"/>
    <col min="8" max="8" width="55" customWidth="1"/>
    <col min="9" max="13" width="30.140625" customWidth="1"/>
  </cols>
  <sheetData>
    <row r="1" spans="2:15" ht="27.95" customHeight="1">
      <c r="B1" s="118" t="s">
        <v>339</v>
      </c>
      <c r="C1" s="68"/>
      <c r="D1" s="68"/>
      <c r="E1" s="68"/>
      <c r="F1" s="68"/>
      <c r="G1" s="68"/>
      <c r="H1" s="68"/>
    </row>
    <row r="2" spans="2:15" ht="15.95" customHeight="1">
      <c r="B2" s="19" t="s">
        <v>216</v>
      </c>
      <c r="C2" s="43" t="s">
        <v>217</v>
      </c>
      <c r="D2" s="43" t="s">
        <v>218</v>
      </c>
      <c r="E2" s="103"/>
      <c r="F2" s="103"/>
      <c r="G2" s="103"/>
      <c r="H2" s="43" t="s">
        <v>219</v>
      </c>
    </row>
    <row r="3" spans="2:15" ht="15.95" customHeight="1">
      <c r="B3" s="119" t="s">
        <v>220</v>
      </c>
      <c r="C3" s="42" t="s">
        <v>340</v>
      </c>
      <c r="D3" s="121"/>
      <c r="E3" s="121"/>
      <c r="F3" s="121"/>
      <c r="G3" s="121"/>
      <c r="H3" s="121"/>
    </row>
    <row r="4" spans="2:15" ht="22.5" customHeight="1">
      <c r="B4" s="119" t="s">
        <v>199</v>
      </c>
      <c r="C4" s="42" t="s">
        <v>341</v>
      </c>
      <c r="D4" s="121"/>
      <c r="E4" s="121"/>
      <c r="F4" s="121"/>
      <c r="G4" s="121"/>
      <c r="H4" s="121"/>
    </row>
    <row r="5" spans="2:15" ht="15.95" customHeight="1">
      <c r="B5" s="119" t="s">
        <v>224</v>
      </c>
      <c r="C5" s="42" t="s">
        <v>342</v>
      </c>
      <c r="D5" s="121"/>
      <c r="E5" s="121"/>
      <c r="F5" s="121"/>
      <c r="G5" s="121"/>
      <c r="H5" s="121"/>
    </row>
    <row r="6" spans="2:15" ht="15.95" customHeight="1">
      <c r="B6" s="119" t="s">
        <v>226</v>
      </c>
      <c r="C6" s="42" t="s">
        <v>164</v>
      </c>
      <c r="D6" s="121"/>
      <c r="E6" s="121"/>
      <c r="F6" s="121"/>
      <c r="G6" s="121"/>
      <c r="H6" s="121"/>
    </row>
    <row r="7" spans="2:15" ht="15.95" customHeight="1">
      <c r="B7" s="119" t="s">
        <v>227</v>
      </c>
      <c r="C7" s="42" t="s">
        <v>343</v>
      </c>
      <c r="D7" s="121"/>
      <c r="E7" s="121"/>
      <c r="F7" s="121"/>
      <c r="G7" s="121"/>
      <c r="H7" s="121"/>
    </row>
    <row r="8" spans="2:15" ht="15.95" customHeight="1">
      <c r="B8" s="119" t="s">
        <v>229</v>
      </c>
      <c r="C8" s="42" t="s">
        <v>344</v>
      </c>
      <c r="D8" s="121"/>
      <c r="E8" s="121"/>
      <c r="F8" s="121"/>
      <c r="G8" s="121"/>
      <c r="H8" s="121"/>
    </row>
    <row r="9" spans="2:15" ht="15.95" customHeight="1">
      <c r="B9" s="119" t="s">
        <v>231</v>
      </c>
      <c r="C9" s="42" t="s">
        <v>345</v>
      </c>
      <c r="D9" s="121"/>
      <c r="E9" s="121"/>
      <c r="F9" s="121"/>
      <c r="G9" s="121"/>
      <c r="H9" s="121"/>
    </row>
    <row r="10" spans="2:15" ht="15.95" customHeight="1">
      <c r="B10" s="119" t="s">
        <v>201</v>
      </c>
      <c r="C10" s="42" t="s">
        <v>346</v>
      </c>
      <c r="D10" s="121"/>
      <c r="E10" s="121"/>
      <c r="F10" s="121"/>
      <c r="G10" s="121"/>
      <c r="H10" s="121"/>
    </row>
    <row r="11" spans="2:15" ht="15.95" customHeight="1">
      <c r="B11" s="119" t="s">
        <v>203</v>
      </c>
      <c r="C11" s="42" t="s">
        <v>12</v>
      </c>
      <c r="D11" s="121"/>
      <c r="E11" s="121"/>
      <c r="F11" s="121"/>
      <c r="G11" s="121"/>
      <c r="H11" s="121"/>
    </row>
    <row r="12" spans="2:15" ht="15.95" customHeight="1">
      <c r="B12" s="119" t="s">
        <v>232</v>
      </c>
      <c r="C12" s="152">
        <v>332000000</v>
      </c>
      <c r="D12" s="121"/>
      <c r="E12" s="121"/>
      <c r="F12" s="121"/>
      <c r="G12" s="121"/>
      <c r="H12" s="174"/>
      <c r="I12" s="199"/>
      <c r="J12" s="199"/>
      <c r="K12" s="199"/>
      <c r="L12" s="199"/>
      <c r="M12" s="200"/>
      <c r="N12" s="201"/>
      <c r="O12" s="201"/>
    </row>
    <row r="13" spans="2:15" ht="15.95" customHeight="1">
      <c r="B13" s="119" t="s">
        <v>161</v>
      </c>
      <c r="C13" s="42" t="s">
        <v>233</v>
      </c>
      <c r="D13" s="121"/>
      <c r="E13" s="121"/>
      <c r="F13" s="121"/>
      <c r="G13" s="121"/>
      <c r="H13" s="121"/>
    </row>
    <row r="14" spans="2:15" ht="15.95" customHeight="1">
      <c r="B14" s="68"/>
      <c r="C14" s="68"/>
      <c r="D14" s="68"/>
      <c r="E14" s="68"/>
      <c r="F14" s="68"/>
      <c r="G14" s="68"/>
      <c r="H14" s="68"/>
      <c r="I14" s="1"/>
      <c r="J14" s="1"/>
      <c r="K14" s="1"/>
      <c r="L14" s="1"/>
      <c r="M14" s="2"/>
    </row>
    <row r="15" spans="2:15" ht="54.95" customHeight="1">
      <c r="B15" s="123" t="s">
        <v>46</v>
      </c>
      <c r="C15" s="124" t="s">
        <v>47</v>
      </c>
      <c r="D15" s="1"/>
      <c r="E15" s="1"/>
      <c r="F15" s="1"/>
      <c r="G15" s="1"/>
      <c r="H15" s="2"/>
    </row>
    <row r="16" spans="2:15" ht="39.950000000000003" customHeight="1">
      <c r="B16" s="102" t="s">
        <v>234</v>
      </c>
      <c r="C16" s="103"/>
      <c r="D16" s="103"/>
      <c r="E16" s="103"/>
      <c r="F16" s="103"/>
      <c r="G16" s="103"/>
      <c r="H16" s="103"/>
    </row>
    <row r="17" spans="2:8" ht="54.95" customHeight="1">
      <c r="B17" s="105" t="s">
        <v>52</v>
      </c>
      <c r="C17" s="119" t="s">
        <v>235</v>
      </c>
      <c r="D17" s="125" t="s">
        <v>236</v>
      </c>
      <c r="E17" s="126">
        <v>7.5</v>
      </c>
      <c r="F17" s="127" t="s">
        <v>237</v>
      </c>
      <c r="G17" s="128" t="s">
        <v>238</v>
      </c>
      <c r="H17" s="129" t="s">
        <v>239</v>
      </c>
    </row>
    <row r="18" spans="2:8" ht="54.95" customHeight="1">
      <c r="B18" s="130" t="s">
        <v>241</v>
      </c>
      <c r="C18" s="176" t="s">
        <v>347</v>
      </c>
      <c r="D18" s="199"/>
      <c r="E18" s="199"/>
      <c r="F18" s="199"/>
      <c r="G18" s="199"/>
      <c r="H18" s="200"/>
    </row>
    <row r="19" spans="2:8" ht="54.95" customHeight="1">
      <c r="B19" s="105" t="s">
        <v>56</v>
      </c>
      <c r="C19" s="119" t="s">
        <v>243</v>
      </c>
      <c r="D19" s="125" t="s">
        <v>244</v>
      </c>
      <c r="E19" s="126">
        <v>1</v>
      </c>
      <c r="F19" s="127" t="s">
        <v>245</v>
      </c>
      <c r="G19" s="128" t="s">
        <v>246</v>
      </c>
      <c r="H19" s="129" t="s">
        <v>247</v>
      </c>
    </row>
    <row r="20" spans="2:8" ht="18" customHeight="1">
      <c r="B20" s="105" t="s">
        <v>59</v>
      </c>
      <c r="C20" s="119" t="s">
        <v>248</v>
      </c>
      <c r="D20" s="125" t="s">
        <v>244</v>
      </c>
      <c r="E20" s="126">
        <v>0</v>
      </c>
      <c r="F20" s="127" t="s">
        <v>249</v>
      </c>
      <c r="G20" s="128" t="s">
        <v>250</v>
      </c>
      <c r="H20" s="129" t="s">
        <v>251</v>
      </c>
    </row>
    <row r="21" spans="2:8" ht="15.95" customHeight="1">
      <c r="B21" s="105" t="s">
        <v>62</v>
      </c>
      <c r="C21" s="119" t="s">
        <v>252</v>
      </c>
      <c r="D21" s="125" t="s">
        <v>244</v>
      </c>
      <c r="E21" s="126">
        <v>1</v>
      </c>
      <c r="F21" s="127" t="s">
        <v>253</v>
      </c>
      <c r="G21" s="128" t="s">
        <v>254</v>
      </c>
      <c r="H21" s="129" t="s">
        <v>255</v>
      </c>
    </row>
    <row r="22" spans="2:8" ht="54.95" customHeight="1">
      <c r="B22" s="102" t="s">
        <v>256</v>
      </c>
      <c r="C22" s="103"/>
      <c r="D22" s="103"/>
      <c r="E22" s="103"/>
      <c r="F22" s="103"/>
      <c r="G22" s="103"/>
      <c r="H22" s="103"/>
    </row>
    <row r="23" spans="2:8" ht="54.95" customHeight="1">
      <c r="B23" s="132" t="s">
        <v>46</v>
      </c>
      <c r="C23" s="133" t="s">
        <v>47</v>
      </c>
      <c r="D23" s="132" t="s">
        <v>257</v>
      </c>
      <c r="E23" s="134" t="s">
        <v>258</v>
      </c>
      <c r="F23" s="135" t="s">
        <v>259</v>
      </c>
      <c r="G23" s="136" t="s">
        <v>260</v>
      </c>
      <c r="H23" s="133" t="s">
        <v>261</v>
      </c>
    </row>
    <row r="24" spans="2:8" ht="54.95" customHeight="1">
      <c r="B24" s="105" t="s">
        <v>66</v>
      </c>
      <c r="C24" s="42" t="s">
        <v>262</v>
      </c>
      <c r="D24" s="137" t="s">
        <v>263</v>
      </c>
      <c r="E24" s="126">
        <v>3</v>
      </c>
      <c r="F24" s="127" t="s">
        <v>264</v>
      </c>
      <c r="G24" s="128" t="s">
        <v>265</v>
      </c>
      <c r="H24" s="129" t="s">
        <v>266</v>
      </c>
    </row>
    <row r="25" spans="2:8" ht="54.95" customHeight="1">
      <c r="B25" s="105" t="s">
        <v>69</v>
      </c>
      <c r="C25" s="42" t="s">
        <v>267</v>
      </c>
      <c r="D25" s="137" t="s">
        <v>263</v>
      </c>
      <c r="E25" s="126">
        <v>2</v>
      </c>
      <c r="F25" s="127" t="s">
        <v>268</v>
      </c>
      <c r="G25" s="128" t="s">
        <v>269</v>
      </c>
      <c r="H25" s="129" t="s">
        <v>270</v>
      </c>
    </row>
    <row r="26" spans="2:8" ht="54.95" customHeight="1">
      <c r="B26" s="105" t="s">
        <v>71</v>
      </c>
      <c r="C26" s="42" t="s">
        <v>271</v>
      </c>
      <c r="D26" s="137" t="s">
        <v>263</v>
      </c>
      <c r="E26" s="126">
        <v>4</v>
      </c>
      <c r="F26" s="127" t="s">
        <v>272</v>
      </c>
      <c r="G26" s="128" t="s">
        <v>273</v>
      </c>
      <c r="H26" s="129" t="s">
        <v>274</v>
      </c>
    </row>
    <row r="27" spans="2:8" ht="54.95" customHeight="1">
      <c r="B27" s="105" t="s">
        <v>73</v>
      </c>
      <c r="C27" s="42" t="s">
        <v>275</v>
      </c>
      <c r="D27" s="137" t="s">
        <v>263</v>
      </c>
      <c r="E27" s="126">
        <v>2</v>
      </c>
      <c r="F27" s="127" t="s">
        <v>276</v>
      </c>
      <c r="G27" s="128" t="s">
        <v>277</v>
      </c>
      <c r="H27" s="129" t="s">
        <v>278</v>
      </c>
    </row>
    <row r="28" spans="2:8" ht="54.95" customHeight="1">
      <c r="B28" s="105" t="s">
        <v>75</v>
      </c>
      <c r="C28" s="42" t="s">
        <v>279</v>
      </c>
      <c r="D28" s="137" t="s">
        <v>263</v>
      </c>
      <c r="E28" s="126">
        <v>3</v>
      </c>
      <c r="F28" s="127" t="s">
        <v>280</v>
      </c>
      <c r="G28" s="128" t="s">
        <v>281</v>
      </c>
      <c r="H28" s="129" t="s">
        <v>282</v>
      </c>
    </row>
    <row r="29" spans="2:8" ht="54.95" customHeight="1">
      <c r="B29" s="105" t="s">
        <v>77</v>
      </c>
      <c r="C29" s="42" t="s">
        <v>283</v>
      </c>
      <c r="D29" s="137" t="s">
        <v>263</v>
      </c>
      <c r="E29" s="126">
        <v>2</v>
      </c>
      <c r="F29" s="127" t="s">
        <v>284</v>
      </c>
      <c r="G29" s="128" t="s">
        <v>285</v>
      </c>
      <c r="H29" s="129" t="s">
        <v>286</v>
      </c>
    </row>
    <row r="30" spans="2:8" ht="54.95" customHeight="1">
      <c r="B30" s="105" t="s">
        <v>79</v>
      </c>
      <c r="C30" s="42" t="s">
        <v>287</v>
      </c>
      <c r="D30" s="137" t="s">
        <v>263</v>
      </c>
      <c r="E30" s="126">
        <v>3</v>
      </c>
      <c r="F30" s="127" t="s">
        <v>288</v>
      </c>
      <c r="G30" s="128" t="s">
        <v>289</v>
      </c>
      <c r="H30" s="129" t="s">
        <v>290</v>
      </c>
    </row>
    <row r="31" spans="2:8" ht="18" customHeight="1">
      <c r="B31" s="105" t="s">
        <v>81</v>
      </c>
      <c r="C31" s="42" t="s">
        <v>291</v>
      </c>
      <c r="D31" s="137" t="s">
        <v>263</v>
      </c>
      <c r="E31" s="149"/>
      <c r="F31" s="127" t="s">
        <v>327</v>
      </c>
      <c r="G31" s="128" t="s">
        <v>328</v>
      </c>
      <c r="H31" s="129" t="s">
        <v>329</v>
      </c>
    </row>
    <row r="32" spans="2:8" ht="30" customHeight="1">
      <c r="B32" s="105" t="s">
        <v>84</v>
      </c>
      <c r="C32" s="42" t="s">
        <v>292</v>
      </c>
      <c r="D32" s="138" t="s">
        <v>236</v>
      </c>
      <c r="E32" s="126">
        <v>8</v>
      </c>
      <c r="F32" s="139" t="s">
        <v>293</v>
      </c>
      <c r="G32" s="128" t="s">
        <v>294</v>
      </c>
      <c r="H32" s="140" t="s">
        <v>295</v>
      </c>
    </row>
    <row r="33" spans="2:8" ht="20.100000000000001" customHeight="1">
      <c r="B33" s="102" t="s">
        <v>296</v>
      </c>
      <c r="C33" s="103"/>
      <c r="D33" s="103"/>
      <c r="E33" s="103"/>
      <c r="F33" s="103"/>
      <c r="G33" s="103"/>
      <c r="H33" s="103"/>
    </row>
    <row r="34" spans="2:8" ht="39.950000000000003" customHeight="1">
      <c r="B34" s="141" t="s">
        <v>297</v>
      </c>
      <c r="C34" s="173" t="s">
        <v>298</v>
      </c>
      <c r="D34" s="199"/>
      <c r="E34" s="199"/>
      <c r="F34" s="199"/>
      <c r="G34" s="199"/>
      <c r="H34" s="200"/>
    </row>
    <row r="35" spans="2:8" ht="20.100000000000001" customHeight="1">
      <c r="B35" s="143" t="s">
        <v>88</v>
      </c>
      <c r="C35" s="42" t="s">
        <v>89</v>
      </c>
      <c r="D35" s="137" t="s">
        <v>244</v>
      </c>
      <c r="E35" s="126">
        <v>1</v>
      </c>
      <c r="F35" s="144" t="s">
        <v>299</v>
      </c>
      <c r="G35" s="145" t="s">
        <v>300</v>
      </c>
      <c r="H35" s="121"/>
    </row>
    <row r="36" spans="2:8" ht="20.100000000000001" customHeight="1">
      <c r="B36" s="130" t="s">
        <v>241</v>
      </c>
      <c r="C36" s="176" t="s">
        <v>348</v>
      </c>
      <c r="D36" s="199"/>
      <c r="E36" s="199"/>
      <c r="F36" s="199"/>
      <c r="G36" s="199"/>
      <c r="H36" s="200"/>
    </row>
    <row r="37" spans="2:8" ht="20.100000000000001" customHeight="1">
      <c r="B37" s="143" t="s">
        <v>91</v>
      </c>
      <c r="C37" s="42" t="s">
        <v>92</v>
      </c>
      <c r="D37" s="137" t="s">
        <v>244</v>
      </c>
      <c r="E37" s="126">
        <v>1</v>
      </c>
      <c r="F37" s="144" t="s">
        <v>299</v>
      </c>
      <c r="G37" s="145" t="s">
        <v>300</v>
      </c>
      <c r="H37" s="121"/>
    </row>
    <row r="38" spans="2:8" ht="20.100000000000001" customHeight="1">
      <c r="B38" s="143" t="s">
        <v>94</v>
      </c>
      <c r="C38" s="42" t="s">
        <v>302</v>
      </c>
      <c r="D38" s="137" t="s">
        <v>244</v>
      </c>
      <c r="E38" s="126">
        <v>1</v>
      </c>
      <c r="F38" s="144" t="s">
        <v>299</v>
      </c>
      <c r="G38" s="145" t="s">
        <v>300</v>
      </c>
      <c r="H38" s="121"/>
    </row>
    <row r="39" spans="2:8" ht="20.100000000000001" customHeight="1">
      <c r="B39" s="143" t="s">
        <v>97</v>
      </c>
      <c r="C39" s="42" t="s">
        <v>98</v>
      </c>
      <c r="D39" s="137" t="s">
        <v>244</v>
      </c>
      <c r="E39" s="126">
        <v>1</v>
      </c>
      <c r="F39" s="144" t="s">
        <v>299</v>
      </c>
      <c r="G39" s="145" t="s">
        <v>300</v>
      </c>
      <c r="H39" s="121"/>
    </row>
    <row r="40" spans="2:8" ht="20.100000000000001" customHeight="1">
      <c r="B40" s="143" t="s">
        <v>100</v>
      </c>
      <c r="C40" s="42" t="s">
        <v>101</v>
      </c>
      <c r="D40" s="137" t="s">
        <v>244</v>
      </c>
      <c r="E40" s="126">
        <v>0</v>
      </c>
      <c r="F40" s="144" t="s">
        <v>299</v>
      </c>
      <c r="G40" s="145" t="s">
        <v>300</v>
      </c>
      <c r="H40" s="121"/>
    </row>
    <row r="41" spans="2:8" ht="18" customHeight="1">
      <c r="B41" s="143" t="s">
        <v>103</v>
      </c>
      <c r="C41" s="42" t="s">
        <v>104</v>
      </c>
      <c r="D41" s="84" t="s">
        <v>244</v>
      </c>
      <c r="E41" s="126">
        <v>1</v>
      </c>
      <c r="F41" s="127" t="s">
        <v>299</v>
      </c>
      <c r="G41" s="128" t="s">
        <v>300</v>
      </c>
      <c r="H41" s="129" t="s">
        <v>298</v>
      </c>
    </row>
    <row r="42" spans="2:8" ht="30" customHeight="1">
      <c r="B42" s="143" t="s">
        <v>106</v>
      </c>
      <c r="C42" s="42" t="s">
        <v>303</v>
      </c>
      <c r="D42" s="84" t="s">
        <v>244</v>
      </c>
      <c r="E42" s="126">
        <v>1</v>
      </c>
      <c r="F42" s="127" t="s">
        <v>299</v>
      </c>
      <c r="G42" s="128" t="s">
        <v>300</v>
      </c>
      <c r="H42" s="129" t="s">
        <v>298</v>
      </c>
    </row>
    <row r="43" spans="2:8" ht="20.100000000000001" customHeight="1">
      <c r="B43" s="102" t="s">
        <v>304</v>
      </c>
      <c r="C43" s="103"/>
      <c r="D43" s="103"/>
      <c r="E43" s="103"/>
      <c r="F43" s="103"/>
      <c r="G43" s="103"/>
      <c r="H43" s="103"/>
    </row>
    <row r="44" spans="2:8" ht="20.100000000000001" customHeight="1">
      <c r="B44" s="141" t="s">
        <v>297</v>
      </c>
      <c r="C44" s="173" t="s">
        <v>298</v>
      </c>
      <c r="D44" s="199"/>
      <c r="E44" s="199"/>
      <c r="F44" s="199"/>
      <c r="G44" s="199"/>
      <c r="H44" s="200"/>
    </row>
    <row r="45" spans="2:8" ht="20.100000000000001" customHeight="1">
      <c r="B45" s="143" t="s">
        <v>110</v>
      </c>
      <c r="C45" s="42" t="s">
        <v>111</v>
      </c>
      <c r="D45" s="137" t="s">
        <v>244</v>
      </c>
      <c r="E45" s="126">
        <v>1</v>
      </c>
      <c r="F45" s="144" t="s">
        <v>299</v>
      </c>
      <c r="G45" s="145" t="s">
        <v>300</v>
      </c>
      <c r="H45" s="121"/>
    </row>
    <row r="46" spans="2:8" ht="20.100000000000001" customHeight="1">
      <c r="B46" s="143" t="s">
        <v>113</v>
      </c>
      <c r="C46" s="42" t="s">
        <v>114</v>
      </c>
      <c r="D46" s="137" t="s">
        <v>244</v>
      </c>
      <c r="E46" s="126">
        <v>1</v>
      </c>
      <c r="F46" s="144" t="s">
        <v>299</v>
      </c>
      <c r="G46" s="145" t="s">
        <v>300</v>
      </c>
      <c r="H46" s="121"/>
    </row>
    <row r="47" spans="2:8" ht="18" customHeight="1">
      <c r="B47" s="143" t="s">
        <v>116</v>
      </c>
      <c r="C47" s="42" t="s">
        <v>117</v>
      </c>
      <c r="D47" s="84" t="s">
        <v>244</v>
      </c>
      <c r="E47" s="126">
        <v>1</v>
      </c>
      <c r="F47" s="127" t="s">
        <v>299</v>
      </c>
      <c r="G47" s="128" t="s">
        <v>300</v>
      </c>
      <c r="H47" s="129" t="s">
        <v>298</v>
      </c>
    </row>
    <row r="48" spans="2:8" ht="30" customHeight="1">
      <c r="B48" s="143" t="s">
        <v>119</v>
      </c>
      <c r="C48" s="42" t="s">
        <v>120</v>
      </c>
      <c r="D48" s="84" t="s">
        <v>244</v>
      </c>
      <c r="E48" s="126">
        <v>1</v>
      </c>
      <c r="F48" s="127" t="s">
        <v>299</v>
      </c>
      <c r="G48" s="128" t="s">
        <v>300</v>
      </c>
      <c r="H48" s="129" t="s">
        <v>298</v>
      </c>
    </row>
    <row r="49" spans="2:8" ht="20.100000000000001" customHeight="1">
      <c r="B49" s="102" t="s">
        <v>306</v>
      </c>
      <c r="C49" s="103"/>
      <c r="D49" s="103"/>
      <c r="E49" s="103"/>
      <c r="F49" s="103"/>
      <c r="G49" s="103"/>
      <c r="H49" s="103"/>
    </row>
    <row r="50" spans="2:8" ht="39.950000000000003" customHeight="1">
      <c r="B50" s="141" t="s">
        <v>297</v>
      </c>
      <c r="C50" s="173" t="s">
        <v>298</v>
      </c>
      <c r="D50" s="199"/>
      <c r="E50" s="199"/>
      <c r="F50" s="199"/>
      <c r="G50" s="199"/>
      <c r="H50" s="200"/>
    </row>
    <row r="51" spans="2:8" ht="20.100000000000001" customHeight="1">
      <c r="B51" s="143" t="s">
        <v>123</v>
      </c>
      <c r="C51" s="42" t="s">
        <v>307</v>
      </c>
      <c r="D51" s="137" t="s">
        <v>244</v>
      </c>
      <c r="E51" s="126">
        <v>0</v>
      </c>
      <c r="F51" s="144" t="s">
        <v>299</v>
      </c>
      <c r="G51" s="145" t="s">
        <v>300</v>
      </c>
      <c r="H51" s="121"/>
    </row>
    <row r="52" spans="2:8" ht="20.100000000000001" customHeight="1">
      <c r="B52" s="130" t="s">
        <v>241</v>
      </c>
      <c r="C52" s="175" t="s">
        <v>330</v>
      </c>
      <c r="D52" s="199"/>
      <c r="E52" s="199"/>
      <c r="F52" s="199"/>
      <c r="G52" s="199"/>
      <c r="H52" s="200"/>
    </row>
    <row r="53" spans="2:8" ht="20.100000000000001" customHeight="1">
      <c r="B53" s="143" t="s">
        <v>126</v>
      </c>
      <c r="C53" s="42" t="s">
        <v>309</v>
      </c>
      <c r="D53" s="137" t="s">
        <v>244</v>
      </c>
      <c r="E53" s="126">
        <v>0</v>
      </c>
      <c r="F53" s="144" t="s">
        <v>299</v>
      </c>
      <c r="G53" s="145" t="s">
        <v>300</v>
      </c>
      <c r="H53" s="121"/>
    </row>
    <row r="54" spans="2:8" ht="20.100000000000001" customHeight="1">
      <c r="B54" s="143" t="s">
        <v>129</v>
      </c>
      <c r="C54" s="42" t="s">
        <v>130</v>
      </c>
      <c r="D54" s="137" t="s">
        <v>244</v>
      </c>
      <c r="E54" s="126">
        <v>1</v>
      </c>
      <c r="F54" s="144" t="s">
        <v>299</v>
      </c>
      <c r="G54" s="145" t="s">
        <v>300</v>
      </c>
      <c r="H54" s="121"/>
    </row>
    <row r="55" spans="2:8" ht="18" customHeight="1">
      <c r="B55" s="143" t="s">
        <v>132</v>
      </c>
      <c r="C55" s="42" t="s">
        <v>310</v>
      </c>
      <c r="D55" s="137" t="s">
        <v>244</v>
      </c>
      <c r="E55" s="126">
        <v>0</v>
      </c>
      <c r="F55" s="144" t="s">
        <v>299</v>
      </c>
      <c r="G55" s="145" t="s">
        <v>300</v>
      </c>
      <c r="H55" s="121"/>
    </row>
    <row r="56" spans="2:8" ht="30" customHeight="1">
      <c r="B56" s="143" t="s">
        <v>135</v>
      </c>
      <c r="C56" s="42" t="s">
        <v>311</v>
      </c>
      <c r="D56" s="137" t="s">
        <v>244</v>
      </c>
      <c r="E56" s="126">
        <v>0</v>
      </c>
      <c r="F56" s="144" t="s">
        <v>299</v>
      </c>
      <c r="G56" s="145" t="s">
        <v>300</v>
      </c>
      <c r="H56" s="121"/>
    </row>
    <row r="57" spans="2:8" ht="20.100000000000001" customHeight="1">
      <c r="B57" s="102" t="s">
        <v>313</v>
      </c>
      <c r="C57" s="103"/>
      <c r="D57" s="103"/>
      <c r="E57" s="103"/>
      <c r="F57" s="103"/>
      <c r="G57" s="103"/>
      <c r="H57" s="103"/>
    </row>
    <row r="58" spans="2:8" ht="20.100000000000001" customHeight="1">
      <c r="B58" s="141" t="s">
        <v>297</v>
      </c>
      <c r="C58" s="173" t="s">
        <v>298</v>
      </c>
      <c r="D58" s="199"/>
      <c r="E58" s="199"/>
      <c r="F58" s="199"/>
      <c r="G58" s="199"/>
      <c r="H58" s="200"/>
    </row>
    <row r="59" spans="2:8" ht="20.100000000000001" customHeight="1">
      <c r="B59" s="143" t="s">
        <v>139</v>
      </c>
      <c r="C59" s="42" t="s">
        <v>314</v>
      </c>
      <c r="D59" s="137" t="s">
        <v>244</v>
      </c>
      <c r="E59" s="126">
        <v>0</v>
      </c>
      <c r="F59" s="144" t="s">
        <v>299</v>
      </c>
      <c r="G59" s="145" t="s">
        <v>300</v>
      </c>
      <c r="H59" s="121"/>
    </row>
    <row r="60" spans="2:8" ht="20.100000000000001" customHeight="1">
      <c r="B60" s="143" t="s">
        <v>142</v>
      </c>
      <c r="C60" s="42" t="s">
        <v>143</v>
      </c>
      <c r="D60" s="137" t="s">
        <v>244</v>
      </c>
      <c r="E60" s="126">
        <v>1</v>
      </c>
      <c r="F60" s="144" t="s">
        <v>299</v>
      </c>
      <c r="G60" s="145" t="s">
        <v>300</v>
      </c>
      <c r="H60" s="121"/>
    </row>
    <row r="61" spans="2:8" ht="20.100000000000001" customHeight="1">
      <c r="B61" s="143" t="s">
        <v>145</v>
      </c>
      <c r="C61" s="42" t="s">
        <v>315</v>
      </c>
      <c r="D61" s="137" t="s">
        <v>244</v>
      </c>
      <c r="E61" s="126">
        <v>1</v>
      </c>
      <c r="F61" s="144" t="s">
        <v>299</v>
      </c>
      <c r="G61" s="145" t="s">
        <v>300</v>
      </c>
      <c r="H61" s="121"/>
    </row>
    <row r="62" spans="2:8" ht="20.100000000000001" customHeight="1">
      <c r="B62" s="143" t="s">
        <v>148</v>
      </c>
      <c r="C62" s="42" t="s">
        <v>316</v>
      </c>
      <c r="D62" s="137" t="s">
        <v>244</v>
      </c>
      <c r="E62" s="126">
        <v>1</v>
      </c>
      <c r="F62" s="144" t="s">
        <v>299</v>
      </c>
      <c r="G62" s="145" t="s">
        <v>300</v>
      </c>
      <c r="H62" s="121"/>
    </row>
    <row r="63" spans="2:8" ht="18" customHeight="1">
      <c r="B63" s="143" t="s">
        <v>151</v>
      </c>
      <c r="C63" s="42" t="s">
        <v>152</v>
      </c>
      <c r="D63" s="137" t="s">
        <v>244</v>
      </c>
      <c r="E63" s="126">
        <v>1</v>
      </c>
      <c r="F63" s="144" t="s">
        <v>299</v>
      </c>
      <c r="G63" s="145" t="s">
        <v>300</v>
      </c>
      <c r="H63" s="121"/>
    </row>
    <row r="64" spans="2:8" ht="30" customHeight="1">
      <c r="B64" s="143" t="s">
        <v>154</v>
      </c>
      <c r="C64" s="42" t="s">
        <v>155</v>
      </c>
      <c r="D64" s="137" t="s">
        <v>244</v>
      </c>
      <c r="E64" s="126">
        <v>0</v>
      </c>
      <c r="F64" s="144" t="s">
        <v>299</v>
      </c>
      <c r="G64" s="145" t="s">
        <v>300</v>
      </c>
      <c r="H64" s="121"/>
    </row>
    <row r="65" spans="2:8" ht="20.100000000000001" customHeight="1">
      <c r="B65" s="141" t="s">
        <v>297</v>
      </c>
      <c r="C65" s="142" t="s">
        <v>298</v>
      </c>
      <c r="D65" s="1"/>
      <c r="E65" s="1"/>
      <c r="F65" s="1"/>
      <c r="G65" s="1"/>
      <c r="H65" s="2"/>
    </row>
    <row r="67" spans="2:8" ht="30" customHeight="1">
      <c r="B67" s="147" t="s">
        <v>317</v>
      </c>
      <c r="C67" s="170" t="s">
        <v>318</v>
      </c>
      <c r="D67" s="199"/>
      <c r="E67" s="199"/>
      <c r="F67" s="199"/>
      <c r="G67" s="199"/>
      <c r="H67" s="200"/>
    </row>
  </sheetData>
  <mergeCells count="10">
    <mergeCell ref="C67:H67"/>
    <mergeCell ref="C58:H58"/>
    <mergeCell ref="C50:H50"/>
    <mergeCell ref="N12:O12"/>
    <mergeCell ref="C44:H44"/>
    <mergeCell ref="C36:H36"/>
    <mergeCell ref="C52:H52"/>
    <mergeCell ref="C18:H18"/>
    <mergeCell ref="C34:H34"/>
    <mergeCell ref="H12:M12"/>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B1:O67"/>
  <sheetViews>
    <sheetView zoomScale="85" zoomScaleNormal="85" workbookViewId="0">
      <pane xSplit="7" ySplit="13" topLeftCell="H28" activePane="bottomRight" state="frozen"/>
      <selection pane="bottomRight" activeCell="C21" sqref="C21"/>
      <selection pane="bottomLeft" activeCell="C21" sqref="C21"/>
      <selection pane="topRight" activeCell="C21" sqref="C21"/>
    </sheetView>
  </sheetViews>
  <sheetFormatPr defaultRowHeight="14.45"/>
  <cols>
    <col min="1" max="1" width="2" customWidth="1"/>
    <col min="2" max="2" width="28" customWidth="1"/>
    <col min="3" max="3" width="45" bestFit="1" customWidth="1"/>
    <col min="4" max="4" width="18" customWidth="1"/>
    <col min="5" max="7" width="14" customWidth="1"/>
    <col min="8" max="8" width="55" customWidth="1"/>
    <col min="9" max="13" width="30.140625" customWidth="1"/>
  </cols>
  <sheetData>
    <row r="1" spans="2:15" ht="27.95" customHeight="1">
      <c r="B1" s="118" t="s">
        <v>349</v>
      </c>
      <c r="C1" s="68"/>
      <c r="D1" s="68"/>
      <c r="E1" s="68"/>
      <c r="F1" s="68"/>
      <c r="G1" s="68"/>
      <c r="H1" s="68"/>
    </row>
    <row r="2" spans="2:15" ht="15.95" customHeight="1">
      <c r="B2" s="19" t="s">
        <v>216</v>
      </c>
      <c r="C2" s="43" t="s">
        <v>217</v>
      </c>
      <c r="D2" s="43" t="s">
        <v>218</v>
      </c>
      <c r="E2" s="103"/>
      <c r="F2" s="103"/>
      <c r="G2" s="103"/>
      <c r="H2" s="43" t="s">
        <v>219</v>
      </c>
    </row>
    <row r="3" spans="2:15" ht="15.95" customHeight="1">
      <c r="B3" s="119" t="s">
        <v>220</v>
      </c>
      <c r="C3" s="42" t="s">
        <v>350</v>
      </c>
      <c r="D3" s="121"/>
      <c r="E3" s="121"/>
      <c r="F3" s="121"/>
      <c r="G3" s="121"/>
      <c r="H3" s="121"/>
    </row>
    <row r="4" spans="2:15" ht="15.95" customHeight="1">
      <c r="B4" s="119" t="s">
        <v>199</v>
      </c>
      <c r="C4" s="42" t="s">
        <v>351</v>
      </c>
      <c r="D4" s="121"/>
      <c r="E4" s="121"/>
      <c r="F4" s="121"/>
      <c r="G4" s="121"/>
      <c r="H4" s="121"/>
    </row>
    <row r="5" spans="2:15" ht="15.95" customHeight="1">
      <c r="B5" s="119" t="s">
        <v>224</v>
      </c>
      <c r="C5" s="42" t="s">
        <v>352</v>
      </c>
      <c r="D5" s="121"/>
      <c r="E5" s="121"/>
      <c r="F5" s="121"/>
      <c r="G5" s="121"/>
      <c r="H5" s="121"/>
    </row>
    <row r="6" spans="2:15" ht="15.95" customHeight="1">
      <c r="B6" s="119" t="s">
        <v>226</v>
      </c>
      <c r="C6" s="42" t="s">
        <v>166</v>
      </c>
      <c r="D6" s="121"/>
      <c r="E6" s="121"/>
      <c r="F6" s="121"/>
      <c r="G6" s="121"/>
      <c r="H6" s="121"/>
    </row>
    <row r="7" spans="2:15" ht="15.95" customHeight="1">
      <c r="B7" s="119" t="s">
        <v>227</v>
      </c>
      <c r="C7" s="42" t="s">
        <v>353</v>
      </c>
      <c r="D7" s="121"/>
      <c r="E7" s="121"/>
      <c r="F7" s="121"/>
      <c r="G7" s="121"/>
      <c r="H7" s="121"/>
    </row>
    <row r="8" spans="2:15" ht="15.95" customHeight="1">
      <c r="B8" s="119" t="s">
        <v>229</v>
      </c>
      <c r="C8" s="42" t="s">
        <v>354</v>
      </c>
      <c r="D8" s="121"/>
      <c r="E8" s="121"/>
      <c r="F8" s="121"/>
      <c r="G8" s="121"/>
      <c r="H8" s="121"/>
    </row>
    <row r="9" spans="2:15" ht="15.95" customHeight="1">
      <c r="B9" s="119" t="s">
        <v>231</v>
      </c>
      <c r="C9" s="42" t="s">
        <v>355</v>
      </c>
      <c r="D9" s="121"/>
      <c r="E9" s="121"/>
      <c r="F9" s="121"/>
      <c r="G9" s="121"/>
      <c r="H9" s="121"/>
    </row>
    <row r="10" spans="2:15" ht="15.95" customHeight="1">
      <c r="B10" s="119" t="s">
        <v>201</v>
      </c>
      <c r="C10" s="42" t="s">
        <v>356</v>
      </c>
      <c r="D10" s="121"/>
      <c r="E10" s="121"/>
      <c r="F10" s="121"/>
      <c r="G10" s="121"/>
      <c r="H10" s="121"/>
    </row>
    <row r="11" spans="2:15" ht="15.95" customHeight="1">
      <c r="B11" s="119" t="s">
        <v>203</v>
      </c>
      <c r="C11" s="42" t="s">
        <v>6</v>
      </c>
      <c r="D11" s="121"/>
      <c r="E11" s="121"/>
      <c r="F11" s="121"/>
      <c r="G11" s="121"/>
      <c r="H11" s="121"/>
    </row>
    <row r="12" spans="2:15" ht="15.95" customHeight="1">
      <c r="B12" s="119" t="s">
        <v>232</v>
      </c>
      <c r="C12" s="122">
        <v>134000000</v>
      </c>
      <c r="D12" s="121"/>
      <c r="E12" s="121"/>
      <c r="F12" s="121"/>
      <c r="G12" s="121"/>
      <c r="H12" s="174"/>
      <c r="I12" s="199"/>
      <c r="J12" s="199"/>
      <c r="K12" s="199"/>
      <c r="L12" s="199"/>
      <c r="M12" s="200"/>
      <c r="N12" s="201"/>
      <c r="O12" s="201"/>
    </row>
    <row r="13" spans="2:15" ht="15.95" customHeight="1">
      <c r="B13" s="119" t="s">
        <v>161</v>
      </c>
      <c r="C13" s="42" t="s">
        <v>233</v>
      </c>
      <c r="D13" s="121"/>
      <c r="E13" s="121"/>
      <c r="F13" s="121"/>
      <c r="G13" s="121"/>
      <c r="H13" s="121"/>
    </row>
    <row r="14" spans="2:15" ht="15.95" customHeight="1">
      <c r="B14" s="68"/>
      <c r="C14" s="68"/>
      <c r="D14" s="68"/>
      <c r="E14" s="68"/>
      <c r="F14" s="68"/>
      <c r="G14" s="68"/>
      <c r="H14" s="68"/>
      <c r="I14" s="1"/>
      <c r="J14" s="1"/>
      <c r="K14" s="1"/>
      <c r="L14" s="1"/>
      <c r="M14" s="2"/>
    </row>
    <row r="15" spans="2:15" ht="54.95" customHeight="1">
      <c r="B15" s="123" t="s">
        <v>46</v>
      </c>
      <c r="C15" s="124" t="s">
        <v>47</v>
      </c>
      <c r="D15" s="1"/>
      <c r="E15" s="1"/>
      <c r="F15" s="1"/>
      <c r="G15" s="1"/>
      <c r="H15" s="2"/>
    </row>
    <row r="16" spans="2:15" ht="39.950000000000003" customHeight="1">
      <c r="B16" s="102" t="s">
        <v>234</v>
      </c>
      <c r="C16" s="103"/>
      <c r="D16" s="103"/>
      <c r="E16" s="103"/>
      <c r="F16" s="103"/>
      <c r="G16" s="103"/>
      <c r="H16" s="103"/>
    </row>
    <row r="17" spans="2:9" ht="54.95" customHeight="1">
      <c r="B17" s="105" t="s">
        <v>52</v>
      </c>
      <c r="C17" s="119" t="s">
        <v>235</v>
      </c>
      <c r="D17" s="125" t="s">
        <v>236</v>
      </c>
      <c r="E17" s="126">
        <v>10</v>
      </c>
      <c r="F17" s="153" t="s">
        <v>237</v>
      </c>
      <c r="G17" s="128" t="s">
        <v>238</v>
      </c>
      <c r="H17" s="129" t="s">
        <v>239</v>
      </c>
    </row>
    <row r="18" spans="2:9" ht="54.95" customHeight="1">
      <c r="B18" s="130" t="s">
        <v>241</v>
      </c>
      <c r="C18" s="176" t="s">
        <v>357</v>
      </c>
      <c r="D18" s="199"/>
      <c r="E18" s="199"/>
      <c r="F18" s="199"/>
      <c r="G18" s="199"/>
      <c r="H18" s="200"/>
      <c r="I18" t="s">
        <v>358</v>
      </c>
    </row>
    <row r="19" spans="2:9" ht="54.95" customHeight="1">
      <c r="B19" s="105" t="s">
        <v>56</v>
      </c>
      <c r="C19" s="119" t="s">
        <v>243</v>
      </c>
      <c r="D19" s="125" t="s">
        <v>244</v>
      </c>
      <c r="E19" s="126">
        <v>1</v>
      </c>
      <c r="F19" s="153" t="s">
        <v>245</v>
      </c>
      <c r="G19" s="128" t="s">
        <v>246</v>
      </c>
      <c r="H19" s="129" t="s">
        <v>247</v>
      </c>
    </row>
    <row r="20" spans="2:9" ht="18" customHeight="1">
      <c r="B20" s="105" t="s">
        <v>59</v>
      </c>
      <c r="C20" s="119" t="s">
        <v>248</v>
      </c>
      <c r="D20" s="125" t="s">
        <v>244</v>
      </c>
      <c r="E20" s="126">
        <v>0</v>
      </c>
      <c r="F20" s="153" t="s">
        <v>249</v>
      </c>
      <c r="G20" s="128" t="s">
        <v>250</v>
      </c>
      <c r="H20" s="129" t="s">
        <v>251</v>
      </c>
    </row>
    <row r="21" spans="2:9" ht="15.95" customHeight="1">
      <c r="B21" s="105" t="s">
        <v>62</v>
      </c>
      <c r="C21" s="119" t="s">
        <v>252</v>
      </c>
      <c r="D21" s="125" t="s">
        <v>244</v>
      </c>
      <c r="E21" s="126">
        <v>1</v>
      </c>
      <c r="F21" s="127" t="s">
        <v>253</v>
      </c>
      <c r="G21" s="128" t="s">
        <v>254</v>
      </c>
      <c r="H21" s="129" t="s">
        <v>255</v>
      </c>
    </row>
    <row r="22" spans="2:9" ht="54.95" customHeight="1">
      <c r="B22" s="102" t="s">
        <v>256</v>
      </c>
      <c r="C22" s="103"/>
      <c r="D22" s="103"/>
      <c r="E22" s="103"/>
      <c r="F22" s="103"/>
      <c r="G22" s="103"/>
      <c r="H22" s="103"/>
    </row>
    <row r="23" spans="2:9" ht="54.95" customHeight="1">
      <c r="B23" s="132" t="s">
        <v>46</v>
      </c>
      <c r="C23" s="133" t="s">
        <v>47</v>
      </c>
      <c r="D23" s="132" t="s">
        <v>257</v>
      </c>
      <c r="E23" s="134" t="s">
        <v>258</v>
      </c>
      <c r="F23" s="135" t="s">
        <v>259</v>
      </c>
      <c r="G23" s="136" t="s">
        <v>260</v>
      </c>
      <c r="H23" s="133" t="s">
        <v>261</v>
      </c>
    </row>
    <row r="24" spans="2:9" ht="54.95" customHeight="1">
      <c r="B24" s="105" t="s">
        <v>66</v>
      </c>
      <c r="C24" s="42" t="s">
        <v>262</v>
      </c>
      <c r="D24" s="137" t="s">
        <v>263</v>
      </c>
      <c r="E24" s="126">
        <v>2</v>
      </c>
      <c r="F24" s="127" t="s">
        <v>264</v>
      </c>
      <c r="G24" s="128" t="s">
        <v>265</v>
      </c>
      <c r="H24" s="129" t="s">
        <v>266</v>
      </c>
    </row>
    <row r="25" spans="2:9" ht="54.95" customHeight="1">
      <c r="B25" s="105" t="s">
        <v>69</v>
      </c>
      <c r="C25" s="42" t="s">
        <v>267</v>
      </c>
      <c r="D25" s="137" t="s">
        <v>263</v>
      </c>
      <c r="E25" s="126">
        <v>2</v>
      </c>
      <c r="F25" s="127" t="s">
        <v>268</v>
      </c>
      <c r="G25" s="128" t="s">
        <v>269</v>
      </c>
      <c r="H25" s="129" t="s">
        <v>270</v>
      </c>
    </row>
    <row r="26" spans="2:9" ht="54.95" customHeight="1">
      <c r="B26" s="105" t="s">
        <v>71</v>
      </c>
      <c r="C26" s="42" t="s">
        <v>271</v>
      </c>
      <c r="D26" s="137" t="s">
        <v>263</v>
      </c>
      <c r="E26" s="126">
        <v>2</v>
      </c>
      <c r="F26" s="127" t="s">
        <v>272</v>
      </c>
      <c r="G26" s="128" t="s">
        <v>273</v>
      </c>
      <c r="H26" s="129" t="s">
        <v>274</v>
      </c>
    </row>
    <row r="27" spans="2:9" ht="54.95" customHeight="1">
      <c r="B27" s="105" t="s">
        <v>73</v>
      </c>
      <c r="C27" s="42" t="s">
        <v>275</v>
      </c>
      <c r="D27" s="137" t="s">
        <v>263</v>
      </c>
      <c r="E27" s="126">
        <v>4</v>
      </c>
      <c r="F27" s="127" t="s">
        <v>276</v>
      </c>
      <c r="G27" s="128" t="s">
        <v>277</v>
      </c>
      <c r="H27" s="129" t="s">
        <v>278</v>
      </c>
    </row>
    <row r="28" spans="2:9" ht="54.95" customHeight="1">
      <c r="B28" s="105" t="s">
        <v>75</v>
      </c>
      <c r="C28" s="42" t="s">
        <v>279</v>
      </c>
      <c r="D28" s="137" t="s">
        <v>263</v>
      </c>
      <c r="E28" s="126">
        <v>2</v>
      </c>
      <c r="F28" s="127" t="s">
        <v>280</v>
      </c>
      <c r="G28" s="128" t="s">
        <v>281</v>
      </c>
      <c r="H28" s="129" t="s">
        <v>282</v>
      </c>
    </row>
    <row r="29" spans="2:9" ht="54.95" customHeight="1">
      <c r="B29" s="105" t="s">
        <v>77</v>
      </c>
      <c r="C29" s="42" t="s">
        <v>283</v>
      </c>
      <c r="D29" s="137" t="s">
        <v>263</v>
      </c>
      <c r="E29" s="126">
        <v>2</v>
      </c>
      <c r="F29" s="127" t="s">
        <v>284</v>
      </c>
      <c r="G29" s="128" t="s">
        <v>285</v>
      </c>
      <c r="H29" s="129" t="s">
        <v>286</v>
      </c>
    </row>
    <row r="30" spans="2:9" ht="54.95" customHeight="1">
      <c r="B30" s="105" t="s">
        <v>79</v>
      </c>
      <c r="C30" s="42" t="s">
        <v>287</v>
      </c>
      <c r="D30" s="137" t="s">
        <v>263</v>
      </c>
      <c r="E30" s="126">
        <v>4</v>
      </c>
      <c r="F30" s="127" t="s">
        <v>288</v>
      </c>
      <c r="G30" s="128" t="s">
        <v>289</v>
      </c>
      <c r="H30" s="129" t="s">
        <v>290</v>
      </c>
    </row>
    <row r="31" spans="2:9" ht="18" customHeight="1">
      <c r="B31" s="105" t="s">
        <v>81</v>
      </c>
      <c r="C31" s="42" t="s">
        <v>291</v>
      </c>
      <c r="D31" s="137" t="s">
        <v>263</v>
      </c>
      <c r="E31" s="126">
        <v>2</v>
      </c>
      <c r="F31" s="127" t="s">
        <v>327</v>
      </c>
      <c r="G31" s="128" t="s">
        <v>328</v>
      </c>
      <c r="H31" s="129" t="s">
        <v>329</v>
      </c>
    </row>
    <row r="32" spans="2:9" ht="30" customHeight="1">
      <c r="B32" s="105" t="s">
        <v>84</v>
      </c>
      <c r="C32" s="42" t="s">
        <v>292</v>
      </c>
      <c r="D32" s="138" t="s">
        <v>236</v>
      </c>
      <c r="E32" s="126">
        <v>10</v>
      </c>
      <c r="F32" s="139" t="s">
        <v>293</v>
      </c>
      <c r="G32" s="128" t="s">
        <v>294</v>
      </c>
      <c r="H32" s="140" t="s">
        <v>295</v>
      </c>
    </row>
    <row r="33" spans="2:8" ht="20.100000000000001" customHeight="1">
      <c r="B33" s="102" t="s">
        <v>296</v>
      </c>
      <c r="C33" s="103"/>
      <c r="D33" s="103"/>
      <c r="E33" s="103"/>
      <c r="F33" s="103"/>
      <c r="G33" s="103"/>
      <c r="H33" s="103"/>
    </row>
    <row r="34" spans="2:8" ht="39.950000000000003" customHeight="1">
      <c r="B34" s="141" t="s">
        <v>297</v>
      </c>
      <c r="C34" s="173" t="s">
        <v>298</v>
      </c>
      <c r="D34" s="199"/>
      <c r="E34" s="199"/>
      <c r="F34" s="199"/>
      <c r="G34" s="199"/>
      <c r="H34" s="200"/>
    </row>
    <row r="35" spans="2:8" ht="20.100000000000001" customHeight="1">
      <c r="B35" s="143" t="s">
        <v>88</v>
      </c>
      <c r="C35" s="42" t="s">
        <v>89</v>
      </c>
      <c r="D35" s="137" t="s">
        <v>244</v>
      </c>
      <c r="E35" s="126">
        <v>1</v>
      </c>
      <c r="F35" s="144" t="s">
        <v>299</v>
      </c>
      <c r="G35" s="145" t="s">
        <v>300</v>
      </c>
      <c r="H35" s="121"/>
    </row>
    <row r="36" spans="2:8" ht="20.100000000000001" customHeight="1">
      <c r="B36" s="130" t="s">
        <v>241</v>
      </c>
      <c r="C36" s="176" t="s">
        <v>359</v>
      </c>
      <c r="D36" s="199"/>
      <c r="E36" s="199"/>
      <c r="F36" s="199"/>
      <c r="G36" s="199"/>
      <c r="H36" s="200"/>
    </row>
    <row r="37" spans="2:8" ht="20.100000000000001" customHeight="1">
      <c r="B37" s="143" t="s">
        <v>91</v>
      </c>
      <c r="C37" s="42" t="s">
        <v>92</v>
      </c>
      <c r="D37" s="137" t="s">
        <v>244</v>
      </c>
      <c r="E37" s="126">
        <v>1</v>
      </c>
      <c r="F37" s="144" t="s">
        <v>299</v>
      </c>
      <c r="G37" s="145" t="s">
        <v>300</v>
      </c>
      <c r="H37" s="121"/>
    </row>
    <row r="38" spans="2:8" ht="20.100000000000001" customHeight="1">
      <c r="B38" s="143" t="s">
        <v>94</v>
      </c>
      <c r="C38" s="42" t="s">
        <v>302</v>
      </c>
      <c r="D38" s="137" t="s">
        <v>244</v>
      </c>
      <c r="E38" s="126">
        <v>1</v>
      </c>
      <c r="F38" s="144" t="s">
        <v>299</v>
      </c>
      <c r="G38" s="145" t="s">
        <v>300</v>
      </c>
      <c r="H38" s="121"/>
    </row>
    <row r="39" spans="2:8" ht="20.100000000000001" customHeight="1">
      <c r="B39" s="143" t="s">
        <v>97</v>
      </c>
      <c r="C39" s="42" t="s">
        <v>98</v>
      </c>
      <c r="D39" s="137" t="s">
        <v>244</v>
      </c>
      <c r="E39" s="126">
        <v>0</v>
      </c>
      <c r="F39" s="144" t="s">
        <v>299</v>
      </c>
      <c r="G39" s="145" t="s">
        <v>300</v>
      </c>
      <c r="H39" s="121"/>
    </row>
    <row r="40" spans="2:8" ht="20.100000000000001" customHeight="1">
      <c r="B40" s="143" t="s">
        <v>100</v>
      </c>
      <c r="C40" s="42" t="s">
        <v>101</v>
      </c>
      <c r="D40" s="137" t="s">
        <v>244</v>
      </c>
      <c r="E40" s="126">
        <v>1</v>
      </c>
      <c r="F40" s="144" t="s">
        <v>299</v>
      </c>
      <c r="G40" s="145" t="s">
        <v>300</v>
      </c>
      <c r="H40" s="121"/>
    </row>
    <row r="41" spans="2:8" ht="18" customHeight="1">
      <c r="B41" s="143" t="s">
        <v>103</v>
      </c>
      <c r="C41" s="42" t="s">
        <v>104</v>
      </c>
      <c r="D41" s="84" t="s">
        <v>244</v>
      </c>
      <c r="E41" s="126">
        <v>1</v>
      </c>
      <c r="F41" s="127" t="s">
        <v>299</v>
      </c>
      <c r="G41" s="128" t="s">
        <v>300</v>
      </c>
      <c r="H41" s="129" t="s">
        <v>298</v>
      </c>
    </row>
    <row r="42" spans="2:8" ht="30" customHeight="1">
      <c r="B42" s="143" t="s">
        <v>106</v>
      </c>
      <c r="C42" s="42" t="s">
        <v>303</v>
      </c>
      <c r="D42" s="84" t="s">
        <v>244</v>
      </c>
      <c r="E42" s="126">
        <v>1</v>
      </c>
      <c r="F42" s="127" t="s">
        <v>299</v>
      </c>
      <c r="G42" s="128" t="s">
        <v>300</v>
      </c>
      <c r="H42" s="129" t="s">
        <v>298</v>
      </c>
    </row>
    <row r="43" spans="2:8" ht="20.100000000000001" customHeight="1">
      <c r="B43" s="102" t="s">
        <v>304</v>
      </c>
      <c r="C43" s="103"/>
      <c r="D43" s="103"/>
      <c r="E43" s="103"/>
      <c r="F43" s="103"/>
      <c r="G43" s="103"/>
      <c r="H43" s="103"/>
    </row>
    <row r="44" spans="2:8" ht="20.100000000000001" customHeight="1">
      <c r="B44" s="141" t="s">
        <v>297</v>
      </c>
      <c r="C44" s="173" t="s">
        <v>298</v>
      </c>
      <c r="D44" s="199"/>
      <c r="E44" s="199"/>
      <c r="F44" s="199"/>
      <c r="G44" s="199"/>
      <c r="H44" s="200"/>
    </row>
    <row r="45" spans="2:8" ht="20.100000000000001" customHeight="1">
      <c r="B45" s="143" t="s">
        <v>110</v>
      </c>
      <c r="C45" s="42" t="s">
        <v>111</v>
      </c>
      <c r="D45" s="137" t="s">
        <v>244</v>
      </c>
      <c r="E45" s="126">
        <v>1</v>
      </c>
      <c r="F45" s="144" t="s">
        <v>299</v>
      </c>
      <c r="G45" s="145" t="s">
        <v>300</v>
      </c>
      <c r="H45" s="121"/>
    </row>
    <row r="46" spans="2:8" ht="20.100000000000001" customHeight="1">
      <c r="B46" s="143" t="s">
        <v>113</v>
      </c>
      <c r="C46" s="42" t="s">
        <v>114</v>
      </c>
      <c r="D46" s="137" t="s">
        <v>244</v>
      </c>
      <c r="E46" s="126">
        <v>0</v>
      </c>
      <c r="F46" s="144" t="s">
        <v>299</v>
      </c>
      <c r="G46" s="145" t="s">
        <v>300</v>
      </c>
      <c r="H46" s="121"/>
    </row>
    <row r="47" spans="2:8" ht="18" customHeight="1">
      <c r="B47" s="143" t="s">
        <v>116</v>
      </c>
      <c r="C47" s="42" t="s">
        <v>117</v>
      </c>
      <c r="D47" s="84" t="s">
        <v>244</v>
      </c>
      <c r="E47" s="126">
        <v>1</v>
      </c>
      <c r="F47" s="127" t="s">
        <v>299</v>
      </c>
      <c r="G47" s="128" t="s">
        <v>300</v>
      </c>
      <c r="H47" s="129" t="s">
        <v>298</v>
      </c>
    </row>
    <row r="48" spans="2:8" ht="30" customHeight="1">
      <c r="B48" s="143" t="s">
        <v>119</v>
      </c>
      <c r="C48" s="42" t="s">
        <v>120</v>
      </c>
      <c r="D48" s="84" t="s">
        <v>244</v>
      </c>
      <c r="E48" s="126">
        <v>1</v>
      </c>
      <c r="F48" s="127" t="s">
        <v>299</v>
      </c>
      <c r="G48" s="128" t="s">
        <v>300</v>
      </c>
      <c r="H48" s="129" t="s">
        <v>298</v>
      </c>
    </row>
    <row r="49" spans="2:8" ht="20.100000000000001" customHeight="1">
      <c r="B49" s="102" t="s">
        <v>306</v>
      </c>
      <c r="C49" s="103"/>
      <c r="D49" s="103"/>
      <c r="E49" s="103"/>
      <c r="F49" s="103"/>
      <c r="G49" s="103"/>
      <c r="H49" s="103"/>
    </row>
    <row r="50" spans="2:8" ht="39.950000000000003" customHeight="1">
      <c r="B50" s="141" t="s">
        <v>297</v>
      </c>
      <c r="C50" s="173" t="s">
        <v>298</v>
      </c>
      <c r="D50" s="199"/>
      <c r="E50" s="199"/>
      <c r="F50" s="199"/>
      <c r="G50" s="199"/>
      <c r="H50" s="200"/>
    </row>
    <row r="51" spans="2:8" ht="20.100000000000001" customHeight="1">
      <c r="B51" s="143" t="s">
        <v>123</v>
      </c>
      <c r="C51" s="42" t="s">
        <v>307</v>
      </c>
      <c r="D51" s="137" t="s">
        <v>244</v>
      </c>
      <c r="E51" s="126">
        <v>1</v>
      </c>
      <c r="F51" s="144" t="s">
        <v>299</v>
      </c>
      <c r="G51" s="145" t="s">
        <v>300</v>
      </c>
      <c r="H51" s="121"/>
    </row>
    <row r="52" spans="2:8" ht="20.100000000000001" customHeight="1">
      <c r="B52" s="130" t="s">
        <v>241</v>
      </c>
      <c r="C52" s="176" t="s">
        <v>360</v>
      </c>
      <c r="D52" s="199"/>
      <c r="E52" s="199"/>
      <c r="F52" s="199"/>
      <c r="G52" s="199"/>
      <c r="H52" s="200"/>
    </row>
    <row r="53" spans="2:8" ht="20.100000000000001" customHeight="1">
      <c r="B53" s="143" t="s">
        <v>126</v>
      </c>
      <c r="C53" s="42" t="s">
        <v>309</v>
      </c>
      <c r="D53" s="137" t="s">
        <v>244</v>
      </c>
      <c r="E53" s="126">
        <v>0</v>
      </c>
      <c r="F53" s="144" t="s">
        <v>299</v>
      </c>
      <c r="G53" s="145" t="s">
        <v>300</v>
      </c>
      <c r="H53" s="121"/>
    </row>
    <row r="54" spans="2:8" ht="20.100000000000001" customHeight="1">
      <c r="B54" s="143" t="s">
        <v>129</v>
      </c>
      <c r="C54" s="42" t="s">
        <v>130</v>
      </c>
      <c r="D54" s="137" t="s">
        <v>244</v>
      </c>
      <c r="E54" s="126">
        <v>1</v>
      </c>
      <c r="F54" s="144" t="s">
        <v>299</v>
      </c>
      <c r="G54" s="145" t="s">
        <v>300</v>
      </c>
      <c r="H54" s="121"/>
    </row>
    <row r="55" spans="2:8" ht="18" customHeight="1">
      <c r="B55" s="143" t="s">
        <v>132</v>
      </c>
      <c r="C55" s="42" t="s">
        <v>310</v>
      </c>
      <c r="D55" s="137" t="s">
        <v>244</v>
      </c>
      <c r="E55" s="126">
        <v>1</v>
      </c>
      <c r="F55" s="144" t="s">
        <v>299</v>
      </c>
      <c r="G55" s="145" t="s">
        <v>300</v>
      </c>
      <c r="H55" s="121"/>
    </row>
    <row r="56" spans="2:8" ht="30" customHeight="1">
      <c r="B56" s="143" t="s">
        <v>135</v>
      </c>
      <c r="C56" s="42" t="s">
        <v>311</v>
      </c>
      <c r="D56" s="137" t="s">
        <v>244</v>
      </c>
      <c r="E56" s="126">
        <v>0</v>
      </c>
      <c r="F56" s="144" t="s">
        <v>299</v>
      </c>
      <c r="G56" s="145" t="s">
        <v>300</v>
      </c>
      <c r="H56" s="121"/>
    </row>
    <row r="57" spans="2:8" ht="20.100000000000001" customHeight="1">
      <c r="B57" s="102" t="s">
        <v>313</v>
      </c>
      <c r="C57" s="103"/>
      <c r="D57" s="103"/>
      <c r="E57" s="103"/>
      <c r="F57" s="103"/>
      <c r="G57" s="103"/>
      <c r="H57" s="103"/>
    </row>
    <row r="58" spans="2:8" ht="20.100000000000001" customHeight="1">
      <c r="B58" s="141" t="s">
        <v>297</v>
      </c>
      <c r="C58" s="173" t="s">
        <v>298</v>
      </c>
      <c r="D58" s="199"/>
      <c r="E58" s="199"/>
      <c r="F58" s="199"/>
      <c r="G58" s="199"/>
      <c r="H58" s="200"/>
    </row>
    <row r="59" spans="2:8" ht="20.100000000000001" customHeight="1">
      <c r="B59" s="143" t="s">
        <v>139</v>
      </c>
      <c r="C59" s="42" t="s">
        <v>314</v>
      </c>
      <c r="D59" s="137" t="s">
        <v>244</v>
      </c>
      <c r="E59" s="126">
        <v>0</v>
      </c>
      <c r="F59" s="144" t="s">
        <v>299</v>
      </c>
      <c r="G59" s="145" t="s">
        <v>300</v>
      </c>
      <c r="H59" s="121"/>
    </row>
    <row r="60" spans="2:8" ht="20.100000000000001" customHeight="1">
      <c r="B60" s="143" t="s">
        <v>142</v>
      </c>
      <c r="C60" s="42" t="s">
        <v>143</v>
      </c>
      <c r="D60" s="137" t="s">
        <v>244</v>
      </c>
      <c r="E60" s="126">
        <v>0</v>
      </c>
      <c r="F60" s="144" t="s">
        <v>299</v>
      </c>
      <c r="G60" s="145" t="s">
        <v>300</v>
      </c>
      <c r="H60" s="121"/>
    </row>
    <row r="61" spans="2:8" ht="20.100000000000001" customHeight="1">
      <c r="B61" s="143" t="s">
        <v>145</v>
      </c>
      <c r="C61" s="42" t="s">
        <v>315</v>
      </c>
      <c r="D61" s="137" t="s">
        <v>244</v>
      </c>
      <c r="E61" s="126">
        <v>0</v>
      </c>
      <c r="F61" s="144" t="s">
        <v>299</v>
      </c>
      <c r="G61" s="145" t="s">
        <v>300</v>
      </c>
      <c r="H61" s="121"/>
    </row>
    <row r="62" spans="2:8" ht="20.100000000000001" customHeight="1">
      <c r="B62" s="143" t="s">
        <v>148</v>
      </c>
      <c r="C62" s="42" t="s">
        <v>316</v>
      </c>
      <c r="D62" s="137" t="s">
        <v>244</v>
      </c>
      <c r="E62" s="126">
        <v>1</v>
      </c>
      <c r="F62" s="144" t="s">
        <v>299</v>
      </c>
      <c r="G62" s="145" t="s">
        <v>300</v>
      </c>
      <c r="H62" s="121"/>
    </row>
    <row r="63" spans="2:8" ht="18" customHeight="1">
      <c r="B63" s="143" t="s">
        <v>151</v>
      </c>
      <c r="C63" s="42" t="s">
        <v>152</v>
      </c>
      <c r="D63" s="137" t="s">
        <v>244</v>
      </c>
      <c r="E63" s="126">
        <v>1</v>
      </c>
      <c r="F63" s="144" t="s">
        <v>299</v>
      </c>
      <c r="G63" s="145" t="s">
        <v>300</v>
      </c>
      <c r="H63" s="121"/>
    </row>
    <row r="64" spans="2:8" ht="30" customHeight="1">
      <c r="B64" s="143" t="s">
        <v>154</v>
      </c>
      <c r="C64" s="42" t="s">
        <v>155</v>
      </c>
      <c r="D64" s="137" t="s">
        <v>244</v>
      </c>
      <c r="E64" s="126">
        <v>0</v>
      </c>
      <c r="F64" s="144" t="s">
        <v>299</v>
      </c>
      <c r="G64" s="145" t="s">
        <v>300</v>
      </c>
      <c r="H64" s="121"/>
    </row>
    <row r="65" spans="2:8" ht="20.100000000000001" customHeight="1">
      <c r="B65" s="141" t="s">
        <v>297</v>
      </c>
      <c r="C65" s="142" t="s">
        <v>298</v>
      </c>
      <c r="D65" s="1"/>
      <c r="E65" s="1"/>
      <c r="F65" s="1"/>
      <c r="G65" s="1"/>
      <c r="H65" s="2"/>
    </row>
    <row r="67" spans="2:8" ht="30" customHeight="1">
      <c r="B67" s="147" t="s">
        <v>317</v>
      </c>
      <c r="C67" s="170" t="s">
        <v>318</v>
      </c>
      <c r="D67" s="199"/>
      <c r="E67" s="199"/>
      <c r="F67" s="199"/>
      <c r="G67" s="199"/>
      <c r="H67" s="200"/>
    </row>
  </sheetData>
  <mergeCells count="10">
    <mergeCell ref="C67:H67"/>
    <mergeCell ref="C58:H58"/>
    <mergeCell ref="C50:H50"/>
    <mergeCell ref="N12:O12"/>
    <mergeCell ref="C44:H44"/>
    <mergeCell ref="C36:H36"/>
    <mergeCell ref="C52:H52"/>
    <mergeCell ref="C18:H18"/>
    <mergeCell ref="C34:H34"/>
    <mergeCell ref="H12:M12"/>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FFFF00"/>
  </sheetPr>
  <dimension ref="B1:O67"/>
  <sheetViews>
    <sheetView workbookViewId="0">
      <selection activeCell="C21" sqref="C21"/>
    </sheetView>
  </sheetViews>
  <sheetFormatPr defaultRowHeight="14.45"/>
  <cols>
    <col min="1" max="1" width="2" customWidth="1"/>
    <col min="2" max="2" width="28" customWidth="1"/>
    <col min="3" max="3" width="45" bestFit="1" customWidth="1"/>
    <col min="4" max="4" width="18" customWidth="1"/>
    <col min="5" max="7" width="14" customWidth="1"/>
    <col min="8" max="8" width="55" customWidth="1"/>
    <col min="9" max="13" width="30.140625" customWidth="1"/>
  </cols>
  <sheetData>
    <row r="1" spans="2:15" ht="27.95" customHeight="1">
      <c r="B1" s="118" t="s">
        <v>361</v>
      </c>
      <c r="C1" s="68"/>
      <c r="D1" s="68"/>
      <c r="E1" s="68"/>
      <c r="F1" s="68"/>
      <c r="G1" s="68"/>
      <c r="H1" s="68"/>
    </row>
    <row r="2" spans="2:15" ht="15.95" customHeight="1">
      <c r="B2" s="19" t="s">
        <v>216</v>
      </c>
      <c r="C2" s="43" t="s">
        <v>217</v>
      </c>
      <c r="D2" s="43" t="s">
        <v>218</v>
      </c>
      <c r="E2" s="103"/>
      <c r="F2" s="103"/>
      <c r="G2" s="103"/>
      <c r="H2" s="43" t="s">
        <v>219</v>
      </c>
    </row>
    <row r="3" spans="2:15" ht="15.95" customHeight="1">
      <c r="B3" s="119" t="s">
        <v>220</v>
      </c>
      <c r="C3" s="42" t="s">
        <v>362</v>
      </c>
      <c r="D3" s="121"/>
      <c r="E3" s="121"/>
      <c r="F3" s="121"/>
      <c r="G3" s="121"/>
      <c r="H3" s="121"/>
    </row>
    <row r="4" spans="2:15" ht="15.95" customHeight="1">
      <c r="B4" s="119" t="s">
        <v>199</v>
      </c>
      <c r="C4" s="42" t="s">
        <v>363</v>
      </c>
      <c r="D4" s="121"/>
      <c r="E4" s="121"/>
      <c r="F4" s="121"/>
      <c r="G4" s="121"/>
      <c r="H4" s="121"/>
    </row>
    <row r="5" spans="2:15" ht="15.95" customHeight="1">
      <c r="B5" s="119" t="s">
        <v>224</v>
      </c>
      <c r="C5" s="42" t="s">
        <v>37</v>
      </c>
      <c r="D5" s="121"/>
      <c r="E5" s="121"/>
      <c r="F5" s="121"/>
      <c r="G5" s="121"/>
      <c r="H5" s="121"/>
    </row>
    <row r="6" spans="2:15" ht="15.95" customHeight="1">
      <c r="B6" s="119" t="s">
        <v>226</v>
      </c>
      <c r="C6" s="42" t="s">
        <v>167</v>
      </c>
      <c r="D6" s="121"/>
      <c r="E6" s="121"/>
      <c r="F6" s="121"/>
      <c r="G6" s="121"/>
      <c r="H6" s="121"/>
    </row>
    <row r="7" spans="2:15" ht="15.95" customHeight="1">
      <c r="B7" s="119" t="s">
        <v>227</v>
      </c>
      <c r="C7" s="42" t="s">
        <v>364</v>
      </c>
      <c r="D7" s="121"/>
      <c r="E7" s="121"/>
      <c r="F7" s="121"/>
      <c r="G7" s="121"/>
      <c r="H7" s="121"/>
    </row>
    <row r="8" spans="2:15" ht="15.95" customHeight="1">
      <c r="B8" s="119" t="s">
        <v>229</v>
      </c>
      <c r="C8" s="42" t="s">
        <v>365</v>
      </c>
      <c r="D8" s="121"/>
      <c r="E8" s="121"/>
      <c r="F8" s="121"/>
      <c r="G8" s="121"/>
      <c r="H8" s="121"/>
    </row>
    <row r="9" spans="2:15" ht="15.95" customHeight="1">
      <c r="B9" s="119" t="s">
        <v>231</v>
      </c>
      <c r="C9" s="42"/>
      <c r="D9" s="121"/>
      <c r="E9" s="121"/>
      <c r="F9" s="121"/>
      <c r="G9" s="121"/>
      <c r="H9" s="121"/>
    </row>
    <row r="10" spans="2:15" ht="15.95" customHeight="1">
      <c r="B10" s="119" t="s">
        <v>201</v>
      </c>
      <c r="C10" s="42" t="s">
        <v>366</v>
      </c>
      <c r="D10" s="121"/>
      <c r="E10" s="121"/>
      <c r="F10" s="121"/>
      <c r="G10" s="121"/>
      <c r="H10" s="121"/>
    </row>
    <row r="11" spans="2:15" ht="15.95" customHeight="1">
      <c r="B11" s="119" t="s">
        <v>203</v>
      </c>
      <c r="C11" s="42" t="s">
        <v>6</v>
      </c>
      <c r="D11" s="121"/>
      <c r="E11" s="121"/>
      <c r="F11" s="121"/>
      <c r="G11" s="121"/>
      <c r="H11" s="121"/>
    </row>
    <row r="12" spans="2:15" ht="15.95" customHeight="1">
      <c r="B12" s="119" t="s">
        <v>232</v>
      </c>
      <c r="C12" s="122">
        <v>380000000</v>
      </c>
      <c r="D12" s="121"/>
      <c r="E12" s="121"/>
      <c r="F12" s="121"/>
      <c r="G12" s="121"/>
      <c r="H12" s="174"/>
      <c r="I12" s="199"/>
      <c r="J12" s="199"/>
      <c r="K12" s="199"/>
      <c r="L12" s="199"/>
      <c r="M12" s="200"/>
      <c r="N12" s="201"/>
      <c r="O12" s="201"/>
    </row>
    <row r="13" spans="2:15" ht="15.95" customHeight="1">
      <c r="B13" s="119" t="s">
        <v>161</v>
      </c>
      <c r="C13" s="42" t="s">
        <v>233</v>
      </c>
      <c r="D13" s="121"/>
      <c r="E13" s="121"/>
      <c r="F13" s="121"/>
      <c r="G13" s="121"/>
      <c r="H13" s="121"/>
    </row>
    <row r="14" spans="2:15" ht="15.95" customHeight="1">
      <c r="B14" s="68"/>
      <c r="C14" s="68"/>
      <c r="D14" s="68"/>
      <c r="E14" s="68"/>
      <c r="F14" s="68"/>
      <c r="G14" s="68"/>
      <c r="H14" s="68"/>
      <c r="I14" s="1"/>
      <c r="J14" s="1"/>
      <c r="K14" s="1"/>
      <c r="L14" s="1"/>
      <c r="M14" s="2"/>
    </row>
    <row r="15" spans="2:15" ht="54.95" customHeight="1">
      <c r="B15" s="123" t="s">
        <v>46</v>
      </c>
      <c r="C15" s="124" t="s">
        <v>47</v>
      </c>
      <c r="D15" s="1"/>
      <c r="E15" s="1"/>
      <c r="F15" s="1"/>
      <c r="G15" s="1"/>
      <c r="H15" s="2"/>
    </row>
    <row r="16" spans="2:15" ht="39.950000000000003" customHeight="1">
      <c r="B16" s="102" t="s">
        <v>234</v>
      </c>
      <c r="C16" s="103"/>
      <c r="D16" s="103"/>
      <c r="E16" s="103"/>
      <c r="F16" s="103"/>
      <c r="G16" s="103"/>
      <c r="H16" s="103"/>
    </row>
    <row r="17" spans="2:9" ht="54.95" customHeight="1">
      <c r="B17" s="105" t="s">
        <v>52</v>
      </c>
      <c r="C17" s="119" t="s">
        <v>235</v>
      </c>
      <c r="D17" s="125" t="s">
        <v>236</v>
      </c>
      <c r="E17" s="126">
        <v>8</v>
      </c>
      <c r="F17" s="127" t="s">
        <v>237</v>
      </c>
      <c r="G17" s="128" t="s">
        <v>238</v>
      </c>
      <c r="H17" s="129" t="s">
        <v>239</v>
      </c>
      <c r="I17" t="s">
        <v>367</v>
      </c>
    </row>
    <row r="18" spans="2:9" ht="54.95" customHeight="1">
      <c r="B18" s="130" t="s">
        <v>241</v>
      </c>
      <c r="C18" s="176" t="s">
        <v>368</v>
      </c>
      <c r="D18" s="199"/>
      <c r="E18" s="199"/>
      <c r="F18" s="199"/>
      <c r="G18" s="199"/>
      <c r="H18" s="200"/>
    </row>
    <row r="19" spans="2:9" ht="54.95" customHeight="1">
      <c r="B19" s="105" t="s">
        <v>56</v>
      </c>
      <c r="C19" s="119" t="s">
        <v>243</v>
      </c>
      <c r="D19" s="125" t="s">
        <v>244</v>
      </c>
      <c r="E19" s="126">
        <v>1</v>
      </c>
      <c r="F19" s="127" t="s">
        <v>245</v>
      </c>
      <c r="G19" s="128" t="s">
        <v>246</v>
      </c>
      <c r="H19" s="129" t="s">
        <v>247</v>
      </c>
    </row>
    <row r="20" spans="2:9" ht="18" customHeight="1">
      <c r="B20" s="105" t="s">
        <v>59</v>
      </c>
      <c r="C20" s="119" t="s">
        <v>248</v>
      </c>
      <c r="D20" s="125" t="s">
        <v>244</v>
      </c>
      <c r="E20" s="126">
        <v>0</v>
      </c>
      <c r="F20" s="127" t="s">
        <v>249</v>
      </c>
      <c r="G20" s="128" t="s">
        <v>250</v>
      </c>
      <c r="H20" s="129" t="s">
        <v>251</v>
      </c>
    </row>
    <row r="21" spans="2:9" ht="15.95" customHeight="1">
      <c r="B21" s="105" t="s">
        <v>62</v>
      </c>
      <c r="C21" s="119" t="s">
        <v>252</v>
      </c>
      <c r="D21" s="125" t="s">
        <v>244</v>
      </c>
      <c r="E21" s="126">
        <v>1</v>
      </c>
      <c r="F21" s="127" t="s">
        <v>253</v>
      </c>
      <c r="G21" s="128" t="s">
        <v>254</v>
      </c>
      <c r="H21" s="129" t="s">
        <v>255</v>
      </c>
    </row>
    <row r="22" spans="2:9" ht="54.95" customHeight="1">
      <c r="B22" s="102" t="s">
        <v>256</v>
      </c>
      <c r="C22" s="103"/>
      <c r="D22" s="103"/>
      <c r="E22" s="103"/>
      <c r="F22" s="103"/>
      <c r="G22" s="103"/>
      <c r="H22" s="103"/>
    </row>
    <row r="23" spans="2:9" ht="54.95" customHeight="1">
      <c r="B23" s="132" t="s">
        <v>46</v>
      </c>
      <c r="C23" s="133" t="s">
        <v>47</v>
      </c>
      <c r="D23" s="132" t="s">
        <v>257</v>
      </c>
      <c r="E23" s="134" t="s">
        <v>258</v>
      </c>
      <c r="F23" s="135" t="s">
        <v>259</v>
      </c>
      <c r="G23" s="136" t="s">
        <v>260</v>
      </c>
      <c r="H23" s="133" t="s">
        <v>261</v>
      </c>
    </row>
    <row r="24" spans="2:9" ht="54.95" customHeight="1">
      <c r="B24" s="105" t="s">
        <v>66</v>
      </c>
      <c r="C24" s="42" t="s">
        <v>262</v>
      </c>
      <c r="D24" s="137" t="s">
        <v>263</v>
      </c>
      <c r="E24" s="126">
        <v>5</v>
      </c>
      <c r="F24" s="127" t="s">
        <v>264</v>
      </c>
      <c r="G24" s="128" t="s">
        <v>265</v>
      </c>
      <c r="H24" s="129" t="s">
        <v>266</v>
      </c>
    </row>
    <row r="25" spans="2:9" ht="54.95" customHeight="1">
      <c r="B25" s="105" t="s">
        <v>69</v>
      </c>
      <c r="C25" s="42" t="s">
        <v>267</v>
      </c>
      <c r="D25" s="137" t="s">
        <v>263</v>
      </c>
      <c r="E25" s="126">
        <v>4</v>
      </c>
      <c r="F25" s="127" t="s">
        <v>268</v>
      </c>
      <c r="G25" s="128" t="s">
        <v>269</v>
      </c>
      <c r="H25" s="129" t="s">
        <v>270</v>
      </c>
    </row>
    <row r="26" spans="2:9" ht="54.95" customHeight="1">
      <c r="B26" s="105" t="s">
        <v>71</v>
      </c>
      <c r="C26" s="42" t="s">
        <v>271</v>
      </c>
      <c r="D26" s="137" t="s">
        <v>263</v>
      </c>
      <c r="E26" s="126">
        <v>4</v>
      </c>
      <c r="F26" s="127" t="s">
        <v>272</v>
      </c>
      <c r="G26" s="128" t="s">
        <v>273</v>
      </c>
      <c r="H26" s="129" t="s">
        <v>274</v>
      </c>
    </row>
    <row r="27" spans="2:9" ht="54.95" customHeight="1">
      <c r="B27" s="105" t="s">
        <v>73</v>
      </c>
      <c r="C27" s="42" t="s">
        <v>275</v>
      </c>
      <c r="D27" s="137" t="s">
        <v>263</v>
      </c>
      <c r="E27" s="126">
        <v>3</v>
      </c>
      <c r="F27" s="127" t="s">
        <v>276</v>
      </c>
      <c r="G27" s="128" t="s">
        <v>277</v>
      </c>
      <c r="H27" s="129" t="s">
        <v>278</v>
      </c>
    </row>
    <row r="28" spans="2:9" ht="54.95" customHeight="1">
      <c r="B28" s="105" t="s">
        <v>75</v>
      </c>
      <c r="C28" s="42" t="s">
        <v>279</v>
      </c>
      <c r="D28" s="137" t="s">
        <v>263</v>
      </c>
      <c r="E28" s="126">
        <v>5</v>
      </c>
      <c r="F28" s="127" t="s">
        <v>280</v>
      </c>
      <c r="G28" s="128" t="s">
        <v>281</v>
      </c>
      <c r="H28" s="129" t="s">
        <v>282</v>
      </c>
    </row>
    <row r="29" spans="2:9" ht="54.95" customHeight="1">
      <c r="B29" s="105" t="s">
        <v>77</v>
      </c>
      <c r="C29" s="42" t="s">
        <v>283</v>
      </c>
      <c r="D29" s="137" t="s">
        <v>263</v>
      </c>
      <c r="E29" s="126">
        <v>2</v>
      </c>
      <c r="F29" s="127" t="s">
        <v>284</v>
      </c>
      <c r="G29" s="128" t="s">
        <v>285</v>
      </c>
      <c r="H29" s="129" t="s">
        <v>286</v>
      </c>
    </row>
    <row r="30" spans="2:9" ht="54.95" customHeight="1">
      <c r="B30" s="105" t="s">
        <v>79</v>
      </c>
      <c r="C30" s="42" t="s">
        <v>287</v>
      </c>
      <c r="D30" s="137" t="s">
        <v>263</v>
      </c>
      <c r="E30" s="126">
        <v>5</v>
      </c>
      <c r="F30" s="127" t="s">
        <v>288</v>
      </c>
      <c r="G30" s="128" t="s">
        <v>289</v>
      </c>
      <c r="H30" s="129" t="s">
        <v>290</v>
      </c>
    </row>
    <row r="31" spans="2:9" ht="18" customHeight="1">
      <c r="B31" s="105" t="s">
        <v>81</v>
      </c>
      <c r="C31" s="42" t="s">
        <v>291</v>
      </c>
      <c r="D31" s="137" t="s">
        <v>263</v>
      </c>
      <c r="E31" s="126">
        <v>5</v>
      </c>
      <c r="F31" s="127" t="s">
        <v>327</v>
      </c>
      <c r="G31" s="128" t="s">
        <v>328</v>
      </c>
      <c r="H31" s="129" t="s">
        <v>329</v>
      </c>
    </row>
    <row r="32" spans="2:9" ht="30" customHeight="1">
      <c r="B32" s="105" t="s">
        <v>84</v>
      </c>
      <c r="C32" s="42" t="s">
        <v>292</v>
      </c>
      <c r="D32" s="138" t="s">
        <v>236</v>
      </c>
      <c r="E32" s="126">
        <v>6</v>
      </c>
      <c r="F32" s="139" t="s">
        <v>293</v>
      </c>
      <c r="G32" s="128" t="s">
        <v>294</v>
      </c>
      <c r="H32" s="140" t="s">
        <v>295</v>
      </c>
      <c r="I32" t="s">
        <v>369</v>
      </c>
    </row>
    <row r="33" spans="2:8" ht="20.100000000000001" customHeight="1">
      <c r="B33" s="102" t="s">
        <v>296</v>
      </c>
      <c r="C33" s="103"/>
      <c r="D33" s="103"/>
      <c r="E33" s="103"/>
      <c r="F33" s="103"/>
      <c r="G33" s="103"/>
      <c r="H33" s="103"/>
    </row>
    <row r="34" spans="2:8" ht="39.950000000000003" customHeight="1">
      <c r="B34" s="141" t="s">
        <v>297</v>
      </c>
      <c r="C34" s="173" t="s">
        <v>298</v>
      </c>
      <c r="D34" s="199"/>
      <c r="E34" s="199"/>
      <c r="F34" s="199"/>
      <c r="G34" s="199"/>
      <c r="H34" s="200"/>
    </row>
    <row r="35" spans="2:8" ht="20.100000000000001" customHeight="1">
      <c r="B35" s="143" t="s">
        <v>88</v>
      </c>
      <c r="C35" s="42" t="s">
        <v>89</v>
      </c>
      <c r="D35" s="137" t="s">
        <v>244</v>
      </c>
      <c r="E35" s="126">
        <v>1</v>
      </c>
      <c r="F35" s="144" t="s">
        <v>299</v>
      </c>
      <c r="G35" s="145" t="s">
        <v>300</v>
      </c>
      <c r="H35" s="121"/>
    </row>
    <row r="36" spans="2:8" ht="20.100000000000001" customHeight="1">
      <c r="B36" s="130" t="s">
        <v>241</v>
      </c>
      <c r="C36" s="176" t="s">
        <v>370</v>
      </c>
      <c r="D36" s="199"/>
      <c r="E36" s="199"/>
      <c r="F36" s="199"/>
      <c r="G36" s="199"/>
      <c r="H36" s="200"/>
    </row>
    <row r="37" spans="2:8" ht="20.100000000000001" customHeight="1">
      <c r="B37" s="143" t="s">
        <v>91</v>
      </c>
      <c r="C37" s="42" t="s">
        <v>92</v>
      </c>
      <c r="D37" s="137" t="s">
        <v>244</v>
      </c>
      <c r="E37" s="126">
        <v>1</v>
      </c>
      <c r="F37" s="144" t="s">
        <v>299</v>
      </c>
      <c r="G37" s="145" t="s">
        <v>300</v>
      </c>
      <c r="H37" s="121"/>
    </row>
    <row r="38" spans="2:8" ht="20.100000000000001" customHeight="1">
      <c r="B38" s="143" t="s">
        <v>94</v>
      </c>
      <c r="C38" s="42" t="s">
        <v>302</v>
      </c>
      <c r="D38" s="137" t="s">
        <v>244</v>
      </c>
      <c r="E38" s="126">
        <v>1</v>
      </c>
      <c r="F38" s="144" t="s">
        <v>299</v>
      </c>
      <c r="G38" s="145" t="s">
        <v>300</v>
      </c>
      <c r="H38" s="121"/>
    </row>
    <row r="39" spans="2:8" ht="20.100000000000001" customHeight="1">
      <c r="B39" s="143" t="s">
        <v>97</v>
      </c>
      <c r="C39" s="42" t="s">
        <v>98</v>
      </c>
      <c r="D39" s="137" t="s">
        <v>244</v>
      </c>
      <c r="E39" s="126">
        <v>1</v>
      </c>
      <c r="F39" s="144" t="s">
        <v>299</v>
      </c>
      <c r="G39" s="145" t="s">
        <v>300</v>
      </c>
      <c r="H39" s="121"/>
    </row>
    <row r="40" spans="2:8" ht="20.100000000000001" customHeight="1">
      <c r="B40" s="143" t="s">
        <v>100</v>
      </c>
      <c r="C40" s="42" t="s">
        <v>101</v>
      </c>
      <c r="D40" s="137" t="s">
        <v>244</v>
      </c>
      <c r="E40" s="126">
        <v>1</v>
      </c>
      <c r="F40" s="144" t="s">
        <v>299</v>
      </c>
      <c r="G40" s="145" t="s">
        <v>300</v>
      </c>
      <c r="H40" s="121"/>
    </row>
    <row r="41" spans="2:8" ht="18" customHeight="1">
      <c r="B41" s="143" t="s">
        <v>103</v>
      </c>
      <c r="C41" s="42" t="s">
        <v>104</v>
      </c>
      <c r="D41" s="84" t="s">
        <v>244</v>
      </c>
      <c r="E41" s="126">
        <v>1</v>
      </c>
      <c r="F41" s="127" t="s">
        <v>299</v>
      </c>
      <c r="G41" s="128" t="s">
        <v>300</v>
      </c>
      <c r="H41" s="129" t="s">
        <v>298</v>
      </c>
    </row>
    <row r="42" spans="2:8" ht="30" customHeight="1">
      <c r="B42" s="143" t="s">
        <v>106</v>
      </c>
      <c r="C42" s="42" t="s">
        <v>303</v>
      </c>
      <c r="D42" s="84" t="s">
        <v>244</v>
      </c>
      <c r="E42" s="126">
        <v>1</v>
      </c>
      <c r="F42" s="127" t="s">
        <v>299</v>
      </c>
      <c r="G42" s="128" t="s">
        <v>300</v>
      </c>
      <c r="H42" s="129" t="s">
        <v>298</v>
      </c>
    </row>
    <row r="43" spans="2:8" ht="20.100000000000001" customHeight="1">
      <c r="B43" s="102" t="s">
        <v>304</v>
      </c>
      <c r="C43" s="103"/>
      <c r="D43" s="103"/>
      <c r="E43" s="103"/>
      <c r="F43" s="103"/>
      <c r="G43" s="103"/>
      <c r="H43" s="103"/>
    </row>
    <row r="44" spans="2:8" ht="20.100000000000001" customHeight="1">
      <c r="B44" s="141" t="s">
        <v>297</v>
      </c>
      <c r="C44" s="173" t="s">
        <v>298</v>
      </c>
      <c r="D44" s="199"/>
      <c r="E44" s="199"/>
      <c r="F44" s="199"/>
      <c r="G44" s="199"/>
      <c r="H44" s="200"/>
    </row>
    <row r="45" spans="2:8" ht="20.100000000000001" customHeight="1">
      <c r="B45" s="143" t="s">
        <v>110</v>
      </c>
      <c r="C45" s="42" t="s">
        <v>111</v>
      </c>
      <c r="D45" s="137" t="s">
        <v>244</v>
      </c>
      <c r="E45" s="126">
        <v>1</v>
      </c>
      <c r="F45" s="144" t="s">
        <v>299</v>
      </c>
      <c r="G45" s="145" t="s">
        <v>300</v>
      </c>
      <c r="H45" s="121"/>
    </row>
    <row r="46" spans="2:8" ht="20.100000000000001" customHeight="1">
      <c r="B46" s="143" t="s">
        <v>113</v>
      </c>
      <c r="C46" s="42" t="s">
        <v>114</v>
      </c>
      <c r="D46" s="137" t="s">
        <v>244</v>
      </c>
      <c r="E46" s="126">
        <v>1</v>
      </c>
      <c r="F46" s="144" t="s">
        <v>299</v>
      </c>
      <c r="G46" s="145" t="s">
        <v>300</v>
      </c>
      <c r="H46" s="121"/>
    </row>
    <row r="47" spans="2:8" ht="18" customHeight="1">
      <c r="B47" s="143" t="s">
        <v>116</v>
      </c>
      <c r="C47" s="42" t="s">
        <v>117</v>
      </c>
      <c r="D47" s="84" t="s">
        <v>244</v>
      </c>
      <c r="E47" s="126">
        <v>1</v>
      </c>
      <c r="F47" s="127" t="s">
        <v>299</v>
      </c>
      <c r="G47" s="128" t="s">
        <v>300</v>
      </c>
      <c r="H47" s="129" t="s">
        <v>298</v>
      </c>
    </row>
    <row r="48" spans="2:8" ht="30" customHeight="1">
      <c r="B48" s="143" t="s">
        <v>119</v>
      </c>
      <c r="C48" s="42" t="s">
        <v>120</v>
      </c>
      <c r="D48" s="84" t="s">
        <v>244</v>
      </c>
      <c r="E48" s="126">
        <v>1</v>
      </c>
      <c r="F48" s="127" t="s">
        <v>299</v>
      </c>
      <c r="G48" s="128" t="s">
        <v>300</v>
      </c>
      <c r="H48" s="129" t="s">
        <v>298</v>
      </c>
    </row>
    <row r="49" spans="2:9" ht="20.100000000000001" customHeight="1">
      <c r="B49" s="102" t="s">
        <v>306</v>
      </c>
      <c r="C49" s="103"/>
      <c r="D49" s="103"/>
      <c r="E49" s="103"/>
      <c r="F49" s="103"/>
      <c r="G49" s="103"/>
      <c r="H49" s="103"/>
    </row>
    <row r="50" spans="2:9" ht="39.950000000000003" customHeight="1">
      <c r="B50" s="141" t="s">
        <v>297</v>
      </c>
      <c r="C50" s="173" t="s">
        <v>298</v>
      </c>
      <c r="D50" s="199"/>
      <c r="E50" s="199"/>
      <c r="F50" s="199"/>
      <c r="G50" s="199"/>
      <c r="H50" s="200"/>
    </row>
    <row r="51" spans="2:9" ht="20.100000000000001" customHeight="1">
      <c r="B51" s="143" t="s">
        <v>123</v>
      </c>
      <c r="C51" s="42" t="s">
        <v>307</v>
      </c>
      <c r="D51" s="137" t="s">
        <v>244</v>
      </c>
      <c r="E51" s="126">
        <v>1</v>
      </c>
      <c r="F51" s="144" t="s">
        <v>299</v>
      </c>
      <c r="G51" s="145" t="s">
        <v>300</v>
      </c>
      <c r="H51" s="121"/>
    </row>
    <row r="52" spans="2:9" ht="20.100000000000001" customHeight="1">
      <c r="B52" s="130" t="s">
        <v>241</v>
      </c>
      <c r="C52" s="176" t="s">
        <v>371</v>
      </c>
      <c r="D52" s="199"/>
      <c r="E52" s="199"/>
      <c r="F52" s="199"/>
      <c r="G52" s="199"/>
      <c r="H52" s="200"/>
      <c r="I52" t="s">
        <v>372</v>
      </c>
    </row>
    <row r="53" spans="2:9" ht="20.100000000000001" customHeight="1">
      <c r="B53" s="143" t="s">
        <v>126</v>
      </c>
      <c r="C53" s="42" t="s">
        <v>309</v>
      </c>
      <c r="D53" s="137" t="s">
        <v>244</v>
      </c>
      <c r="E53" s="126">
        <v>1</v>
      </c>
      <c r="F53" s="144" t="s">
        <v>299</v>
      </c>
      <c r="G53" s="145" t="s">
        <v>300</v>
      </c>
      <c r="H53" s="121"/>
    </row>
    <row r="54" spans="2:9" ht="20.100000000000001" customHeight="1">
      <c r="B54" s="143" t="s">
        <v>129</v>
      </c>
      <c r="C54" s="42" t="s">
        <v>130</v>
      </c>
      <c r="D54" s="137" t="s">
        <v>244</v>
      </c>
      <c r="E54" s="126">
        <v>0</v>
      </c>
      <c r="F54" s="144" t="s">
        <v>299</v>
      </c>
      <c r="G54" s="145" t="s">
        <v>300</v>
      </c>
      <c r="H54" s="121" t="s">
        <v>373</v>
      </c>
    </row>
    <row r="55" spans="2:9" ht="18" customHeight="1">
      <c r="B55" s="143" t="s">
        <v>132</v>
      </c>
      <c r="C55" s="42" t="s">
        <v>310</v>
      </c>
      <c r="D55" s="137" t="s">
        <v>244</v>
      </c>
      <c r="E55" s="126">
        <v>1</v>
      </c>
      <c r="F55" s="144" t="s">
        <v>299</v>
      </c>
      <c r="G55" s="145" t="s">
        <v>300</v>
      </c>
      <c r="H55" s="121"/>
    </row>
    <row r="56" spans="2:9" ht="30" customHeight="1">
      <c r="B56" s="143" t="s">
        <v>135</v>
      </c>
      <c r="C56" s="42" t="s">
        <v>311</v>
      </c>
      <c r="D56" s="137" t="s">
        <v>244</v>
      </c>
      <c r="E56" s="126">
        <v>0</v>
      </c>
      <c r="F56" s="144" t="s">
        <v>299</v>
      </c>
      <c r="G56" s="145" t="s">
        <v>300</v>
      </c>
      <c r="H56" s="121"/>
    </row>
    <row r="57" spans="2:9" ht="20.100000000000001" customHeight="1">
      <c r="B57" s="102" t="s">
        <v>313</v>
      </c>
      <c r="C57" s="103"/>
      <c r="D57" s="103"/>
      <c r="E57" s="103"/>
      <c r="F57" s="103"/>
      <c r="G57" s="103"/>
      <c r="H57" s="103"/>
    </row>
    <row r="58" spans="2:9" ht="20.100000000000001" customHeight="1">
      <c r="B58" s="141" t="s">
        <v>297</v>
      </c>
      <c r="C58" s="173" t="s">
        <v>298</v>
      </c>
      <c r="D58" s="199"/>
      <c r="E58" s="199"/>
      <c r="F58" s="199"/>
      <c r="G58" s="199"/>
      <c r="H58" s="200"/>
    </row>
    <row r="59" spans="2:9" ht="20.100000000000001" customHeight="1">
      <c r="B59" s="143" t="s">
        <v>139</v>
      </c>
      <c r="C59" s="42" t="s">
        <v>314</v>
      </c>
      <c r="D59" s="137" t="s">
        <v>244</v>
      </c>
      <c r="E59" s="126">
        <v>1</v>
      </c>
      <c r="F59" s="144" t="s">
        <v>299</v>
      </c>
      <c r="G59" s="145" t="s">
        <v>300</v>
      </c>
      <c r="H59" s="121"/>
    </row>
    <row r="60" spans="2:9" ht="20.100000000000001" customHeight="1">
      <c r="B60" s="143" t="s">
        <v>142</v>
      </c>
      <c r="C60" s="42" t="s">
        <v>143</v>
      </c>
      <c r="D60" s="137" t="s">
        <v>244</v>
      </c>
      <c r="E60" s="126">
        <v>1</v>
      </c>
      <c r="F60" s="144" t="s">
        <v>299</v>
      </c>
      <c r="G60" s="145" t="s">
        <v>300</v>
      </c>
      <c r="H60" s="121"/>
    </row>
    <row r="61" spans="2:9" ht="20.100000000000001" customHeight="1">
      <c r="B61" s="143" t="s">
        <v>145</v>
      </c>
      <c r="C61" s="42" t="s">
        <v>315</v>
      </c>
      <c r="D61" s="137" t="s">
        <v>244</v>
      </c>
      <c r="E61" s="126">
        <v>1</v>
      </c>
      <c r="F61" s="144" t="s">
        <v>299</v>
      </c>
      <c r="G61" s="145" t="s">
        <v>300</v>
      </c>
      <c r="H61" s="121"/>
    </row>
    <row r="62" spans="2:9" ht="20.100000000000001" customHeight="1">
      <c r="B62" s="143" t="s">
        <v>148</v>
      </c>
      <c r="C62" s="42" t="s">
        <v>316</v>
      </c>
      <c r="D62" s="137" t="s">
        <v>244</v>
      </c>
      <c r="E62" s="126">
        <v>1</v>
      </c>
      <c r="F62" s="144" t="s">
        <v>299</v>
      </c>
      <c r="G62" s="145" t="s">
        <v>300</v>
      </c>
      <c r="H62" s="121"/>
    </row>
    <row r="63" spans="2:9" ht="18" customHeight="1">
      <c r="B63" s="143" t="s">
        <v>151</v>
      </c>
      <c r="C63" s="42" t="s">
        <v>152</v>
      </c>
      <c r="D63" s="137" t="s">
        <v>244</v>
      </c>
      <c r="E63" s="126">
        <v>0</v>
      </c>
      <c r="F63" s="144" t="s">
        <v>299</v>
      </c>
      <c r="G63" s="145" t="s">
        <v>300</v>
      </c>
      <c r="H63" s="121"/>
    </row>
    <row r="64" spans="2:9" ht="30" customHeight="1">
      <c r="B64" s="143" t="s">
        <v>154</v>
      </c>
      <c r="C64" s="42" t="s">
        <v>155</v>
      </c>
      <c r="D64" s="137" t="s">
        <v>244</v>
      </c>
      <c r="E64" s="126">
        <v>0</v>
      </c>
      <c r="F64" s="144" t="s">
        <v>299</v>
      </c>
      <c r="G64" s="145" t="s">
        <v>300</v>
      </c>
      <c r="H64" s="121"/>
    </row>
    <row r="65" spans="2:8" ht="20.100000000000001" customHeight="1">
      <c r="B65" s="141" t="s">
        <v>297</v>
      </c>
      <c r="C65" s="142" t="s">
        <v>298</v>
      </c>
      <c r="D65" s="1"/>
      <c r="E65" s="1"/>
      <c r="F65" s="1"/>
      <c r="G65" s="1"/>
      <c r="H65" s="2"/>
    </row>
    <row r="67" spans="2:8" ht="30" customHeight="1">
      <c r="B67" s="147" t="s">
        <v>317</v>
      </c>
      <c r="C67" s="170" t="s">
        <v>318</v>
      </c>
      <c r="D67" s="199"/>
      <c r="E67" s="199"/>
      <c r="F67" s="199"/>
      <c r="G67" s="199"/>
      <c r="H67" s="200"/>
    </row>
  </sheetData>
  <mergeCells count="10">
    <mergeCell ref="C67:H67"/>
    <mergeCell ref="C58:H58"/>
    <mergeCell ref="C50:H50"/>
    <mergeCell ref="N12:O12"/>
    <mergeCell ref="C44:H44"/>
    <mergeCell ref="C36:H36"/>
    <mergeCell ref="C52:H52"/>
    <mergeCell ref="C18:H18"/>
    <mergeCell ref="C34:H34"/>
    <mergeCell ref="H12:M12"/>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FF00"/>
  </sheetPr>
  <dimension ref="B1:O67"/>
  <sheetViews>
    <sheetView workbookViewId="0">
      <selection activeCell="C21" sqref="C21"/>
    </sheetView>
  </sheetViews>
  <sheetFormatPr defaultRowHeight="14.45"/>
  <cols>
    <col min="1" max="1" width="2" customWidth="1"/>
    <col min="2" max="2" width="28" customWidth="1"/>
    <col min="3" max="3" width="45" bestFit="1" customWidth="1"/>
    <col min="4" max="4" width="18" customWidth="1"/>
    <col min="5" max="7" width="14" customWidth="1"/>
    <col min="8" max="8" width="55" customWidth="1"/>
    <col min="9" max="13" width="30.140625" customWidth="1"/>
  </cols>
  <sheetData>
    <row r="1" spans="2:15" ht="27.95" customHeight="1">
      <c r="B1" s="118" t="s">
        <v>374</v>
      </c>
      <c r="C1" s="68"/>
      <c r="D1" s="68"/>
      <c r="E1" s="68"/>
      <c r="F1" s="68"/>
      <c r="G1" s="68"/>
      <c r="H1" s="68"/>
    </row>
    <row r="2" spans="2:15" ht="15.95" customHeight="1">
      <c r="B2" s="19" t="s">
        <v>216</v>
      </c>
      <c r="C2" s="43" t="s">
        <v>217</v>
      </c>
      <c r="D2" s="43" t="s">
        <v>218</v>
      </c>
      <c r="E2" s="103"/>
      <c r="F2" s="103"/>
      <c r="G2" s="103"/>
      <c r="H2" s="43" t="s">
        <v>219</v>
      </c>
    </row>
    <row r="3" spans="2:15" ht="15.95" customHeight="1">
      <c r="B3" s="119" t="s">
        <v>220</v>
      </c>
      <c r="C3" s="42" t="s">
        <v>375</v>
      </c>
      <c r="D3" s="121"/>
      <c r="E3" s="121"/>
      <c r="F3" s="121"/>
      <c r="G3" s="121"/>
      <c r="H3" s="121"/>
    </row>
    <row r="4" spans="2:15" ht="15.95" customHeight="1">
      <c r="B4" s="119" t="s">
        <v>199</v>
      </c>
      <c r="C4" s="42" t="s">
        <v>376</v>
      </c>
      <c r="D4" s="121"/>
      <c r="E4" s="121"/>
      <c r="F4" s="121"/>
      <c r="G4" s="121"/>
      <c r="H4" s="121"/>
    </row>
    <row r="5" spans="2:15" ht="15.95" customHeight="1">
      <c r="B5" s="119" t="s">
        <v>224</v>
      </c>
      <c r="C5" s="42" t="s">
        <v>377</v>
      </c>
      <c r="D5" s="121"/>
      <c r="E5" s="121"/>
      <c r="F5" s="121"/>
      <c r="G5" s="121"/>
      <c r="H5" s="121"/>
    </row>
    <row r="6" spans="2:15" ht="15.95" customHeight="1">
      <c r="B6" s="119" t="s">
        <v>226</v>
      </c>
      <c r="C6" s="42" t="s">
        <v>168</v>
      </c>
      <c r="D6" s="121"/>
      <c r="E6" s="121"/>
      <c r="F6" s="121"/>
      <c r="G6" s="121"/>
      <c r="H6" s="121"/>
    </row>
    <row r="7" spans="2:15" ht="15.95" customHeight="1">
      <c r="B7" s="119" t="s">
        <v>227</v>
      </c>
      <c r="C7" s="42" t="s">
        <v>364</v>
      </c>
      <c r="D7" s="121"/>
      <c r="E7" s="121"/>
      <c r="F7" s="121"/>
      <c r="G7" s="121"/>
      <c r="H7" s="121"/>
    </row>
    <row r="8" spans="2:15" ht="15.95" customHeight="1">
      <c r="B8" s="119" t="s">
        <v>229</v>
      </c>
      <c r="C8" s="42" t="s">
        <v>354</v>
      </c>
      <c r="D8" s="121"/>
      <c r="E8" s="121"/>
      <c r="F8" s="121"/>
      <c r="G8" s="121"/>
      <c r="H8" s="121"/>
    </row>
    <row r="9" spans="2:15" ht="15.95" customHeight="1">
      <c r="B9" s="119" t="s">
        <v>231</v>
      </c>
      <c r="C9" s="42" t="s">
        <v>378</v>
      </c>
      <c r="D9" s="121"/>
      <c r="E9" s="121"/>
      <c r="F9" s="121"/>
      <c r="G9" s="121"/>
      <c r="H9" s="121"/>
    </row>
    <row r="10" spans="2:15" ht="15.95" customHeight="1">
      <c r="B10" s="119" t="s">
        <v>201</v>
      </c>
      <c r="C10" s="42" t="s">
        <v>379</v>
      </c>
      <c r="D10" s="121"/>
      <c r="E10" s="121"/>
      <c r="F10" s="121"/>
      <c r="G10" s="121"/>
      <c r="H10" s="121"/>
    </row>
    <row r="11" spans="2:15" ht="15.95" customHeight="1">
      <c r="B11" s="119" t="s">
        <v>203</v>
      </c>
      <c r="C11" s="42" t="s">
        <v>12</v>
      </c>
      <c r="D11" s="121"/>
      <c r="E11" s="121"/>
      <c r="F11" s="121"/>
      <c r="G11" s="121"/>
      <c r="H11" s="121"/>
    </row>
    <row r="12" spans="2:15" ht="15.95" customHeight="1">
      <c r="B12" s="119" t="s">
        <v>232</v>
      </c>
      <c r="C12" s="122">
        <v>7800000</v>
      </c>
      <c r="D12" s="121"/>
      <c r="E12" s="121"/>
      <c r="F12" s="121"/>
      <c r="G12" s="121"/>
      <c r="H12" s="174"/>
      <c r="I12" s="199"/>
      <c r="J12" s="199"/>
      <c r="K12" s="199"/>
      <c r="L12" s="199"/>
      <c r="M12" s="200"/>
      <c r="N12" s="201"/>
      <c r="O12" s="201"/>
    </row>
    <row r="13" spans="2:15" ht="15.95" customHeight="1">
      <c r="B13" s="119" t="s">
        <v>161</v>
      </c>
      <c r="C13" s="42" t="s">
        <v>233</v>
      </c>
      <c r="D13" s="121"/>
      <c r="E13" s="121"/>
      <c r="F13" s="121"/>
      <c r="G13" s="121"/>
      <c r="H13" s="121"/>
    </row>
    <row r="14" spans="2:15" ht="15.95" customHeight="1">
      <c r="B14" s="68"/>
      <c r="C14" s="68"/>
      <c r="D14" s="68"/>
      <c r="E14" s="68"/>
      <c r="F14" s="68"/>
      <c r="G14" s="68"/>
      <c r="H14" s="68"/>
      <c r="I14" s="1"/>
      <c r="J14" s="1"/>
      <c r="K14" s="1"/>
      <c r="L14" s="1"/>
      <c r="M14" s="2"/>
    </row>
    <row r="15" spans="2:15" ht="54.95" customHeight="1">
      <c r="B15" s="123" t="s">
        <v>46</v>
      </c>
      <c r="C15" s="124" t="s">
        <v>47</v>
      </c>
      <c r="D15" s="1"/>
      <c r="E15" s="1"/>
      <c r="F15" s="1"/>
      <c r="G15" s="1"/>
      <c r="H15" s="2"/>
    </row>
    <row r="16" spans="2:15" ht="39.950000000000003" customHeight="1">
      <c r="B16" s="102" t="s">
        <v>234</v>
      </c>
      <c r="C16" s="103"/>
      <c r="D16" s="103"/>
      <c r="E16" s="103"/>
      <c r="F16" s="103"/>
      <c r="G16" s="103"/>
      <c r="H16" s="103"/>
    </row>
    <row r="17" spans="2:8" ht="54.95" customHeight="1">
      <c r="B17" s="105" t="s">
        <v>52</v>
      </c>
      <c r="C17" s="119" t="s">
        <v>235</v>
      </c>
      <c r="D17" s="125" t="s">
        <v>236</v>
      </c>
      <c r="E17" s="126">
        <v>8</v>
      </c>
      <c r="F17" s="127" t="s">
        <v>237</v>
      </c>
      <c r="G17" s="128" t="s">
        <v>238</v>
      </c>
      <c r="H17" s="129" t="s">
        <v>239</v>
      </c>
    </row>
    <row r="18" spans="2:8" ht="54.95" customHeight="1">
      <c r="B18" s="130" t="s">
        <v>241</v>
      </c>
      <c r="C18" s="176" t="s">
        <v>380</v>
      </c>
      <c r="D18" s="199"/>
      <c r="E18" s="199"/>
      <c r="F18" s="199"/>
      <c r="G18" s="199"/>
      <c r="H18" s="200"/>
    </row>
    <row r="19" spans="2:8" ht="54.95" customHeight="1">
      <c r="B19" s="105" t="s">
        <v>56</v>
      </c>
      <c r="C19" s="119" t="s">
        <v>243</v>
      </c>
      <c r="D19" s="125" t="s">
        <v>244</v>
      </c>
      <c r="E19" s="126">
        <v>1</v>
      </c>
      <c r="F19" s="127" t="s">
        <v>245</v>
      </c>
      <c r="G19" s="128" t="s">
        <v>246</v>
      </c>
      <c r="H19" s="129" t="s">
        <v>247</v>
      </c>
    </row>
    <row r="20" spans="2:8" ht="18" customHeight="1">
      <c r="B20" s="105" t="s">
        <v>59</v>
      </c>
      <c r="C20" s="119" t="s">
        <v>248</v>
      </c>
      <c r="D20" s="125" t="s">
        <v>244</v>
      </c>
      <c r="E20" s="126">
        <v>1</v>
      </c>
      <c r="F20" s="127" t="s">
        <v>249</v>
      </c>
      <c r="G20" s="128" t="s">
        <v>250</v>
      </c>
      <c r="H20" s="129" t="s">
        <v>251</v>
      </c>
    </row>
    <row r="21" spans="2:8" ht="15.95" customHeight="1">
      <c r="B21" s="105" t="s">
        <v>62</v>
      </c>
      <c r="C21" s="119" t="s">
        <v>252</v>
      </c>
      <c r="D21" s="125" t="s">
        <v>244</v>
      </c>
      <c r="E21" s="126">
        <v>0</v>
      </c>
      <c r="F21" s="127" t="s">
        <v>253</v>
      </c>
      <c r="G21" s="128" t="s">
        <v>254</v>
      </c>
      <c r="H21" s="129" t="s">
        <v>255</v>
      </c>
    </row>
    <row r="22" spans="2:8" ht="54.95" customHeight="1">
      <c r="B22" s="102" t="s">
        <v>256</v>
      </c>
      <c r="C22" s="103"/>
      <c r="D22" s="103"/>
      <c r="E22" s="103"/>
      <c r="F22" s="103"/>
      <c r="G22" s="103"/>
      <c r="H22" s="103"/>
    </row>
    <row r="23" spans="2:8" ht="54.95" customHeight="1">
      <c r="B23" s="132" t="s">
        <v>46</v>
      </c>
      <c r="C23" s="133" t="s">
        <v>47</v>
      </c>
      <c r="D23" s="132" t="s">
        <v>257</v>
      </c>
      <c r="E23" s="134" t="s">
        <v>258</v>
      </c>
      <c r="F23" s="135" t="s">
        <v>259</v>
      </c>
      <c r="G23" s="136" t="s">
        <v>260</v>
      </c>
      <c r="H23" s="133" t="s">
        <v>261</v>
      </c>
    </row>
    <row r="24" spans="2:8" ht="54.95" customHeight="1">
      <c r="B24" s="105" t="s">
        <v>66</v>
      </c>
      <c r="C24" s="42" t="s">
        <v>262</v>
      </c>
      <c r="D24" s="137" t="s">
        <v>263</v>
      </c>
      <c r="E24" s="126">
        <v>1</v>
      </c>
      <c r="F24" s="127" t="s">
        <v>264</v>
      </c>
      <c r="G24" s="128" t="s">
        <v>265</v>
      </c>
      <c r="H24" s="129" t="s">
        <v>266</v>
      </c>
    </row>
    <row r="25" spans="2:8" ht="54.95" customHeight="1">
      <c r="B25" s="105" t="s">
        <v>69</v>
      </c>
      <c r="C25" s="42" t="s">
        <v>267</v>
      </c>
      <c r="D25" s="137" t="s">
        <v>263</v>
      </c>
      <c r="E25" s="126">
        <v>2</v>
      </c>
      <c r="F25" s="127" t="s">
        <v>268</v>
      </c>
      <c r="G25" s="128" t="s">
        <v>269</v>
      </c>
      <c r="H25" s="129" t="s">
        <v>270</v>
      </c>
    </row>
    <row r="26" spans="2:8" ht="54.95" customHeight="1">
      <c r="B26" s="105" t="s">
        <v>71</v>
      </c>
      <c r="C26" s="42" t="s">
        <v>271</v>
      </c>
      <c r="D26" s="137" t="s">
        <v>263</v>
      </c>
      <c r="E26" s="126">
        <v>4</v>
      </c>
      <c r="F26" s="127" t="s">
        <v>272</v>
      </c>
      <c r="G26" s="128" t="s">
        <v>273</v>
      </c>
      <c r="H26" s="129" t="s">
        <v>274</v>
      </c>
    </row>
    <row r="27" spans="2:8" ht="54.95" customHeight="1">
      <c r="B27" s="105" t="s">
        <v>73</v>
      </c>
      <c r="C27" s="42" t="s">
        <v>275</v>
      </c>
      <c r="D27" s="137" t="s">
        <v>263</v>
      </c>
      <c r="E27" s="126">
        <v>3</v>
      </c>
      <c r="F27" s="127" t="s">
        <v>276</v>
      </c>
      <c r="G27" s="128" t="s">
        <v>277</v>
      </c>
      <c r="H27" s="129" t="s">
        <v>278</v>
      </c>
    </row>
    <row r="28" spans="2:8" ht="54.95" customHeight="1">
      <c r="B28" s="105" t="s">
        <v>75</v>
      </c>
      <c r="C28" s="42" t="s">
        <v>279</v>
      </c>
      <c r="D28" s="137" t="s">
        <v>263</v>
      </c>
      <c r="E28" s="126">
        <v>3</v>
      </c>
      <c r="F28" s="127" t="s">
        <v>280</v>
      </c>
      <c r="G28" s="128" t="s">
        <v>281</v>
      </c>
      <c r="H28" s="129" t="s">
        <v>282</v>
      </c>
    </row>
    <row r="29" spans="2:8" ht="54.95" customHeight="1">
      <c r="B29" s="105" t="s">
        <v>77</v>
      </c>
      <c r="C29" s="42" t="s">
        <v>283</v>
      </c>
      <c r="D29" s="137" t="s">
        <v>263</v>
      </c>
      <c r="E29" s="154"/>
      <c r="F29" s="127" t="s">
        <v>284</v>
      </c>
      <c r="G29" s="128" t="s">
        <v>285</v>
      </c>
      <c r="H29" s="129" t="s">
        <v>286</v>
      </c>
    </row>
    <row r="30" spans="2:8" ht="54.95" customHeight="1">
      <c r="B30" s="105" t="s">
        <v>79</v>
      </c>
      <c r="C30" s="42" t="s">
        <v>287</v>
      </c>
      <c r="D30" s="137" t="s">
        <v>263</v>
      </c>
      <c r="E30" s="126">
        <v>2</v>
      </c>
      <c r="F30" s="127" t="s">
        <v>288</v>
      </c>
      <c r="G30" s="128" t="s">
        <v>289</v>
      </c>
      <c r="H30" s="129" t="s">
        <v>290</v>
      </c>
    </row>
    <row r="31" spans="2:8" ht="18" customHeight="1">
      <c r="B31" s="105" t="s">
        <v>81</v>
      </c>
      <c r="C31" s="42" t="s">
        <v>291</v>
      </c>
      <c r="D31" s="137" t="s">
        <v>263</v>
      </c>
      <c r="E31" s="126">
        <v>3</v>
      </c>
      <c r="F31" s="127" t="s">
        <v>327</v>
      </c>
      <c r="G31" s="128" t="s">
        <v>328</v>
      </c>
      <c r="H31" s="129" t="s">
        <v>329</v>
      </c>
    </row>
    <row r="32" spans="2:8" ht="30" customHeight="1">
      <c r="B32" s="105" t="s">
        <v>84</v>
      </c>
      <c r="C32" s="42" t="s">
        <v>292</v>
      </c>
      <c r="D32" s="138" t="s">
        <v>236</v>
      </c>
      <c r="E32" s="126">
        <v>8</v>
      </c>
      <c r="F32" s="139" t="s">
        <v>293</v>
      </c>
      <c r="G32" s="128" t="s">
        <v>294</v>
      </c>
      <c r="H32" s="140" t="s">
        <v>295</v>
      </c>
    </row>
    <row r="33" spans="2:8" ht="20.100000000000001" customHeight="1">
      <c r="B33" s="102" t="s">
        <v>296</v>
      </c>
      <c r="C33" s="103"/>
      <c r="D33" s="103"/>
      <c r="E33" s="103"/>
      <c r="F33" s="103"/>
      <c r="G33" s="103"/>
      <c r="H33" s="103"/>
    </row>
    <row r="34" spans="2:8" ht="39.950000000000003" customHeight="1">
      <c r="B34" s="141" t="s">
        <v>297</v>
      </c>
      <c r="C34" s="173" t="s">
        <v>298</v>
      </c>
      <c r="D34" s="199"/>
      <c r="E34" s="199"/>
      <c r="F34" s="199"/>
      <c r="G34" s="199"/>
      <c r="H34" s="200"/>
    </row>
    <row r="35" spans="2:8" ht="20.100000000000001" customHeight="1">
      <c r="B35" s="143" t="s">
        <v>88</v>
      </c>
      <c r="C35" s="42" t="s">
        <v>89</v>
      </c>
      <c r="D35" s="137" t="s">
        <v>244</v>
      </c>
      <c r="E35" s="126">
        <v>0</v>
      </c>
      <c r="F35" s="144" t="s">
        <v>299</v>
      </c>
      <c r="G35" s="145" t="s">
        <v>300</v>
      </c>
      <c r="H35" s="121"/>
    </row>
    <row r="36" spans="2:8" ht="20.100000000000001" customHeight="1">
      <c r="B36" s="130" t="s">
        <v>241</v>
      </c>
      <c r="C36" s="175" t="s">
        <v>381</v>
      </c>
      <c r="D36" s="199"/>
      <c r="E36" s="199"/>
      <c r="F36" s="199"/>
      <c r="G36" s="199"/>
      <c r="H36" s="200"/>
    </row>
    <row r="37" spans="2:8" ht="20.100000000000001" customHeight="1">
      <c r="B37" s="143" t="s">
        <v>91</v>
      </c>
      <c r="C37" s="42" t="s">
        <v>92</v>
      </c>
      <c r="D37" s="137" t="s">
        <v>244</v>
      </c>
      <c r="E37" s="126">
        <v>0</v>
      </c>
      <c r="F37" s="144" t="s">
        <v>299</v>
      </c>
      <c r="G37" s="145" t="s">
        <v>300</v>
      </c>
      <c r="H37" s="121"/>
    </row>
    <row r="38" spans="2:8" ht="20.100000000000001" customHeight="1">
      <c r="B38" s="143" t="s">
        <v>94</v>
      </c>
      <c r="C38" s="42" t="s">
        <v>302</v>
      </c>
      <c r="D38" s="137" t="s">
        <v>244</v>
      </c>
      <c r="E38" s="126">
        <v>0</v>
      </c>
      <c r="F38" s="144" t="s">
        <v>299</v>
      </c>
      <c r="G38" s="145" t="s">
        <v>300</v>
      </c>
      <c r="H38" s="121"/>
    </row>
    <row r="39" spans="2:8" ht="20.100000000000001" customHeight="1">
      <c r="B39" s="143" t="s">
        <v>97</v>
      </c>
      <c r="C39" s="42" t="s">
        <v>98</v>
      </c>
      <c r="D39" s="137" t="s">
        <v>244</v>
      </c>
      <c r="E39" s="126">
        <v>1</v>
      </c>
      <c r="F39" s="144" t="s">
        <v>299</v>
      </c>
      <c r="G39" s="145" t="s">
        <v>300</v>
      </c>
      <c r="H39" s="121"/>
    </row>
    <row r="40" spans="2:8" ht="20.100000000000001" customHeight="1">
      <c r="B40" s="143" t="s">
        <v>100</v>
      </c>
      <c r="C40" s="42" t="s">
        <v>101</v>
      </c>
      <c r="D40" s="137" t="s">
        <v>244</v>
      </c>
      <c r="E40" s="126">
        <v>0</v>
      </c>
      <c r="F40" s="144" t="s">
        <v>299</v>
      </c>
      <c r="G40" s="145" t="s">
        <v>300</v>
      </c>
      <c r="H40" s="121"/>
    </row>
    <row r="41" spans="2:8" ht="18" customHeight="1">
      <c r="B41" s="143" t="s">
        <v>103</v>
      </c>
      <c r="C41" s="42" t="s">
        <v>104</v>
      </c>
      <c r="D41" s="84" t="s">
        <v>244</v>
      </c>
      <c r="E41" s="126">
        <v>0</v>
      </c>
      <c r="F41" s="127" t="s">
        <v>299</v>
      </c>
      <c r="G41" s="128" t="s">
        <v>300</v>
      </c>
      <c r="H41" s="129" t="s">
        <v>298</v>
      </c>
    </row>
    <row r="42" spans="2:8" ht="30" customHeight="1">
      <c r="B42" s="143" t="s">
        <v>106</v>
      </c>
      <c r="C42" s="42" t="s">
        <v>303</v>
      </c>
      <c r="D42" s="84" t="s">
        <v>244</v>
      </c>
      <c r="E42" s="126">
        <v>1</v>
      </c>
      <c r="F42" s="127" t="s">
        <v>299</v>
      </c>
      <c r="G42" s="128" t="s">
        <v>300</v>
      </c>
      <c r="H42" s="129" t="s">
        <v>298</v>
      </c>
    </row>
    <row r="43" spans="2:8" ht="20.100000000000001" customHeight="1">
      <c r="B43" s="102" t="s">
        <v>304</v>
      </c>
      <c r="C43" s="103"/>
      <c r="D43" s="103"/>
      <c r="E43" s="103"/>
      <c r="F43" s="103"/>
      <c r="G43" s="103"/>
      <c r="H43" s="103"/>
    </row>
    <row r="44" spans="2:8" ht="20.100000000000001" customHeight="1">
      <c r="B44" s="141" t="s">
        <v>297</v>
      </c>
      <c r="C44" s="173" t="s">
        <v>298</v>
      </c>
      <c r="D44" s="199"/>
      <c r="E44" s="199"/>
      <c r="F44" s="199"/>
      <c r="G44" s="199"/>
      <c r="H44" s="200"/>
    </row>
    <row r="45" spans="2:8" ht="20.100000000000001" customHeight="1">
      <c r="B45" s="143" t="s">
        <v>110</v>
      </c>
      <c r="C45" s="42" t="s">
        <v>111</v>
      </c>
      <c r="D45" s="137" t="s">
        <v>244</v>
      </c>
      <c r="E45" s="126">
        <v>0</v>
      </c>
      <c r="F45" s="144" t="s">
        <v>299</v>
      </c>
      <c r="G45" s="145" t="s">
        <v>300</v>
      </c>
      <c r="H45" s="121"/>
    </row>
    <row r="46" spans="2:8" ht="20.100000000000001" customHeight="1">
      <c r="B46" s="143" t="s">
        <v>113</v>
      </c>
      <c r="C46" s="42" t="s">
        <v>114</v>
      </c>
      <c r="D46" s="137" t="s">
        <v>244</v>
      </c>
      <c r="E46" s="126">
        <v>0</v>
      </c>
      <c r="F46" s="144" t="s">
        <v>299</v>
      </c>
      <c r="G46" s="145" t="s">
        <v>300</v>
      </c>
      <c r="H46" s="121"/>
    </row>
    <row r="47" spans="2:8" ht="18" customHeight="1">
      <c r="B47" s="143" t="s">
        <v>116</v>
      </c>
      <c r="C47" s="42" t="s">
        <v>117</v>
      </c>
      <c r="D47" s="84" t="s">
        <v>244</v>
      </c>
      <c r="E47" s="126">
        <v>0</v>
      </c>
      <c r="F47" s="127" t="s">
        <v>299</v>
      </c>
      <c r="G47" s="128" t="s">
        <v>300</v>
      </c>
      <c r="H47" s="129" t="s">
        <v>298</v>
      </c>
    </row>
    <row r="48" spans="2:8" ht="30" customHeight="1">
      <c r="B48" s="143" t="s">
        <v>119</v>
      </c>
      <c r="C48" s="42" t="s">
        <v>120</v>
      </c>
      <c r="D48" s="84" t="s">
        <v>244</v>
      </c>
      <c r="E48" s="126">
        <v>1</v>
      </c>
      <c r="F48" s="127" t="s">
        <v>299</v>
      </c>
      <c r="G48" s="128" t="s">
        <v>300</v>
      </c>
      <c r="H48" s="129" t="s">
        <v>298</v>
      </c>
    </row>
    <row r="49" spans="2:8" ht="20.100000000000001" customHeight="1">
      <c r="B49" s="102" t="s">
        <v>306</v>
      </c>
      <c r="C49" s="103"/>
      <c r="D49" s="103"/>
      <c r="E49" s="103"/>
      <c r="F49" s="103"/>
      <c r="G49" s="103"/>
      <c r="H49" s="103"/>
    </row>
    <row r="50" spans="2:8" ht="39.950000000000003" customHeight="1">
      <c r="B50" s="141" t="s">
        <v>297</v>
      </c>
      <c r="C50" s="173" t="s">
        <v>298</v>
      </c>
      <c r="D50" s="199"/>
      <c r="E50" s="199"/>
      <c r="F50" s="199"/>
      <c r="G50" s="199"/>
      <c r="H50" s="200"/>
    </row>
    <row r="51" spans="2:8" ht="20.100000000000001" customHeight="1">
      <c r="B51" s="143" t="s">
        <v>123</v>
      </c>
      <c r="C51" s="42" t="s">
        <v>307</v>
      </c>
      <c r="D51" s="137" t="s">
        <v>244</v>
      </c>
      <c r="E51" s="126">
        <v>1</v>
      </c>
      <c r="F51" s="144" t="s">
        <v>299</v>
      </c>
      <c r="G51" s="145" t="s">
        <v>300</v>
      </c>
      <c r="H51" s="121"/>
    </row>
    <row r="52" spans="2:8" ht="20.100000000000001" customHeight="1">
      <c r="B52" s="130" t="s">
        <v>241</v>
      </c>
      <c r="C52" s="176" t="s">
        <v>382</v>
      </c>
      <c r="D52" s="199"/>
      <c r="E52" s="199"/>
      <c r="F52" s="199"/>
      <c r="G52" s="199"/>
      <c r="H52" s="200"/>
    </row>
    <row r="53" spans="2:8" ht="20.100000000000001" customHeight="1">
      <c r="B53" s="143" t="s">
        <v>126</v>
      </c>
      <c r="C53" s="42" t="s">
        <v>309</v>
      </c>
      <c r="D53" s="137" t="s">
        <v>244</v>
      </c>
      <c r="E53" s="126">
        <v>0</v>
      </c>
      <c r="F53" s="144" t="s">
        <v>299</v>
      </c>
      <c r="G53" s="145" t="s">
        <v>300</v>
      </c>
      <c r="H53" s="121"/>
    </row>
    <row r="54" spans="2:8" ht="20.100000000000001" customHeight="1">
      <c r="B54" s="143" t="s">
        <v>129</v>
      </c>
      <c r="C54" s="42" t="s">
        <v>130</v>
      </c>
      <c r="D54" s="137" t="s">
        <v>244</v>
      </c>
      <c r="E54" s="126">
        <v>1</v>
      </c>
      <c r="F54" s="144" t="s">
        <v>299</v>
      </c>
      <c r="G54" s="145" t="s">
        <v>300</v>
      </c>
      <c r="H54" s="121"/>
    </row>
    <row r="55" spans="2:8" ht="18" customHeight="1">
      <c r="B55" s="143" t="s">
        <v>132</v>
      </c>
      <c r="C55" s="42" t="s">
        <v>310</v>
      </c>
      <c r="D55" s="137" t="s">
        <v>244</v>
      </c>
      <c r="E55" s="126">
        <v>0</v>
      </c>
      <c r="F55" s="144" t="s">
        <v>299</v>
      </c>
      <c r="G55" s="145" t="s">
        <v>300</v>
      </c>
      <c r="H55" s="121"/>
    </row>
    <row r="56" spans="2:8" ht="30" customHeight="1">
      <c r="B56" s="143" t="s">
        <v>135</v>
      </c>
      <c r="C56" s="42" t="s">
        <v>311</v>
      </c>
      <c r="D56" s="137" t="s">
        <v>244</v>
      </c>
      <c r="E56" s="126">
        <v>0</v>
      </c>
      <c r="F56" s="144" t="s">
        <v>299</v>
      </c>
      <c r="G56" s="145" t="s">
        <v>300</v>
      </c>
      <c r="H56" s="121"/>
    </row>
    <row r="57" spans="2:8" ht="20.100000000000001" customHeight="1">
      <c r="B57" s="102" t="s">
        <v>313</v>
      </c>
      <c r="C57" s="103"/>
      <c r="D57" s="103"/>
      <c r="E57" s="103"/>
      <c r="F57" s="103"/>
      <c r="G57" s="103"/>
      <c r="H57" s="103"/>
    </row>
    <row r="58" spans="2:8" ht="20.100000000000001" customHeight="1">
      <c r="B58" s="141" t="s">
        <v>297</v>
      </c>
      <c r="C58" s="173" t="s">
        <v>298</v>
      </c>
      <c r="D58" s="199"/>
      <c r="E58" s="199"/>
      <c r="F58" s="199"/>
      <c r="G58" s="199"/>
      <c r="H58" s="200"/>
    </row>
    <row r="59" spans="2:8" ht="20.100000000000001" customHeight="1">
      <c r="B59" s="143" t="s">
        <v>139</v>
      </c>
      <c r="C59" s="42" t="s">
        <v>314</v>
      </c>
      <c r="D59" s="137" t="s">
        <v>244</v>
      </c>
      <c r="E59" s="126">
        <v>0</v>
      </c>
      <c r="F59" s="144" t="s">
        <v>299</v>
      </c>
      <c r="G59" s="145" t="s">
        <v>300</v>
      </c>
      <c r="H59" s="121"/>
    </row>
    <row r="60" spans="2:8" ht="20.100000000000001" customHeight="1">
      <c r="B60" s="143" t="s">
        <v>142</v>
      </c>
      <c r="C60" s="42" t="s">
        <v>143</v>
      </c>
      <c r="D60" s="137" t="s">
        <v>244</v>
      </c>
      <c r="E60" s="126">
        <v>1</v>
      </c>
      <c r="F60" s="144" t="s">
        <v>299</v>
      </c>
      <c r="G60" s="145" t="s">
        <v>300</v>
      </c>
      <c r="H60" s="121"/>
    </row>
    <row r="61" spans="2:8" ht="20.100000000000001" customHeight="1">
      <c r="B61" s="143" t="s">
        <v>145</v>
      </c>
      <c r="C61" s="42" t="s">
        <v>315</v>
      </c>
      <c r="D61" s="137" t="s">
        <v>244</v>
      </c>
      <c r="E61" s="126">
        <v>1</v>
      </c>
      <c r="F61" s="144" t="s">
        <v>299</v>
      </c>
      <c r="G61" s="145" t="s">
        <v>300</v>
      </c>
      <c r="H61" s="121"/>
    </row>
    <row r="62" spans="2:8" ht="20.100000000000001" customHeight="1">
      <c r="B62" s="143" t="s">
        <v>148</v>
      </c>
      <c r="C62" s="42" t="s">
        <v>316</v>
      </c>
      <c r="D62" s="137" t="s">
        <v>244</v>
      </c>
      <c r="E62" s="126">
        <v>0</v>
      </c>
      <c r="F62" s="144" t="s">
        <v>299</v>
      </c>
      <c r="G62" s="145" t="s">
        <v>300</v>
      </c>
      <c r="H62" s="121"/>
    </row>
    <row r="63" spans="2:8" ht="18" customHeight="1">
      <c r="B63" s="143" t="s">
        <v>151</v>
      </c>
      <c r="C63" s="42" t="s">
        <v>152</v>
      </c>
      <c r="D63" s="137" t="s">
        <v>244</v>
      </c>
      <c r="E63" s="126">
        <v>0</v>
      </c>
      <c r="F63" s="144" t="s">
        <v>299</v>
      </c>
      <c r="G63" s="145" t="s">
        <v>300</v>
      </c>
      <c r="H63" s="121"/>
    </row>
    <row r="64" spans="2:8" ht="30" customHeight="1">
      <c r="B64" s="143" t="s">
        <v>154</v>
      </c>
      <c r="C64" s="42" t="s">
        <v>155</v>
      </c>
      <c r="D64" s="137" t="s">
        <v>244</v>
      </c>
      <c r="E64" s="126">
        <v>0</v>
      </c>
      <c r="F64" s="144" t="s">
        <v>299</v>
      </c>
      <c r="G64" s="145" t="s">
        <v>300</v>
      </c>
      <c r="H64" s="121"/>
    </row>
    <row r="65" spans="2:8" ht="20.100000000000001" customHeight="1">
      <c r="B65" s="141" t="s">
        <v>297</v>
      </c>
      <c r="C65" s="142" t="s">
        <v>298</v>
      </c>
      <c r="D65" s="1"/>
      <c r="E65" s="1"/>
      <c r="F65" s="1"/>
      <c r="G65" s="1"/>
      <c r="H65" s="2"/>
    </row>
    <row r="67" spans="2:8" ht="30" customHeight="1">
      <c r="B67" s="147" t="s">
        <v>317</v>
      </c>
      <c r="C67" s="170" t="s">
        <v>318</v>
      </c>
      <c r="D67" s="199"/>
      <c r="E67" s="199"/>
      <c r="F67" s="199"/>
      <c r="G67" s="199"/>
      <c r="H67" s="200"/>
    </row>
  </sheetData>
  <mergeCells count="10">
    <mergeCell ref="C67:H67"/>
    <mergeCell ref="C58:H58"/>
    <mergeCell ref="C50:H50"/>
    <mergeCell ref="N12:O12"/>
    <mergeCell ref="C44:H44"/>
    <mergeCell ref="C36:H36"/>
    <mergeCell ref="C52:H52"/>
    <mergeCell ref="C18:H18"/>
    <mergeCell ref="C34:H34"/>
    <mergeCell ref="H12:M12"/>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B1:O67"/>
  <sheetViews>
    <sheetView workbookViewId="0">
      <selection activeCell="C21" sqref="C21"/>
    </sheetView>
  </sheetViews>
  <sheetFormatPr defaultRowHeight="14.45"/>
  <cols>
    <col min="1" max="1" width="2" customWidth="1"/>
    <col min="2" max="2" width="28" customWidth="1"/>
    <col min="3" max="3" width="45" bestFit="1" customWidth="1"/>
    <col min="4" max="4" width="18" customWidth="1"/>
    <col min="5" max="7" width="14" customWidth="1"/>
    <col min="8" max="8" width="55" customWidth="1"/>
    <col min="9" max="13" width="30.140625" customWidth="1"/>
  </cols>
  <sheetData>
    <row r="1" spans="2:15" ht="27.95" customHeight="1">
      <c r="B1" s="118" t="s">
        <v>383</v>
      </c>
      <c r="C1" s="68"/>
      <c r="D1" s="68"/>
      <c r="E1" s="68"/>
      <c r="F1" s="68"/>
      <c r="G1" s="68"/>
      <c r="H1" s="68"/>
    </row>
    <row r="2" spans="2:15" ht="15.95" customHeight="1">
      <c r="B2" s="19" t="s">
        <v>216</v>
      </c>
      <c r="C2" s="43" t="s">
        <v>217</v>
      </c>
      <c r="D2" s="43" t="s">
        <v>218</v>
      </c>
      <c r="E2" s="103"/>
      <c r="F2" s="103"/>
      <c r="G2" s="103"/>
      <c r="H2" s="43" t="s">
        <v>219</v>
      </c>
    </row>
    <row r="3" spans="2:15" ht="15.95" customHeight="1">
      <c r="B3" s="119" t="s">
        <v>220</v>
      </c>
      <c r="C3" s="42" t="s">
        <v>384</v>
      </c>
      <c r="D3" s="121"/>
      <c r="E3" s="121"/>
      <c r="F3" s="121"/>
      <c r="G3" s="121"/>
      <c r="H3" s="121"/>
    </row>
    <row r="4" spans="2:15" ht="15.95" customHeight="1">
      <c r="B4" s="119" t="s">
        <v>199</v>
      </c>
      <c r="C4" s="42" t="s">
        <v>385</v>
      </c>
      <c r="D4" s="121"/>
      <c r="E4" s="121"/>
      <c r="F4" s="121"/>
      <c r="G4" s="121"/>
      <c r="H4" s="121"/>
    </row>
    <row r="5" spans="2:15" ht="15.95" customHeight="1">
      <c r="B5" s="119" t="s">
        <v>224</v>
      </c>
      <c r="C5" s="42" t="s">
        <v>386</v>
      </c>
      <c r="D5" s="121"/>
      <c r="E5" s="121"/>
      <c r="F5" s="121"/>
      <c r="G5" s="121"/>
      <c r="H5" s="121"/>
    </row>
    <row r="6" spans="2:15" ht="15.95" customHeight="1">
      <c r="B6" s="119" t="s">
        <v>226</v>
      </c>
      <c r="C6" s="42" t="s">
        <v>169</v>
      </c>
      <c r="D6" s="121"/>
      <c r="E6" s="121"/>
      <c r="F6" s="121"/>
      <c r="G6" s="121"/>
      <c r="H6" s="121"/>
    </row>
    <row r="7" spans="2:15" ht="15.95" customHeight="1">
      <c r="B7" s="119" t="s">
        <v>227</v>
      </c>
      <c r="C7" s="42" t="s">
        <v>387</v>
      </c>
      <c r="D7" s="121"/>
      <c r="E7" s="121"/>
      <c r="F7" s="121"/>
      <c r="G7" s="121"/>
      <c r="H7" s="121"/>
    </row>
    <row r="8" spans="2:15" ht="15.95" customHeight="1">
      <c r="B8" s="119" t="s">
        <v>229</v>
      </c>
      <c r="C8" s="42" t="s">
        <v>345</v>
      </c>
      <c r="D8" s="121"/>
      <c r="E8" s="121"/>
      <c r="F8" s="121"/>
      <c r="G8" s="121"/>
      <c r="H8" s="121"/>
    </row>
    <row r="9" spans="2:15" ht="15.95" customHeight="1">
      <c r="B9" s="119" t="s">
        <v>231</v>
      </c>
      <c r="C9" s="42"/>
      <c r="D9" s="121"/>
      <c r="E9" s="121"/>
      <c r="F9" s="121"/>
      <c r="G9" s="121"/>
      <c r="H9" s="121"/>
    </row>
    <row r="10" spans="2:15" ht="15.95" customHeight="1">
      <c r="B10" s="119" t="s">
        <v>201</v>
      </c>
      <c r="C10" s="42" t="s">
        <v>388</v>
      </c>
      <c r="D10" s="121"/>
      <c r="E10" s="121"/>
      <c r="F10" s="121"/>
      <c r="G10" s="121"/>
      <c r="H10" s="121"/>
    </row>
    <row r="11" spans="2:15" ht="15.95" customHeight="1">
      <c r="B11" s="119" t="s">
        <v>203</v>
      </c>
      <c r="C11" s="42" t="s">
        <v>6</v>
      </c>
      <c r="D11" s="121"/>
      <c r="E11" s="121"/>
      <c r="F11" s="121"/>
      <c r="G11" s="121"/>
      <c r="H11" s="121"/>
    </row>
    <row r="12" spans="2:15" ht="15.95" customHeight="1">
      <c r="B12" s="119" t="s">
        <v>232</v>
      </c>
      <c r="C12" s="122">
        <v>90000000</v>
      </c>
      <c r="D12" s="121"/>
      <c r="E12" s="121"/>
      <c r="F12" s="121"/>
      <c r="G12" s="121"/>
      <c r="H12" s="174"/>
      <c r="I12" s="199"/>
      <c r="J12" s="199"/>
      <c r="K12" s="199"/>
      <c r="L12" s="199"/>
      <c r="M12" s="200"/>
      <c r="N12" s="201"/>
      <c r="O12" s="201"/>
    </row>
    <row r="13" spans="2:15" ht="15.95" customHeight="1">
      <c r="B13" s="119" t="s">
        <v>161</v>
      </c>
      <c r="C13" s="42" t="s">
        <v>389</v>
      </c>
      <c r="D13" s="121"/>
      <c r="E13" s="121"/>
      <c r="F13" s="121"/>
      <c r="G13" s="121"/>
      <c r="H13" s="121"/>
    </row>
    <row r="14" spans="2:15" ht="15.95" customHeight="1">
      <c r="B14" s="68"/>
      <c r="C14" s="68"/>
      <c r="D14" s="68"/>
      <c r="E14" s="68"/>
      <c r="F14" s="68"/>
      <c r="G14" s="68"/>
      <c r="H14" s="68"/>
      <c r="I14" s="1"/>
      <c r="J14" s="1"/>
      <c r="K14" s="1"/>
      <c r="L14" s="1"/>
      <c r="M14" s="2"/>
    </row>
    <row r="15" spans="2:15" ht="54.95" customHeight="1">
      <c r="B15" s="123" t="s">
        <v>46</v>
      </c>
      <c r="C15" s="124" t="s">
        <v>47</v>
      </c>
      <c r="D15" s="1"/>
      <c r="E15" s="1"/>
      <c r="F15" s="1"/>
      <c r="G15" s="1"/>
      <c r="H15" s="2"/>
    </row>
    <row r="16" spans="2:15" ht="39.950000000000003" customHeight="1">
      <c r="B16" s="102" t="s">
        <v>234</v>
      </c>
      <c r="C16" s="172"/>
      <c r="D16" s="199"/>
      <c r="E16" s="199"/>
      <c r="F16" s="199"/>
      <c r="G16" s="199"/>
      <c r="H16" s="200"/>
    </row>
    <row r="17" spans="2:8" ht="54.95" customHeight="1">
      <c r="B17" s="105" t="s">
        <v>52</v>
      </c>
      <c r="C17" s="119" t="s">
        <v>235</v>
      </c>
      <c r="D17" s="125" t="s">
        <v>236</v>
      </c>
      <c r="E17" s="126">
        <v>8</v>
      </c>
      <c r="F17" s="127" t="s">
        <v>237</v>
      </c>
      <c r="G17" s="128" t="s">
        <v>238</v>
      </c>
      <c r="H17" s="129" t="s">
        <v>239</v>
      </c>
    </row>
    <row r="18" spans="2:8" ht="54.95" customHeight="1">
      <c r="B18" s="130" t="s">
        <v>241</v>
      </c>
      <c r="C18" s="131" t="s">
        <v>390</v>
      </c>
      <c r="D18" s="1"/>
      <c r="E18" s="1"/>
      <c r="F18" s="1"/>
      <c r="G18" s="1"/>
      <c r="H18" s="2"/>
    </row>
    <row r="19" spans="2:8" ht="54.95" customHeight="1">
      <c r="B19" s="105" t="s">
        <v>56</v>
      </c>
      <c r="C19" s="119" t="s">
        <v>243</v>
      </c>
      <c r="D19" s="125" t="s">
        <v>244</v>
      </c>
      <c r="E19" s="126">
        <v>1</v>
      </c>
      <c r="F19" s="127" t="s">
        <v>245</v>
      </c>
      <c r="G19" s="128" t="s">
        <v>246</v>
      </c>
      <c r="H19" s="129" t="s">
        <v>247</v>
      </c>
    </row>
    <row r="20" spans="2:8" ht="18" customHeight="1">
      <c r="B20" s="105" t="s">
        <v>59</v>
      </c>
      <c r="C20" s="119" t="s">
        <v>248</v>
      </c>
      <c r="D20" s="125" t="s">
        <v>244</v>
      </c>
      <c r="E20" s="126">
        <v>0</v>
      </c>
      <c r="F20" s="127" t="s">
        <v>249</v>
      </c>
      <c r="G20" s="128" t="s">
        <v>250</v>
      </c>
      <c r="H20" s="129" t="s">
        <v>251</v>
      </c>
    </row>
    <row r="21" spans="2:8" ht="15.95" customHeight="1">
      <c r="B21" s="105" t="s">
        <v>62</v>
      </c>
      <c r="C21" s="119" t="s">
        <v>252</v>
      </c>
      <c r="D21" s="125" t="s">
        <v>244</v>
      </c>
      <c r="E21" s="126">
        <v>0</v>
      </c>
      <c r="F21" s="127" t="s">
        <v>253</v>
      </c>
      <c r="G21" s="128" t="s">
        <v>254</v>
      </c>
      <c r="H21" s="129" t="s">
        <v>255</v>
      </c>
    </row>
    <row r="22" spans="2:8" ht="54.95" customHeight="1">
      <c r="B22" s="102" t="s">
        <v>256</v>
      </c>
      <c r="C22" s="103"/>
      <c r="D22" s="103"/>
      <c r="E22" s="103"/>
      <c r="F22" s="103"/>
      <c r="G22" s="103"/>
      <c r="H22" s="103"/>
    </row>
    <row r="23" spans="2:8" ht="54.95" customHeight="1">
      <c r="B23" s="132" t="s">
        <v>46</v>
      </c>
      <c r="C23" s="133" t="s">
        <v>47</v>
      </c>
      <c r="D23" s="132" t="s">
        <v>257</v>
      </c>
      <c r="E23" s="134" t="s">
        <v>258</v>
      </c>
      <c r="F23" s="135" t="s">
        <v>259</v>
      </c>
      <c r="G23" s="136" t="s">
        <v>260</v>
      </c>
      <c r="H23" s="133" t="s">
        <v>261</v>
      </c>
    </row>
    <row r="24" spans="2:8" ht="54.95" customHeight="1">
      <c r="B24" s="105" t="s">
        <v>66</v>
      </c>
      <c r="C24" s="42" t="s">
        <v>262</v>
      </c>
      <c r="D24" s="137" t="s">
        <v>263</v>
      </c>
      <c r="E24" s="126">
        <v>3</v>
      </c>
      <c r="F24" s="127" t="s">
        <v>264</v>
      </c>
      <c r="G24" s="128" t="s">
        <v>265</v>
      </c>
      <c r="H24" s="129" t="s">
        <v>266</v>
      </c>
    </row>
    <row r="25" spans="2:8" ht="54.95" customHeight="1">
      <c r="B25" s="105" t="s">
        <v>69</v>
      </c>
      <c r="C25" s="42" t="s">
        <v>267</v>
      </c>
      <c r="D25" s="137" t="s">
        <v>263</v>
      </c>
      <c r="E25" s="126">
        <v>2</v>
      </c>
      <c r="F25" s="127" t="s">
        <v>268</v>
      </c>
      <c r="G25" s="128" t="s">
        <v>269</v>
      </c>
      <c r="H25" s="129" t="s">
        <v>270</v>
      </c>
    </row>
    <row r="26" spans="2:8" ht="54.95" customHeight="1">
      <c r="B26" s="105" t="s">
        <v>71</v>
      </c>
      <c r="C26" s="42" t="s">
        <v>271</v>
      </c>
      <c r="D26" s="137" t="s">
        <v>263</v>
      </c>
      <c r="E26" s="126">
        <v>4</v>
      </c>
      <c r="F26" s="127" t="s">
        <v>272</v>
      </c>
      <c r="G26" s="128" t="s">
        <v>273</v>
      </c>
      <c r="H26" s="129" t="s">
        <v>274</v>
      </c>
    </row>
    <row r="27" spans="2:8" ht="54.95" customHeight="1">
      <c r="B27" s="105" t="s">
        <v>73</v>
      </c>
      <c r="C27" s="42" t="s">
        <v>275</v>
      </c>
      <c r="D27" s="137" t="s">
        <v>263</v>
      </c>
      <c r="E27" s="126">
        <v>3</v>
      </c>
      <c r="F27" s="127" t="s">
        <v>276</v>
      </c>
      <c r="G27" s="128" t="s">
        <v>277</v>
      </c>
      <c r="H27" s="129" t="s">
        <v>278</v>
      </c>
    </row>
    <row r="28" spans="2:8" ht="54.95" customHeight="1">
      <c r="B28" s="105" t="s">
        <v>75</v>
      </c>
      <c r="C28" s="42" t="s">
        <v>279</v>
      </c>
      <c r="D28" s="137" t="s">
        <v>263</v>
      </c>
      <c r="E28" s="126">
        <v>4</v>
      </c>
      <c r="F28" s="127" t="s">
        <v>280</v>
      </c>
      <c r="G28" s="128" t="s">
        <v>281</v>
      </c>
      <c r="H28" s="129" t="s">
        <v>282</v>
      </c>
    </row>
    <row r="29" spans="2:8" ht="54.95" customHeight="1">
      <c r="B29" s="105" t="s">
        <v>77</v>
      </c>
      <c r="C29" s="42" t="s">
        <v>283</v>
      </c>
      <c r="D29" s="137" t="s">
        <v>263</v>
      </c>
      <c r="E29" s="126">
        <v>4</v>
      </c>
      <c r="F29" s="127" t="s">
        <v>284</v>
      </c>
      <c r="G29" s="128" t="s">
        <v>285</v>
      </c>
      <c r="H29" s="129" t="s">
        <v>286</v>
      </c>
    </row>
    <row r="30" spans="2:8" ht="54.95" customHeight="1">
      <c r="B30" s="105" t="s">
        <v>79</v>
      </c>
      <c r="C30" s="42" t="s">
        <v>287</v>
      </c>
      <c r="D30" s="137" t="s">
        <v>263</v>
      </c>
      <c r="E30" s="126">
        <v>4</v>
      </c>
      <c r="F30" s="127" t="s">
        <v>288</v>
      </c>
      <c r="G30" s="128" t="s">
        <v>289</v>
      </c>
      <c r="H30" s="129" t="s">
        <v>290</v>
      </c>
    </row>
    <row r="31" spans="2:8" ht="18" customHeight="1">
      <c r="B31" s="105" t="s">
        <v>81</v>
      </c>
      <c r="C31" s="42" t="s">
        <v>291</v>
      </c>
      <c r="D31" s="137" t="s">
        <v>263</v>
      </c>
      <c r="E31" s="126">
        <v>2</v>
      </c>
      <c r="F31" s="127" t="s">
        <v>327</v>
      </c>
      <c r="G31" s="128" t="s">
        <v>328</v>
      </c>
      <c r="H31" s="129" t="s">
        <v>329</v>
      </c>
    </row>
    <row r="32" spans="2:8" ht="30" customHeight="1">
      <c r="B32" s="105" t="s">
        <v>84</v>
      </c>
      <c r="C32" s="42" t="s">
        <v>292</v>
      </c>
      <c r="D32" s="138" t="s">
        <v>236</v>
      </c>
      <c r="E32" s="126">
        <v>8</v>
      </c>
      <c r="F32" s="139" t="s">
        <v>293</v>
      </c>
      <c r="G32" s="128" t="s">
        <v>294</v>
      </c>
      <c r="H32" s="140" t="s">
        <v>295</v>
      </c>
    </row>
    <row r="33" spans="2:8" ht="20.100000000000001" customHeight="1">
      <c r="B33" s="102" t="s">
        <v>296</v>
      </c>
      <c r="C33" s="103"/>
      <c r="D33" s="1"/>
      <c r="E33" s="1"/>
      <c r="F33" s="1"/>
      <c r="G33" s="1"/>
      <c r="H33" s="2"/>
    </row>
    <row r="34" spans="2:8" ht="39.950000000000003" customHeight="1">
      <c r="B34" s="141" t="s">
        <v>297</v>
      </c>
      <c r="C34" s="173" t="s">
        <v>298</v>
      </c>
      <c r="D34" s="199"/>
      <c r="E34" s="199"/>
      <c r="F34" s="199"/>
      <c r="G34" s="199"/>
      <c r="H34" s="200"/>
    </row>
    <row r="35" spans="2:8" ht="20.100000000000001" customHeight="1">
      <c r="B35" s="143" t="s">
        <v>88</v>
      </c>
      <c r="C35" s="42" t="s">
        <v>89</v>
      </c>
      <c r="D35" s="137" t="s">
        <v>244</v>
      </c>
      <c r="E35" s="126">
        <v>1</v>
      </c>
      <c r="F35" s="144" t="s">
        <v>299</v>
      </c>
      <c r="G35" s="145" t="s">
        <v>300</v>
      </c>
      <c r="H35" s="121"/>
    </row>
    <row r="36" spans="2:8" ht="20.100000000000001" customHeight="1">
      <c r="B36" s="130" t="s">
        <v>241</v>
      </c>
      <c r="C36" s="131" t="s">
        <v>391</v>
      </c>
      <c r="D36" s="1"/>
      <c r="E36" s="1"/>
      <c r="F36" s="1"/>
      <c r="G36" s="1"/>
      <c r="H36" s="2"/>
    </row>
    <row r="37" spans="2:8" ht="20.100000000000001" customHeight="1">
      <c r="B37" s="143" t="s">
        <v>91</v>
      </c>
      <c r="C37" s="42" t="s">
        <v>92</v>
      </c>
      <c r="D37" s="137" t="s">
        <v>244</v>
      </c>
      <c r="E37" s="126">
        <v>1</v>
      </c>
      <c r="F37" s="144" t="s">
        <v>299</v>
      </c>
      <c r="G37" s="145" t="s">
        <v>300</v>
      </c>
      <c r="H37" s="121"/>
    </row>
    <row r="38" spans="2:8" ht="20.100000000000001" customHeight="1">
      <c r="B38" s="143" t="s">
        <v>94</v>
      </c>
      <c r="C38" s="42" t="s">
        <v>302</v>
      </c>
      <c r="D38" s="137" t="s">
        <v>244</v>
      </c>
      <c r="E38" s="126">
        <v>0</v>
      </c>
      <c r="F38" s="144" t="s">
        <v>299</v>
      </c>
      <c r="G38" s="145" t="s">
        <v>300</v>
      </c>
      <c r="H38" s="121"/>
    </row>
    <row r="39" spans="2:8" ht="20.100000000000001" customHeight="1">
      <c r="B39" s="143" t="s">
        <v>97</v>
      </c>
      <c r="C39" s="42" t="s">
        <v>98</v>
      </c>
      <c r="D39" s="137" t="s">
        <v>244</v>
      </c>
      <c r="E39" s="126">
        <v>1</v>
      </c>
      <c r="F39" s="144" t="s">
        <v>299</v>
      </c>
      <c r="G39" s="145" t="s">
        <v>300</v>
      </c>
      <c r="H39" s="121"/>
    </row>
    <row r="40" spans="2:8" ht="20.100000000000001" customHeight="1">
      <c r="B40" s="143" t="s">
        <v>100</v>
      </c>
      <c r="C40" s="42" t="s">
        <v>101</v>
      </c>
      <c r="D40" s="137" t="s">
        <v>244</v>
      </c>
      <c r="E40" s="126">
        <v>0</v>
      </c>
      <c r="F40" s="144" t="s">
        <v>299</v>
      </c>
      <c r="G40" s="145" t="s">
        <v>300</v>
      </c>
      <c r="H40" s="121"/>
    </row>
    <row r="41" spans="2:8" ht="18" customHeight="1">
      <c r="B41" s="143" t="s">
        <v>103</v>
      </c>
      <c r="C41" s="42" t="s">
        <v>104</v>
      </c>
      <c r="D41" s="84" t="s">
        <v>244</v>
      </c>
      <c r="E41" s="146"/>
      <c r="F41" s="127" t="s">
        <v>299</v>
      </c>
      <c r="G41" s="128" t="s">
        <v>300</v>
      </c>
      <c r="H41" s="129" t="s">
        <v>298</v>
      </c>
    </row>
    <row r="42" spans="2:8" ht="30" customHeight="1">
      <c r="B42" s="143" t="s">
        <v>106</v>
      </c>
      <c r="C42" s="42" t="s">
        <v>303</v>
      </c>
      <c r="D42" s="84" t="s">
        <v>244</v>
      </c>
      <c r="E42" s="146"/>
      <c r="F42" s="127" t="s">
        <v>299</v>
      </c>
      <c r="G42" s="128" t="s">
        <v>300</v>
      </c>
      <c r="H42" s="129" t="s">
        <v>298</v>
      </c>
    </row>
    <row r="43" spans="2:8" ht="20.100000000000001" customHeight="1">
      <c r="B43" s="102" t="s">
        <v>304</v>
      </c>
      <c r="C43" s="103"/>
      <c r="D43" s="103"/>
      <c r="E43" s="103"/>
      <c r="F43" s="103"/>
      <c r="G43" s="103"/>
      <c r="H43" s="103"/>
    </row>
    <row r="44" spans="2:8" ht="20.100000000000001" customHeight="1">
      <c r="B44" s="141" t="s">
        <v>297</v>
      </c>
      <c r="C44" s="142" t="s">
        <v>298</v>
      </c>
      <c r="D44" s="1"/>
      <c r="E44" s="1"/>
      <c r="F44" s="1"/>
      <c r="G44" s="1"/>
      <c r="H44" s="2"/>
    </row>
    <row r="45" spans="2:8" ht="20.100000000000001" customHeight="1">
      <c r="B45" s="143" t="s">
        <v>110</v>
      </c>
      <c r="C45" s="42" t="s">
        <v>111</v>
      </c>
      <c r="D45" s="137" t="s">
        <v>244</v>
      </c>
      <c r="E45" s="126">
        <v>1</v>
      </c>
      <c r="F45" s="144" t="s">
        <v>299</v>
      </c>
      <c r="G45" s="145" t="s">
        <v>300</v>
      </c>
      <c r="H45" s="121"/>
    </row>
    <row r="46" spans="2:8" ht="20.100000000000001" customHeight="1">
      <c r="B46" s="143" t="s">
        <v>113</v>
      </c>
      <c r="C46" s="42" t="s">
        <v>114</v>
      </c>
      <c r="D46" s="137" t="s">
        <v>244</v>
      </c>
      <c r="E46" s="126">
        <v>1</v>
      </c>
      <c r="F46" s="144" t="s">
        <v>299</v>
      </c>
      <c r="G46" s="145" t="s">
        <v>300</v>
      </c>
      <c r="H46" s="121"/>
    </row>
    <row r="47" spans="2:8" ht="18" customHeight="1">
      <c r="B47" s="143" t="s">
        <v>116</v>
      </c>
      <c r="C47" s="42" t="s">
        <v>117</v>
      </c>
      <c r="D47" s="84" t="s">
        <v>244</v>
      </c>
      <c r="E47" s="146"/>
      <c r="F47" s="127" t="s">
        <v>299</v>
      </c>
      <c r="G47" s="128" t="s">
        <v>300</v>
      </c>
      <c r="H47" s="129" t="s">
        <v>298</v>
      </c>
    </row>
    <row r="48" spans="2:8" ht="30" customHeight="1">
      <c r="B48" s="143" t="s">
        <v>119</v>
      </c>
      <c r="C48" s="42" t="s">
        <v>120</v>
      </c>
      <c r="D48" s="84" t="s">
        <v>244</v>
      </c>
      <c r="E48" s="146"/>
      <c r="F48" s="127" t="s">
        <v>299</v>
      </c>
      <c r="G48" s="128" t="s">
        <v>300</v>
      </c>
      <c r="H48" s="129" t="s">
        <v>298</v>
      </c>
    </row>
    <row r="49" spans="2:8" ht="20.100000000000001" customHeight="1">
      <c r="B49" s="102" t="s">
        <v>306</v>
      </c>
      <c r="C49" s="103"/>
      <c r="D49" s="1"/>
      <c r="E49" s="1"/>
      <c r="F49" s="1"/>
      <c r="G49" s="1"/>
      <c r="H49" s="2"/>
    </row>
    <row r="50" spans="2:8" ht="39.950000000000003" customHeight="1">
      <c r="B50" s="141" t="s">
        <v>297</v>
      </c>
      <c r="C50" s="173" t="s">
        <v>298</v>
      </c>
      <c r="D50" s="199"/>
      <c r="E50" s="199"/>
      <c r="F50" s="199"/>
      <c r="G50" s="199"/>
      <c r="H50" s="200"/>
    </row>
    <row r="51" spans="2:8" ht="20.100000000000001" customHeight="1">
      <c r="B51" s="143" t="s">
        <v>123</v>
      </c>
      <c r="C51" s="42" t="s">
        <v>307</v>
      </c>
      <c r="D51" s="137" t="s">
        <v>244</v>
      </c>
      <c r="E51" s="126">
        <v>0</v>
      </c>
      <c r="F51" s="144" t="s">
        <v>299</v>
      </c>
      <c r="G51" s="145" t="s">
        <v>300</v>
      </c>
      <c r="H51" s="121"/>
    </row>
    <row r="52" spans="2:8" ht="20.100000000000001" customHeight="1">
      <c r="B52" s="130" t="s">
        <v>241</v>
      </c>
      <c r="C52" s="150" t="s">
        <v>392</v>
      </c>
      <c r="D52" s="1"/>
      <c r="E52" s="1"/>
      <c r="F52" s="1"/>
      <c r="G52" s="1"/>
      <c r="H52" s="2"/>
    </row>
    <row r="53" spans="2:8" ht="20.100000000000001" customHeight="1">
      <c r="B53" s="143" t="s">
        <v>126</v>
      </c>
      <c r="C53" s="42" t="s">
        <v>309</v>
      </c>
      <c r="D53" s="137" t="s">
        <v>244</v>
      </c>
      <c r="E53" s="126">
        <v>0</v>
      </c>
      <c r="F53" s="144" t="s">
        <v>299</v>
      </c>
      <c r="G53" s="145" t="s">
        <v>300</v>
      </c>
      <c r="H53" s="121"/>
    </row>
    <row r="54" spans="2:8" ht="20.100000000000001" customHeight="1">
      <c r="B54" s="143" t="s">
        <v>129</v>
      </c>
      <c r="C54" s="42" t="s">
        <v>130</v>
      </c>
      <c r="D54" s="137" t="s">
        <v>244</v>
      </c>
      <c r="E54" s="126">
        <v>0</v>
      </c>
      <c r="F54" s="144" t="s">
        <v>299</v>
      </c>
      <c r="G54" s="145" t="s">
        <v>300</v>
      </c>
      <c r="H54" s="121"/>
    </row>
    <row r="55" spans="2:8" ht="18" customHeight="1">
      <c r="B55" s="143" t="s">
        <v>132</v>
      </c>
      <c r="C55" s="42" t="s">
        <v>310</v>
      </c>
      <c r="D55" s="1"/>
      <c r="E55" s="1"/>
      <c r="F55" s="1"/>
      <c r="G55" s="1"/>
      <c r="H55" s="2"/>
    </row>
    <row r="56" spans="2:8" ht="30" customHeight="1">
      <c r="B56" s="143" t="s">
        <v>135</v>
      </c>
      <c r="C56" s="177" t="s">
        <v>311</v>
      </c>
      <c r="D56" s="199"/>
      <c r="E56" s="199"/>
      <c r="F56" s="199"/>
      <c r="G56" s="199"/>
      <c r="H56" s="200"/>
    </row>
    <row r="57" spans="2:8" ht="20.100000000000001" customHeight="1">
      <c r="B57" s="102" t="s">
        <v>313</v>
      </c>
      <c r="C57" s="103"/>
      <c r="D57" s="103"/>
      <c r="E57" s="103"/>
      <c r="F57" s="103"/>
      <c r="G57" s="103"/>
      <c r="H57" s="103"/>
    </row>
    <row r="58" spans="2:8" ht="20.100000000000001" customHeight="1">
      <c r="B58" s="141" t="s">
        <v>297</v>
      </c>
      <c r="C58" s="142" t="s">
        <v>298</v>
      </c>
      <c r="D58" s="1"/>
      <c r="E58" s="1"/>
      <c r="F58" s="1"/>
      <c r="G58" s="1"/>
      <c r="H58" s="2"/>
    </row>
    <row r="59" spans="2:8" ht="20.100000000000001" customHeight="1">
      <c r="B59" s="143" t="s">
        <v>139</v>
      </c>
      <c r="C59" s="42" t="s">
        <v>314</v>
      </c>
      <c r="D59" s="137" t="s">
        <v>244</v>
      </c>
      <c r="E59" s="126">
        <v>1</v>
      </c>
      <c r="F59" s="144" t="s">
        <v>299</v>
      </c>
      <c r="G59" s="145" t="s">
        <v>300</v>
      </c>
      <c r="H59" s="121"/>
    </row>
    <row r="60" spans="2:8" ht="20.100000000000001" customHeight="1">
      <c r="B60" s="143" t="s">
        <v>142</v>
      </c>
      <c r="C60" s="42" t="s">
        <v>143</v>
      </c>
      <c r="D60" s="137" t="s">
        <v>244</v>
      </c>
      <c r="E60" s="126">
        <v>1</v>
      </c>
      <c r="F60" s="144" t="s">
        <v>299</v>
      </c>
      <c r="G60" s="145" t="s">
        <v>300</v>
      </c>
      <c r="H60" s="121"/>
    </row>
    <row r="61" spans="2:8" ht="20.100000000000001" customHeight="1">
      <c r="B61" s="143" t="s">
        <v>145</v>
      </c>
      <c r="C61" s="42" t="s">
        <v>315</v>
      </c>
      <c r="D61" s="137" t="s">
        <v>244</v>
      </c>
      <c r="E61" s="126">
        <v>1</v>
      </c>
      <c r="F61" s="144" t="s">
        <v>299</v>
      </c>
      <c r="G61" s="145" t="s">
        <v>300</v>
      </c>
      <c r="H61" s="121"/>
    </row>
    <row r="62" spans="2:8" ht="20.100000000000001" customHeight="1">
      <c r="B62" s="143" t="s">
        <v>148</v>
      </c>
      <c r="C62" s="42" t="s">
        <v>316</v>
      </c>
      <c r="D62" s="137" t="s">
        <v>244</v>
      </c>
      <c r="E62" s="126">
        <v>0</v>
      </c>
      <c r="F62" s="144" t="s">
        <v>299</v>
      </c>
      <c r="G62" s="145" t="s">
        <v>300</v>
      </c>
      <c r="H62" s="121"/>
    </row>
    <row r="63" spans="2:8" ht="18" customHeight="1">
      <c r="B63" s="143" t="s">
        <v>151</v>
      </c>
      <c r="C63" s="42" t="s">
        <v>152</v>
      </c>
      <c r="D63" s="1"/>
      <c r="E63" s="1"/>
      <c r="F63" s="1"/>
      <c r="G63" s="1"/>
      <c r="H63" s="2"/>
    </row>
    <row r="64" spans="2:8" ht="30" customHeight="1">
      <c r="B64" s="143" t="s">
        <v>154</v>
      </c>
      <c r="C64" s="177" t="s">
        <v>155</v>
      </c>
      <c r="D64" s="199"/>
      <c r="E64" s="199"/>
      <c r="F64" s="199"/>
      <c r="G64" s="199"/>
      <c r="H64" s="200"/>
    </row>
    <row r="65" spans="2:8" ht="20.100000000000001" customHeight="1">
      <c r="B65" s="141" t="s">
        <v>297</v>
      </c>
      <c r="C65" s="142" t="s">
        <v>298</v>
      </c>
      <c r="D65" s="1"/>
      <c r="E65" s="1"/>
      <c r="F65" s="1"/>
      <c r="G65" s="1"/>
      <c r="H65" s="2"/>
    </row>
    <row r="67" spans="2:8" ht="30" customHeight="1">
      <c r="B67" s="147" t="s">
        <v>317</v>
      </c>
      <c r="C67" s="170" t="s">
        <v>318</v>
      </c>
      <c r="D67" s="199"/>
      <c r="E67" s="199"/>
      <c r="F67" s="199"/>
      <c r="G67" s="199"/>
      <c r="H67" s="200"/>
    </row>
  </sheetData>
  <mergeCells count="8">
    <mergeCell ref="C67:H67"/>
    <mergeCell ref="C16:H16"/>
    <mergeCell ref="C50:H50"/>
    <mergeCell ref="N12:O12"/>
    <mergeCell ref="C64:H64"/>
    <mergeCell ref="C56:H56"/>
    <mergeCell ref="H12:M12"/>
    <mergeCell ref="C34:H3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5" tint="0.39997558519241921"/>
  </sheetPr>
  <dimension ref="B1:O67"/>
  <sheetViews>
    <sheetView workbookViewId="0">
      <selection activeCell="C21" sqref="C21"/>
    </sheetView>
  </sheetViews>
  <sheetFormatPr defaultRowHeight="14.45"/>
  <cols>
    <col min="1" max="1" width="2" customWidth="1"/>
    <col min="2" max="2" width="28" customWidth="1"/>
    <col min="3" max="3" width="45" bestFit="1" customWidth="1"/>
    <col min="4" max="4" width="18" customWidth="1"/>
    <col min="5" max="7" width="14" customWidth="1"/>
    <col min="8" max="8" width="55" customWidth="1"/>
    <col min="9" max="13" width="30.140625" customWidth="1"/>
  </cols>
  <sheetData>
    <row r="1" spans="2:15" ht="27.95" customHeight="1">
      <c r="B1" s="118" t="s">
        <v>393</v>
      </c>
      <c r="C1" s="68"/>
      <c r="D1" s="68"/>
      <c r="E1" s="68"/>
      <c r="F1" s="68"/>
      <c r="G1" s="68"/>
      <c r="H1" s="68"/>
    </row>
    <row r="2" spans="2:15" ht="15.95" customHeight="1">
      <c r="B2" s="19" t="s">
        <v>216</v>
      </c>
      <c r="C2" s="43" t="s">
        <v>217</v>
      </c>
      <c r="D2" s="43" t="s">
        <v>218</v>
      </c>
      <c r="E2" s="103"/>
      <c r="F2" s="103"/>
      <c r="G2" s="103"/>
      <c r="H2" s="43" t="s">
        <v>219</v>
      </c>
    </row>
    <row r="3" spans="2:15" ht="15.95" customHeight="1">
      <c r="B3" s="119" t="s">
        <v>220</v>
      </c>
      <c r="C3" s="42" t="s">
        <v>394</v>
      </c>
      <c r="D3" s="121"/>
      <c r="E3" s="121"/>
      <c r="F3" s="121"/>
      <c r="G3" s="121"/>
      <c r="H3" s="121"/>
    </row>
    <row r="4" spans="2:15" ht="15.95" customHeight="1">
      <c r="B4" s="119" t="s">
        <v>199</v>
      </c>
      <c r="C4" s="42" t="s">
        <v>395</v>
      </c>
      <c r="D4" s="121"/>
      <c r="E4" s="121"/>
      <c r="F4" s="121"/>
      <c r="G4" s="121"/>
      <c r="H4" s="121"/>
    </row>
    <row r="5" spans="2:15" ht="15.95" customHeight="1">
      <c r="B5" s="119" t="s">
        <v>224</v>
      </c>
      <c r="C5" s="42" t="s">
        <v>29</v>
      </c>
      <c r="D5" s="121"/>
      <c r="E5" s="121"/>
      <c r="F5" s="121"/>
      <c r="G5" s="121"/>
      <c r="H5" s="121"/>
    </row>
    <row r="6" spans="2:15" ht="15.95" customHeight="1">
      <c r="B6" s="119" t="s">
        <v>226</v>
      </c>
      <c r="C6" s="42" t="s">
        <v>170</v>
      </c>
      <c r="D6" s="121"/>
      <c r="E6" s="121"/>
      <c r="F6" s="121"/>
      <c r="G6" s="121"/>
      <c r="H6" s="121"/>
    </row>
    <row r="7" spans="2:15" ht="15.95" customHeight="1">
      <c r="B7" s="119" t="s">
        <v>227</v>
      </c>
      <c r="C7" s="42" t="s">
        <v>396</v>
      </c>
      <c r="D7" s="121"/>
      <c r="E7" s="121"/>
      <c r="F7" s="121"/>
      <c r="G7" s="121"/>
      <c r="H7" s="121"/>
    </row>
    <row r="8" spans="2:15" ht="15.95" customHeight="1">
      <c r="B8" s="119" t="s">
        <v>229</v>
      </c>
      <c r="C8" s="42" t="s">
        <v>397</v>
      </c>
      <c r="D8" s="121"/>
      <c r="E8" s="121"/>
      <c r="F8" s="121"/>
      <c r="G8" s="121"/>
      <c r="H8" s="121"/>
    </row>
    <row r="9" spans="2:15" ht="15.95" customHeight="1">
      <c r="B9" s="119" t="s">
        <v>231</v>
      </c>
      <c r="C9" s="42"/>
      <c r="D9" s="121"/>
      <c r="E9" s="121"/>
      <c r="F9" s="121"/>
      <c r="G9" s="121"/>
      <c r="H9" s="121"/>
    </row>
    <row r="10" spans="2:15" ht="15.95" customHeight="1">
      <c r="B10" s="119" t="s">
        <v>201</v>
      </c>
      <c r="C10" s="42" t="s">
        <v>398</v>
      </c>
      <c r="D10" s="121"/>
      <c r="E10" s="121"/>
      <c r="F10" s="121"/>
      <c r="G10" s="121"/>
      <c r="H10" s="121"/>
    </row>
    <row r="11" spans="2:15" ht="15.95" customHeight="1">
      <c r="B11" s="119" t="s">
        <v>203</v>
      </c>
      <c r="C11" s="42" t="s">
        <v>12</v>
      </c>
      <c r="D11" s="121"/>
      <c r="E11" s="121"/>
      <c r="F11" s="121"/>
      <c r="G11" s="121"/>
      <c r="H11" s="121"/>
    </row>
    <row r="12" spans="2:15" ht="15.95" customHeight="1">
      <c r="B12" s="119" t="s">
        <v>232</v>
      </c>
      <c r="C12" s="3">
        <v>2000000000</v>
      </c>
      <c r="D12" s="121"/>
      <c r="E12" s="121"/>
      <c r="F12" s="121"/>
      <c r="G12" s="121"/>
      <c r="H12" s="174"/>
      <c r="I12" s="199"/>
      <c r="J12" s="199"/>
      <c r="K12" s="199"/>
      <c r="L12" s="199"/>
      <c r="M12" s="200"/>
      <c r="N12" s="201"/>
      <c r="O12" s="201"/>
    </row>
    <row r="13" spans="2:15" ht="15.95" customHeight="1">
      <c r="B13" s="119" t="s">
        <v>161</v>
      </c>
      <c r="C13" s="42" t="s">
        <v>233</v>
      </c>
      <c r="D13" s="121"/>
      <c r="E13" s="121"/>
      <c r="F13" s="121"/>
      <c r="G13" s="121"/>
      <c r="H13" s="121"/>
    </row>
    <row r="14" spans="2:15" ht="15.95" customHeight="1">
      <c r="B14" s="68"/>
      <c r="C14" s="68"/>
      <c r="D14" s="68"/>
      <c r="E14" s="68"/>
      <c r="F14" s="68"/>
      <c r="G14" s="68"/>
      <c r="H14" s="68"/>
      <c r="I14" s="1"/>
      <c r="J14" s="1"/>
      <c r="K14" s="1"/>
      <c r="L14" s="1"/>
      <c r="M14" s="2"/>
    </row>
    <row r="15" spans="2:15" ht="54.95" customHeight="1">
      <c r="B15" s="123" t="s">
        <v>46</v>
      </c>
      <c r="C15" s="124" t="s">
        <v>47</v>
      </c>
      <c r="D15" s="1"/>
      <c r="E15" s="1"/>
      <c r="F15" s="1"/>
      <c r="G15" s="1"/>
      <c r="H15" s="2"/>
    </row>
    <row r="16" spans="2:15" ht="39.950000000000003" customHeight="1">
      <c r="B16" s="102" t="s">
        <v>234</v>
      </c>
      <c r="C16" s="172"/>
      <c r="D16" s="199"/>
      <c r="E16" s="199"/>
      <c r="F16" s="199"/>
      <c r="G16" s="199"/>
      <c r="H16" s="200"/>
    </row>
    <row r="17" spans="2:8" ht="54.95" customHeight="1">
      <c r="B17" s="105" t="s">
        <v>52</v>
      </c>
      <c r="C17" s="119" t="s">
        <v>235</v>
      </c>
      <c r="D17" s="125" t="s">
        <v>236</v>
      </c>
      <c r="E17" s="126">
        <v>8</v>
      </c>
      <c r="F17" s="127" t="s">
        <v>237</v>
      </c>
      <c r="G17" s="128" t="s">
        <v>238</v>
      </c>
      <c r="H17" s="129" t="s">
        <v>239</v>
      </c>
    </row>
    <row r="18" spans="2:8" ht="54.95" customHeight="1">
      <c r="B18" s="130" t="s">
        <v>241</v>
      </c>
      <c r="C18" s="131" t="s">
        <v>399</v>
      </c>
      <c r="D18" s="1"/>
      <c r="E18" s="1"/>
      <c r="F18" s="1"/>
      <c r="G18" s="1"/>
      <c r="H18" s="2"/>
    </row>
    <row r="19" spans="2:8" ht="54.95" customHeight="1">
      <c r="B19" s="105" t="s">
        <v>56</v>
      </c>
      <c r="C19" s="119" t="s">
        <v>243</v>
      </c>
      <c r="D19" s="125" t="s">
        <v>244</v>
      </c>
      <c r="E19" s="126">
        <v>1</v>
      </c>
      <c r="F19" s="127" t="s">
        <v>245</v>
      </c>
      <c r="G19" s="128" t="s">
        <v>246</v>
      </c>
      <c r="H19" s="129" t="s">
        <v>247</v>
      </c>
    </row>
    <row r="20" spans="2:8" ht="18" customHeight="1">
      <c r="B20" s="105" t="s">
        <v>59</v>
      </c>
      <c r="C20" s="119" t="s">
        <v>248</v>
      </c>
      <c r="D20" s="125" t="s">
        <v>244</v>
      </c>
      <c r="E20" s="126">
        <v>1</v>
      </c>
      <c r="F20" s="127" t="s">
        <v>249</v>
      </c>
      <c r="G20" s="128" t="s">
        <v>250</v>
      </c>
      <c r="H20" s="129" t="s">
        <v>251</v>
      </c>
    </row>
    <row r="21" spans="2:8" ht="15.95" customHeight="1">
      <c r="B21" s="105" t="s">
        <v>62</v>
      </c>
      <c r="C21" s="119" t="s">
        <v>252</v>
      </c>
      <c r="D21" s="125" t="s">
        <v>244</v>
      </c>
      <c r="E21" s="126">
        <v>0</v>
      </c>
      <c r="F21" s="127" t="s">
        <v>253</v>
      </c>
      <c r="G21" s="128" t="s">
        <v>254</v>
      </c>
      <c r="H21" s="129" t="s">
        <v>255</v>
      </c>
    </row>
    <row r="22" spans="2:8" ht="54.95" customHeight="1">
      <c r="B22" s="102" t="s">
        <v>256</v>
      </c>
      <c r="C22" s="103"/>
      <c r="D22" s="103"/>
      <c r="E22" s="103"/>
      <c r="F22" s="103"/>
      <c r="G22" s="103"/>
      <c r="H22" s="103"/>
    </row>
    <row r="23" spans="2:8" ht="54.95" customHeight="1">
      <c r="B23" s="132" t="s">
        <v>46</v>
      </c>
      <c r="C23" s="133" t="s">
        <v>47</v>
      </c>
      <c r="D23" s="132" t="s">
        <v>257</v>
      </c>
      <c r="E23" s="134" t="s">
        <v>258</v>
      </c>
      <c r="F23" s="135" t="s">
        <v>259</v>
      </c>
      <c r="G23" s="136" t="s">
        <v>260</v>
      </c>
      <c r="H23" s="133" t="s">
        <v>261</v>
      </c>
    </row>
    <row r="24" spans="2:8" ht="54.95" customHeight="1">
      <c r="B24" s="105" t="s">
        <v>66</v>
      </c>
      <c r="C24" s="42" t="s">
        <v>262</v>
      </c>
      <c r="D24" s="137" t="s">
        <v>263</v>
      </c>
      <c r="E24" s="126">
        <v>3</v>
      </c>
      <c r="F24" s="127" t="s">
        <v>264</v>
      </c>
      <c r="G24" s="128" t="s">
        <v>265</v>
      </c>
      <c r="H24" s="129" t="s">
        <v>266</v>
      </c>
    </row>
    <row r="25" spans="2:8" ht="54.95" customHeight="1">
      <c r="B25" s="105" t="s">
        <v>69</v>
      </c>
      <c r="C25" s="42" t="s">
        <v>267</v>
      </c>
      <c r="D25" s="137" t="s">
        <v>263</v>
      </c>
      <c r="E25" s="126">
        <v>2</v>
      </c>
      <c r="F25" s="127" t="s">
        <v>268</v>
      </c>
      <c r="G25" s="128" t="s">
        <v>269</v>
      </c>
      <c r="H25" s="129" t="s">
        <v>270</v>
      </c>
    </row>
    <row r="26" spans="2:8" ht="54.95" customHeight="1">
      <c r="B26" s="105" t="s">
        <v>71</v>
      </c>
      <c r="C26" s="42" t="s">
        <v>271</v>
      </c>
      <c r="D26" s="137" t="s">
        <v>263</v>
      </c>
      <c r="E26" s="126">
        <v>4</v>
      </c>
      <c r="F26" s="127" t="s">
        <v>272</v>
      </c>
      <c r="G26" s="128" t="s">
        <v>273</v>
      </c>
      <c r="H26" s="129" t="s">
        <v>274</v>
      </c>
    </row>
    <row r="27" spans="2:8" ht="54.95" customHeight="1">
      <c r="B27" s="105" t="s">
        <v>73</v>
      </c>
      <c r="C27" s="42" t="s">
        <v>275</v>
      </c>
      <c r="D27" s="137" t="s">
        <v>263</v>
      </c>
      <c r="E27" s="126">
        <v>2</v>
      </c>
      <c r="F27" s="127" t="s">
        <v>276</v>
      </c>
      <c r="G27" s="128" t="s">
        <v>277</v>
      </c>
      <c r="H27" s="129" t="s">
        <v>278</v>
      </c>
    </row>
    <row r="28" spans="2:8" ht="54.95" customHeight="1">
      <c r="B28" s="105" t="s">
        <v>75</v>
      </c>
      <c r="C28" s="42" t="s">
        <v>279</v>
      </c>
      <c r="D28" s="137" t="s">
        <v>263</v>
      </c>
      <c r="E28" s="126">
        <v>5</v>
      </c>
      <c r="F28" s="127" t="s">
        <v>280</v>
      </c>
      <c r="G28" s="128" t="s">
        <v>281</v>
      </c>
      <c r="H28" s="129" t="s">
        <v>282</v>
      </c>
    </row>
    <row r="29" spans="2:8" ht="54.95" customHeight="1">
      <c r="B29" s="105" t="s">
        <v>77</v>
      </c>
      <c r="C29" s="42" t="s">
        <v>283</v>
      </c>
      <c r="D29" s="137" t="s">
        <v>263</v>
      </c>
      <c r="E29" s="126">
        <v>2</v>
      </c>
      <c r="F29" s="127" t="s">
        <v>284</v>
      </c>
      <c r="G29" s="128" t="s">
        <v>285</v>
      </c>
      <c r="H29" s="129" t="s">
        <v>286</v>
      </c>
    </row>
    <row r="30" spans="2:8" ht="54.95" customHeight="1">
      <c r="B30" s="105" t="s">
        <v>79</v>
      </c>
      <c r="C30" s="42" t="s">
        <v>287</v>
      </c>
      <c r="D30" s="137" t="s">
        <v>263</v>
      </c>
      <c r="E30" s="126">
        <v>4</v>
      </c>
      <c r="F30" s="127" t="s">
        <v>288</v>
      </c>
      <c r="G30" s="128" t="s">
        <v>289</v>
      </c>
      <c r="H30" s="129" t="s">
        <v>290</v>
      </c>
    </row>
    <row r="31" spans="2:8" ht="18" customHeight="1">
      <c r="B31" s="105" t="s">
        <v>81</v>
      </c>
      <c r="C31" s="42" t="s">
        <v>291</v>
      </c>
      <c r="D31" s="137" t="s">
        <v>263</v>
      </c>
      <c r="E31" s="126">
        <v>4</v>
      </c>
      <c r="F31" s="127" t="s">
        <v>327</v>
      </c>
      <c r="G31" s="128" t="s">
        <v>328</v>
      </c>
      <c r="H31" s="129" t="s">
        <v>329</v>
      </c>
    </row>
    <row r="32" spans="2:8" ht="30" customHeight="1">
      <c r="B32" s="105" t="s">
        <v>84</v>
      </c>
      <c r="C32" s="42" t="s">
        <v>292</v>
      </c>
      <c r="D32" s="138" t="s">
        <v>236</v>
      </c>
      <c r="E32" s="126">
        <v>6</v>
      </c>
      <c r="F32" s="139" t="s">
        <v>293</v>
      </c>
      <c r="G32" s="128" t="s">
        <v>294</v>
      </c>
      <c r="H32" s="140" t="s">
        <v>295</v>
      </c>
    </row>
    <row r="33" spans="2:8" ht="20.100000000000001" customHeight="1">
      <c r="B33" s="102" t="s">
        <v>296</v>
      </c>
      <c r="C33" s="103"/>
      <c r="D33" s="1"/>
      <c r="E33" s="1"/>
      <c r="F33" s="1"/>
      <c r="G33" s="1"/>
      <c r="H33" s="2"/>
    </row>
    <row r="34" spans="2:8" ht="39.950000000000003" customHeight="1">
      <c r="B34" s="141" t="s">
        <v>297</v>
      </c>
      <c r="C34" s="173" t="s">
        <v>298</v>
      </c>
      <c r="D34" s="199"/>
      <c r="E34" s="199"/>
      <c r="F34" s="199"/>
      <c r="G34" s="199"/>
      <c r="H34" s="200"/>
    </row>
    <row r="35" spans="2:8" ht="20.100000000000001" customHeight="1">
      <c r="B35" s="143" t="s">
        <v>88</v>
      </c>
      <c r="C35" s="42" t="s">
        <v>89</v>
      </c>
      <c r="D35" s="137" t="s">
        <v>244</v>
      </c>
      <c r="E35" s="126">
        <v>0</v>
      </c>
      <c r="F35" s="144" t="s">
        <v>299</v>
      </c>
      <c r="G35" s="145" t="s">
        <v>300</v>
      </c>
      <c r="H35" s="121"/>
    </row>
    <row r="36" spans="2:8" ht="20.100000000000001" customHeight="1">
      <c r="B36" s="130" t="s">
        <v>241</v>
      </c>
      <c r="C36" s="150" t="s">
        <v>381</v>
      </c>
      <c r="D36" s="1"/>
      <c r="E36" s="1"/>
      <c r="F36" s="1"/>
      <c r="G36" s="1"/>
      <c r="H36" s="2"/>
    </row>
    <row r="37" spans="2:8" ht="20.100000000000001" customHeight="1">
      <c r="B37" s="143" t="s">
        <v>91</v>
      </c>
      <c r="C37" s="42" t="s">
        <v>92</v>
      </c>
      <c r="D37" s="137" t="s">
        <v>244</v>
      </c>
      <c r="E37" s="126">
        <v>0</v>
      </c>
      <c r="F37" s="144" t="s">
        <v>299</v>
      </c>
      <c r="G37" s="145" t="s">
        <v>300</v>
      </c>
      <c r="H37" s="121"/>
    </row>
    <row r="38" spans="2:8" ht="20.100000000000001" customHeight="1">
      <c r="B38" s="143" t="s">
        <v>94</v>
      </c>
      <c r="C38" s="42" t="s">
        <v>302</v>
      </c>
      <c r="D38" s="137" t="s">
        <v>244</v>
      </c>
      <c r="E38" s="126">
        <v>0</v>
      </c>
      <c r="F38" s="144" t="s">
        <v>299</v>
      </c>
      <c r="G38" s="145" t="s">
        <v>300</v>
      </c>
      <c r="H38" s="121"/>
    </row>
    <row r="39" spans="2:8" ht="20.100000000000001" customHeight="1">
      <c r="B39" s="143" t="s">
        <v>97</v>
      </c>
      <c r="C39" s="42" t="s">
        <v>98</v>
      </c>
      <c r="D39" s="137" t="s">
        <v>244</v>
      </c>
      <c r="E39" s="126">
        <v>1</v>
      </c>
      <c r="F39" s="144" t="s">
        <v>299</v>
      </c>
      <c r="G39" s="145" t="s">
        <v>300</v>
      </c>
      <c r="H39" s="121"/>
    </row>
    <row r="40" spans="2:8" ht="20.100000000000001" customHeight="1">
      <c r="B40" s="143" t="s">
        <v>100</v>
      </c>
      <c r="C40" s="42" t="s">
        <v>101</v>
      </c>
      <c r="D40" s="137" t="s">
        <v>244</v>
      </c>
      <c r="E40" s="126">
        <v>1</v>
      </c>
      <c r="F40" s="144" t="s">
        <v>299</v>
      </c>
      <c r="G40" s="145" t="s">
        <v>300</v>
      </c>
      <c r="H40" s="121"/>
    </row>
    <row r="41" spans="2:8" ht="18" customHeight="1">
      <c r="B41" s="143" t="s">
        <v>103</v>
      </c>
      <c r="C41" s="42" t="s">
        <v>104</v>
      </c>
      <c r="D41" s="84" t="s">
        <v>244</v>
      </c>
      <c r="E41" s="146"/>
      <c r="F41" s="127" t="s">
        <v>299</v>
      </c>
      <c r="G41" s="128" t="s">
        <v>300</v>
      </c>
      <c r="H41" s="129" t="s">
        <v>298</v>
      </c>
    </row>
    <row r="42" spans="2:8" ht="30" customHeight="1">
      <c r="B42" s="143" t="s">
        <v>106</v>
      </c>
      <c r="C42" s="42" t="s">
        <v>303</v>
      </c>
      <c r="D42" s="84" t="s">
        <v>244</v>
      </c>
      <c r="E42" s="146"/>
      <c r="F42" s="127" t="s">
        <v>299</v>
      </c>
      <c r="G42" s="128" t="s">
        <v>300</v>
      </c>
      <c r="H42" s="129" t="s">
        <v>298</v>
      </c>
    </row>
    <row r="43" spans="2:8" ht="20.100000000000001" customHeight="1">
      <c r="B43" s="102" t="s">
        <v>304</v>
      </c>
      <c r="C43" s="103"/>
      <c r="D43" s="103"/>
      <c r="E43" s="103"/>
      <c r="F43" s="103"/>
      <c r="G43" s="103"/>
      <c r="H43" s="103"/>
    </row>
    <row r="44" spans="2:8" ht="20.100000000000001" customHeight="1">
      <c r="B44" s="141" t="s">
        <v>297</v>
      </c>
      <c r="C44" s="142" t="s">
        <v>298</v>
      </c>
      <c r="D44" s="1"/>
      <c r="E44" s="1"/>
      <c r="F44" s="1"/>
      <c r="G44" s="1"/>
      <c r="H44" s="2"/>
    </row>
    <row r="45" spans="2:8" ht="20.100000000000001" customHeight="1">
      <c r="B45" s="143" t="s">
        <v>110</v>
      </c>
      <c r="C45" s="42" t="s">
        <v>111</v>
      </c>
      <c r="D45" s="137" t="s">
        <v>244</v>
      </c>
      <c r="E45" s="126">
        <v>1</v>
      </c>
      <c r="F45" s="144" t="s">
        <v>299</v>
      </c>
      <c r="G45" s="145" t="s">
        <v>300</v>
      </c>
      <c r="H45" s="121"/>
    </row>
    <row r="46" spans="2:8" ht="20.100000000000001" customHeight="1">
      <c r="B46" s="143" t="s">
        <v>113</v>
      </c>
      <c r="C46" s="42" t="s">
        <v>114</v>
      </c>
      <c r="D46" s="137" t="s">
        <v>244</v>
      </c>
      <c r="E46" s="126">
        <v>0</v>
      </c>
      <c r="F46" s="144" t="s">
        <v>299</v>
      </c>
      <c r="G46" s="145" t="s">
        <v>300</v>
      </c>
      <c r="H46" s="121"/>
    </row>
    <row r="47" spans="2:8" ht="18" customHeight="1">
      <c r="B47" s="143" t="s">
        <v>116</v>
      </c>
      <c r="C47" s="42" t="s">
        <v>117</v>
      </c>
      <c r="D47" s="84" t="s">
        <v>244</v>
      </c>
      <c r="E47" s="146"/>
      <c r="F47" s="127" t="s">
        <v>299</v>
      </c>
      <c r="G47" s="128" t="s">
        <v>300</v>
      </c>
      <c r="H47" s="129" t="s">
        <v>298</v>
      </c>
    </row>
    <row r="48" spans="2:8" ht="30" customHeight="1">
      <c r="B48" s="143" t="s">
        <v>119</v>
      </c>
      <c r="C48" s="42" t="s">
        <v>120</v>
      </c>
      <c r="D48" s="84" t="s">
        <v>244</v>
      </c>
      <c r="E48" s="146"/>
      <c r="F48" s="127" t="s">
        <v>299</v>
      </c>
      <c r="G48" s="128" t="s">
        <v>300</v>
      </c>
      <c r="H48" s="129" t="s">
        <v>298</v>
      </c>
    </row>
    <row r="49" spans="2:8" ht="20.100000000000001" customHeight="1">
      <c r="B49" s="102" t="s">
        <v>306</v>
      </c>
      <c r="C49" s="103"/>
      <c r="D49" s="1"/>
      <c r="E49" s="1"/>
      <c r="F49" s="1"/>
      <c r="G49" s="1"/>
      <c r="H49" s="2"/>
    </row>
    <row r="50" spans="2:8" ht="39.950000000000003" customHeight="1">
      <c r="B50" s="141" t="s">
        <v>297</v>
      </c>
      <c r="C50" s="173" t="s">
        <v>298</v>
      </c>
      <c r="D50" s="199"/>
      <c r="E50" s="199"/>
      <c r="F50" s="199"/>
      <c r="G50" s="199"/>
      <c r="H50" s="200"/>
    </row>
    <row r="51" spans="2:8" ht="20.100000000000001" customHeight="1">
      <c r="B51" s="143" t="s">
        <v>123</v>
      </c>
      <c r="C51" s="42" t="s">
        <v>307</v>
      </c>
      <c r="D51" s="137" t="s">
        <v>244</v>
      </c>
      <c r="E51" s="126">
        <v>0</v>
      </c>
      <c r="F51" s="144" t="s">
        <v>299</v>
      </c>
      <c r="G51" s="145" t="s">
        <v>300</v>
      </c>
      <c r="H51" s="121"/>
    </row>
    <row r="52" spans="2:8" ht="20.100000000000001" customHeight="1">
      <c r="B52" s="130" t="s">
        <v>241</v>
      </c>
      <c r="C52" s="150" t="s">
        <v>392</v>
      </c>
      <c r="D52" s="1"/>
      <c r="E52" s="1"/>
      <c r="F52" s="1"/>
      <c r="G52" s="1"/>
      <c r="H52" s="2"/>
    </row>
    <row r="53" spans="2:8" ht="20.100000000000001" customHeight="1">
      <c r="B53" s="143" t="s">
        <v>126</v>
      </c>
      <c r="C53" s="42" t="s">
        <v>309</v>
      </c>
      <c r="D53" s="137" t="s">
        <v>244</v>
      </c>
      <c r="E53" s="126">
        <v>1</v>
      </c>
      <c r="F53" s="144" t="s">
        <v>299</v>
      </c>
      <c r="G53" s="145" t="s">
        <v>300</v>
      </c>
      <c r="H53" s="121"/>
    </row>
    <row r="54" spans="2:8" ht="20.100000000000001" customHeight="1">
      <c r="B54" s="143" t="s">
        <v>129</v>
      </c>
      <c r="C54" s="42" t="s">
        <v>130</v>
      </c>
      <c r="D54" s="137" t="s">
        <v>244</v>
      </c>
      <c r="E54" s="126">
        <v>1</v>
      </c>
      <c r="F54" s="144" t="s">
        <v>299</v>
      </c>
      <c r="G54" s="145" t="s">
        <v>300</v>
      </c>
      <c r="H54" s="121"/>
    </row>
    <row r="55" spans="2:8" ht="18" customHeight="1">
      <c r="B55" s="143" t="s">
        <v>132</v>
      </c>
      <c r="C55" s="42" t="s">
        <v>310</v>
      </c>
      <c r="D55" s="1"/>
      <c r="E55" s="155"/>
      <c r="F55" s="1"/>
      <c r="G55" s="1"/>
      <c r="H55" s="2"/>
    </row>
    <row r="56" spans="2:8" ht="30" customHeight="1">
      <c r="B56" s="143" t="s">
        <v>135</v>
      </c>
      <c r="C56" s="42" t="s">
        <v>311</v>
      </c>
      <c r="E56" s="156"/>
    </row>
    <row r="57" spans="2:8" ht="20.100000000000001" customHeight="1">
      <c r="B57" s="102" t="s">
        <v>313</v>
      </c>
      <c r="C57" s="103"/>
      <c r="D57" s="103"/>
      <c r="E57" s="103"/>
      <c r="F57" s="103"/>
      <c r="G57" s="103"/>
      <c r="H57" s="103"/>
    </row>
    <row r="58" spans="2:8" ht="20.100000000000001" customHeight="1">
      <c r="B58" s="141" t="s">
        <v>297</v>
      </c>
      <c r="C58" s="142" t="s">
        <v>298</v>
      </c>
      <c r="D58" s="1"/>
      <c r="E58" s="1"/>
      <c r="F58" s="1"/>
      <c r="G58" s="1"/>
      <c r="H58" s="2"/>
    </row>
    <row r="59" spans="2:8" ht="20.100000000000001" customHeight="1">
      <c r="B59" s="143" t="s">
        <v>139</v>
      </c>
      <c r="C59" s="42" t="s">
        <v>314</v>
      </c>
      <c r="D59" s="137" t="s">
        <v>244</v>
      </c>
      <c r="E59" s="126">
        <v>1</v>
      </c>
      <c r="F59" s="144" t="s">
        <v>299</v>
      </c>
      <c r="G59" s="145" t="s">
        <v>300</v>
      </c>
      <c r="H59" s="121"/>
    </row>
    <row r="60" spans="2:8" ht="20.100000000000001" customHeight="1">
      <c r="B60" s="143" t="s">
        <v>142</v>
      </c>
      <c r="C60" s="42" t="s">
        <v>143</v>
      </c>
      <c r="D60" s="137" t="s">
        <v>244</v>
      </c>
      <c r="E60" s="126">
        <v>1</v>
      </c>
      <c r="F60" s="144" t="s">
        <v>299</v>
      </c>
      <c r="G60" s="145" t="s">
        <v>300</v>
      </c>
      <c r="H60" s="121"/>
    </row>
    <row r="61" spans="2:8" ht="20.100000000000001" customHeight="1">
      <c r="B61" s="143" t="s">
        <v>145</v>
      </c>
      <c r="C61" s="42" t="s">
        <v>315</v>
      </c>
      <c r="D61" s="137" t="s">
        <v>244</v>
      </c>
      <c r="E61" s="126">
        <v>1</v>
      </c>
      <c r="F61" s="144" t="s">
        <v>299</v>
      </c>
      <c r="G61" s="145" t="s">
        <v>300</v>
      </c>
      <c r="H61" s="121"/>
    </row>
    <row r="62" spans="2:8" ht="20.100000000000001" customHeight="1">
      <c r="B62" s="143" t="s">
        <v>148</v>
      </c>
      <c r="C62" s="42" t="s">
        <v>316</v>
      </c>
      <c r="D62" s="137" t="s">
        <v>244</v>
      </c>
      <c r="E62" s="126">
        <v>1</v>
      </c>
      <c r="F62" s="144" t="s">
        <v>299</v>
      </c>
      <c r="G62" s="145" t="s">
        <v>300</v>
      </c>
      <c r="H62" s="121"/>
    </row>
    <row r="63" spans="2:8" ht="18" customHeight="1">
      <c r="B63" s="143" t="s">
        <v>151</v>
      </c>
      <c r="C63" s="42" t="s">
        <v>152</v>
      </c>
      <c r="D63" s="1"/>
      <c r="E63" s="155"/>
      <c r="F63" s="1"/>
      <c r="G63" s="1"/>
      <c r="H63" s="2"/>
    </row>
    <row r="64" spans="2:8" ht="30" customHeight="1">
      <c r="B64" s="143" t="s">
        <v>154</v>
      </c>
      <c r="C64" s="42" t="s">
        <v>155</v>
      </c>
      <c r="E64" s="156"/>
    </row>
    <row r="65" spans="2:8" ht="20.100000000000001" customHeight="1">
      <c r="B65" s="141" t="s">
        <v>297</v>
      </c>
      <c r="C65" s="142" t="s">
        <v>298</v>
      </c>
      <c r="D65" s="1"/>
      <c r="E65" s="1"/>
      <c r="F65" s="1"/>
      <c r="G65" s="1"/>
      <c r="H65" s="2"/>
    </row>
    <row r="67" spans="2:8" ht="30" customHeight="1">
      <c r="B67" s="147" t="s">
        <v>317</v>
      </c>
      <c r="C67" s="170" t="s">
        <v>318</v>
      </c>
      <c r="D67" s="199"/>
      <c r="E67" s="199"/>
      <c r="F67" s="199"/>
      <c r="G67" s="199"/>
      <c r="H67" s="200"/>
    </row>
  </sheetData>
  <mergeCells count="6">
    <mergeCell ref="C67:H67"/>
    <mergeCell ref="C16:H16"/>
    <mergeCell ref="C50:H50"/>
    <mergeCell ref="N12:O12"/>
    <mergeCell ref="C34:H34"/>
    <mergeCell ref="H12:M12"/>
  </mergeCell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FFFF00"/>
  </sheetPr>
  <dimension ref="B1:O67"/>
  <sheetViews>
    <sheetView workbookViewId="0">
      <selection activeCell="C21" sqref="C21"/>
    </sheetView>
  </sheetViews>
  <sheetFormatPr defaultRowHeight="14.45"/>
  <cols>
    <col min="1" max="1" width="2" customWidth="1"/>
    <col min="2" max="2" width="28" customWidth="1"/>
    <col min="3" max="3" width="45" bestFit="1" customWidth="1"/>
    <col min="4" max="4" width="18" customWidth="1"/>
    <col min="5" max="7" width="14" customWidth="1"/>
    <col min="8" max="8" width="55" customWidth="1"/>
    <col min="9" max="13" width="30.140625" customWidth="1"/>
  </cols>
  <sheetData>
    <row r="1" spans="2:15" ht="27.95" customHeight="1">
      <c r="B1" s="118" t="s">
        <v>400</v>
      </c>
      <c r="C1" s="68"/>
      <c r="D1" s="68"/>
      <c r="E1" s="68"/>
      <c r="F1" s="68"/>
      <c r="G1" s="68"/>
      <c r="H1" s="68"/>
    </row>
    <row r="2" spans="2:15" ht="15.95" customHeight="1">
      <c r="B2" s="19" t="s">
        <v>216</v>
      </c>
      <c r="C2" s="43" t="s">
        <v>217</v>
      </c>
      <c r="D2" s="43" t="s">
        <v>218</v>
      </c>
      <c r="E2" s="103"/>
      <c r="F2" s="103"/>
      <c r="G2" s="103"/>
      <c r="H2" s="43" t="s">
        <v>219</v>
      </c>
    </row>
    <row r="3" spans="2:15" ht="15.95" customHeight="1">
      <c r="B3" s="119" t="s">
        <v>220</v>
      </c>
      <c r="C3" s="42" t="s">
        <v>401</v>
      </c>
      <c r="D3" s="121"/>
      <c r="E3" s="121"/>
      <c r="F3" s="121"/>
      <c r="G3" s="121"/>
      <c r="H3" s="121"/>
    </row>
    <row r="4" spans="2:15" ht="15.95" customHeight="1">
      <c r="B4" s="119" t="s">
        <v>199</v>
      </c>
      <c r="C4" s="42" t="s">
        <v>402</v>
      </c>
      <c r="D4" s="121"/>
      <c r="E4" s="121"/>
      <c r="F4" s="121"/>
      <c r="G4" s="121"/>
      <c r="H4" s="121"/>
    </row>
    <row r="5" spans="2:15" ht="15.95" customHeight="1">
      <c r="B5" s="119" t="s">
        <v>224</v>
      </c>
      <c r="C5" s="42" t="s">
        <v>28</v>
      </c>
      <c r="D5" s="121"/>
      <c r="E5" s="121"/>
      <c r="F5" s="121"/>
      <c r="G5" s="121"/>
      <c r="H5" s="121"/>
    </row>
    <row r="6" spans="2:15" ht="15.95" customHeight="1">
      <c r="B6" s="119" t="s">
        <v>226</v>
      </c>
      <c r="C6" s="42" t="s">
        <v>171</v>
      </c>
      <c r="D6" s="121"/>
      <c r="E6" s="121"/>
      <c r="F6" s="121"/>
      <c r="G6" s="121"/>
      <c r="H6" s="121"/>
    </row>
    <row r="7" spans="2:15" ht="15.95" customHeight="1">
      <c r="B7" s="119" t="s">
        <v>227</v>
      </c>
      <c r="C7" s="42" t="s">
        <v>403</v>
      </c>
      <c r="D7" s="121"/>
      <c r="E7" s="121"/>
      <c r="F7" s="121"/>
      <c r="G7" s="121"/>
      <c r="H7" s="121"/>
    </row>
    <row r="8" spans="2:15" ht="15.95" customHeight="1">
      <c r="B8" s="119" t="s">
        <v>229</v>
      </c>
      <c r="C8" s="42" t="s">
        <v>404</v>
      </c>
      <c r="D8" s="121"/>
      <c r="E8" s="121"/>
      <c r="F8" s="121"/>
      <c r="G8" s="121"/>
      <c r="H8" s="121"/>
    </row>
    <row r="9" spans="2:15" ht="15.95" customHeight="1">
      <c r="B9" s="119" t="s">
        <v>231</v>
      </c>
      <c r="C9" s="42"/>
      <c r="D9" s="121"/>
      <c r="E9" s="121"/>
      <c r="F9" s="121"/>
      <c r="G9" s="121"/>
      <c r="H9" s="121"/>
    </row>
    <row r="10" spans="2:15" ht="15.95" customHeight="1">
      <c r="B10" s="119" t="s">
        <v>201</v>
      </c>
      <c r="C10" s="42" t="s">
        <v>366</v>
      </c>
      <c r="D10" s="121"/>
      <c r="E10" s="121"/>
      <c r="F10" s="121"/>
      <c r="G10" s="121"/>
      <c r="H10" s="121"/>
    </row>
    <row r="11" spans="2:15" ht="15.95" customHeight="1">
      <c r="B11" s="119" t="s">
        <v>203</v>
      </c>
      <c r="C11" s="42" t="s">
        <v>6</v>
      </c>
      <c r="D11" s="121"/>
      <c r="E11" s="121"/>
      <c r="F11" s="121"/>
      <c r="G11" s="121"/>
      <c r="H11" s="121"/>
    </row>
    <row r="12" spans="2:15" ht="15.95" customHeight="1">
      <c r="B12" s="119" t="s">
        <v>232</v>
      </c>
      <c r="C12" s="3">
        <v>52000000</v>
      </c>
      <c r="D12" s="121"/>
      <c r="E12" s="121"/>
      <c r="F12" s="121"/>
      <c r="G12" s="121"/>
      <c r="H12" s="174"/>
      <c r="I12" s="199"/>
      <c r="J12" s="199"/>
      <c r="K12" s="199"/>
      <c r="L12" s="199"/>
      <c r="M12" s="200"/>
      <c r="N12" s="201"/>
      <c r="O12" s="201"/>
    </row>
    <row r="13" spans="2:15" ht="15.95" customHeight="1">
      <c r="B13" s="119" t="s">
        <v>161</v>
      </c>
      <c r="C13" s="42" t="s">
        <v>405</v>
      </c>
      <c r="D13" s="121"/>
      <c r="E13" s="121"/>
      <c r="F13" s="121"/>
      <c r="G13" s="121"/>
      <c r="H13" s="121"/>
    </row>
    <row r="14" spans="2:15" ht="15.95" customHeight="1">
      <c r="B14" s="68"/>
      <c r="C14" s="68"/>
      <c r="D14" s="68"/>
      <c r="E14" s="68"/>
      <c r="F14" s="68"/>
      <c r="G14" s="68"/>
      <c r="H14" s="68"/>
      <c r="I14" s="1"/>
      <c r="J14" s="1"/>
      <c r="K14" s="1"/>
      <c r="L14" s="1"/>
      <c r="M14" s="2"/>
    </row>
    <row r="15" spans="2:15" ht="54.95" customHeight="1">
      <c r="B15" s="123" t="s">
        <v>46</v>
      </c>
      <c r="C15" s="124" t="s">
        <v>47</v>
      </c>
      <c r="D15" s="1"/>
      <c r="E15" s="1"/>
      <c r="F15" s="1"/>
      <c r="G15" s="1"/>
      <c r="H15" s="2"/>
    </row>
    <row r="16" spans="2:15" ht="39.950000000000003" customHeight="1">
      <c r="B16" s="102" t="s">
        <v>234</v>
      </c>
      <c r="C16" s="172"/>
      <c r="D16" s="199"/>
      <c r="E16" s="199"/>
      <c r="F16" s="199"/>
      <c r="G16" s="199"/>
      <c r="H16" s="200"/>
    </row>
    <row r="17" spans="2:8" ht="54.95" customHeight="1">
      <c r="B17" s="105" t="s">
        <v>52</v>
      </c>
      <c r="C17" s="119" t="s">
        <v>235</v>
      </c>
      <c r="D17" s="125" t="s">
        <v>236</v>
      </c>
      <c r="E17" s="126">
        <v>7</v>
      </c>
      <c r="F17" s="127" t="s">
        <v>237</v>
      </c>
      <c r="G17" s="128" t="s">
        <v>238</v>
      </c>
      <c r="H17" s="129" t="s">
        <v>239</v>
      </c>
    </row>
    <row r="18" spans="2:8" ht="54.95" customHeight="1">
      <c r="B18" s="130" t="s">
        <v>241</v>
      </c>
      <c r="C18" s="131" t="s">
        <v>406</v>
      </c>
      <c r="D18" s="1"/>
      <c r="E18" s="1"/>
      <c r="F18" s="1"/>
      <c r="G18" s="1"/>
      <c r="H18" s="2"/>
    </row>
    <row r="19" spans="2:8" ht="54.95" customHeight="1">
      <c r="B19" s="105" t="s">
        <v>56</v>
      </c>
      <c r="C19" s="119" t="s">
        <v>243</v>
      </c>
      <c r="D19" s="125" t="s">
        <v>244</v>
      </c>
      <c r="E19" s="126">
        <v>1</v>
      </c>
      <c r="F19" s="127" t="s">
        <v>245</v>
      </c>
      <c r="G19" s="128" t="s">
        <v>246</v>
      </c>
      <c r="H19" s="129" t="s">
        <v>247</v>
      </c>
    </row>
    <row r="20" spans="2:8" ht="18" customHeight="1">
      <c r="B20" s="105" t="s">
        <v>59</v>
      </c>
      <c r="C20" s="119" t="s">
        <v>248</v>
      </c>
      <c r="D20" s="125" t="s">
        <v>244</v>
      </c>
      <c r="E20" s="126">
        <v>0</v>
      </c>
      <c r="F20" s="127" t="s">
        <v>249</v>
      </c>
      <c r="G20" s="128" t="s">
        <v>250</v>
      </c>
      <c r="H20" s="129" t="s">
        <v>251</v>
      </c>
    </row>
    <row r="21" spans="2:8" ht="15.95" customHeight="1">
      <c r="B21" s="105" t="s">
        <v>62</v>
      </c>
      <c r="C21" s="119" t="s">
        <v>252</v>
      </c>
      <c r="D21" s="125" t="s">
        <v>244</v>
      </c>
      <c r="E21" s="126">
        <v>1</v>
      </c>
      <c r="F21" s="127" t="s">
        <v>253</v>
      </c>
      <c r="G21" s="128" t="s">
        <v>254</v>
      </c>
      <c r="H21" s="129" t="s">
        <v>255</v>
      </c>
    </row>
    <row r="22" spans="2:8" ht="54.95" customHeight="1">
      <c r="B22" s="102" t="s">
        <v>256</v>
      </c>
      <c r="C22" s="103"/>
      <c r="D22" s="103"/>
      <c r="E22" s="103"/>
      <c r="F22" s="103"/>
      <c r="G22" s="103"/>
      <c r="H22" s="103"/>
    </row>
    <row r="23" spans="2:8" ht="54.95" customHeight="1">
      <c r="B23" s="132" t="s">
        <v>46</v>
      </c>
      <c r="C23" s="133" t="s">
        <v>47</v>
      </c>
      <c r="D23" s="132" t="s">
        <v>257</v>
      </c>
      <c r="E23" s="134" t="s">
        <v>258</v>
      </c>
      <c r="F23" s="135" t="s">
        <v>259</v>
      </c>
      <c r="G23" s="136" t="s">
        <v>260</v>
      </c>
      <c r="H23" s="133" t="s">
        <v>261</v>
      </c>
    </row>
    <row r="24" spans="2:8" ht="54.95" customHeight="1">
      <c r="B24" s="105" t="s">
        <v>66</v>
      </c>
      <c r="C24" s="42" t="s">
        <v>262</v>
      </c>
      <c r="D24" s="137" t="s">
        <v>263</v>
      </c>
      <c r="E24" s="126">
        <v>2</v>
      </c>
      <c r="F24" s="127" t="s">
        <v>264</v>
      </c>
      <c r="G24" s="128" t="s">
        <v>265</v>
      </c>
      <c r="H24" s="129" t="s">
        <v>266</v>
      </c>
    </row>
    <row r="25" spans="2:8" ht="54.95" customHeight="1">
      <c r="B25" s="105" t="s">
        <v>69</v>
      </c>
      <c r="C25" s="42" t="s">
        <v>267</v>
      </c>
      <c r="D25" s="137" t="s">
        <v>263</v>
      </c>
      <c r="E25" s="126">
        <v>2</v>
      </c>
      <c r="F25" s="127" t="s">
        <v>268</v>
      </c>
      <c r="G25" s="128" t="s">
        <v>269</v>
      </c>
      <c r="H25" s="129" t="s">
        <v>270</v>
      </c>
    </row>
    <row r="26" spans="2:8" ht="54.95" customHeight="1">
      <c r="B26" s="105" t="s">
        <v>71</v>
      </c>
      <c r="C26" s="42" t="s">
        <v>271</v>
      </c>
      <c r="D26" s="137" t="s">
        <v>263</v>
      </c>
      <c r="E26" s="126">
        <v>5</v>
      </c>
      <c r="F26" s="127" t="s">
        <v>272</v>
      </c>
      <c r="G26" s="128" t="s">
        <v>273</v>
      </c>
      <c r="H26" s="129" t="s">
        <v>274</v>
      </c>
    </row>
    <row r="27" spans="2:8" ht="54.95" customHeight="1">
      <c r="B27" s="105" t="s">
        <v>73</v>
      </c>
      <c r="C27" s="42" t="s">
        <v>275</v>
      </c>
      <c r="D27" s="137" t="s">
        <v>263</v>
      </c>
      <c r="E27" s="126">
        <v>3</v>
      </c>
      <c r="F27" s="127" t="s">
        <v>276</v>
      </c>
      <c r="G27" s="128" t="s">
        <v>277</v>
      </c>
      <c r="H27" s="129" t="s">
        <v>278</v>
      </c>
    </row>
    <row r="28" spans="2:8" ht="54.95" customHeight="1">
      <c r="B28" s="105" t="s">
        <v>75</v>
      </c>
      <c r="C28" s="42" t="s">
        <v>279</v>
      </c>
      <c r="D28" s="137" t="s">
        <v>263</v>
      </c>
      <c r="E28" s="126">
        <v>5</v>
      </c>
      <c r="F28" s="127" t="s">
        <v>280</v>
      </c>
      <c r="G28" s="128" t="s">
        <v>281</v>
      </c>
      <c r="H28" s="129" t="s">
        <v>282</v>
      </c>
    </row>
    <row r="29" spans="2:8" ht="54.95" customHeight="1">
      <c r="B29" s="105" t="s">
        <v>77</v>
      </c>
      <c r="C29" s="42" t="s">
        <v>283</v>
      </c>
      <c r="D29" s="137" t="s">
        <v>263</v>
      </c>
      <c r="E29" s="126">
        <v>3</v>
      </c>
      <c r="F29" s="127" t="s">
        <v>284</v>
      </c>
      <c r="G29" s="128" t="s">
        <v>285</v>
      </c>
      <c r="H29" s="129" t="s">
        <v>286</v>
      </c>
    </row>
    <row r="30" spans="2:8" ht="54.95" customHeight="1">
      <c r="B30" s="105" t="s">
        <v>79</v>
      </c>
      <c r="C30" s="42" t="s">
        <v>287</v>
      </c>
      <c r="D30" s="137" t="s">
        <v>263</v>
      </c>
      <c r="E30" s="126">
        <v>4</v>
      </c>
      <c r="F30" s="127" t="s">
        <v>288</v>
      </c>
      <c r="G30" s="128" t="s">
        <v>289</v>
      </c>
      <c r="H30" s="129" t="s">
        <v>290</v>
      </c>
    </row>
    <row r="31" spans="2:8" ht="18" customHeight="1">
      <c r="B31" s="105" t="s">
        <v>81</v>
      </c>
      <c r="C31" s="42" t="s">
        <v>291</v>
      </c>
      <c r="D31" s="137" t="s">
        <v>263</v>
      </c>
      <c r="E31" s="126">
        <v>4</v>
      </c>
      <c r="F31" s="127" t="s">
        <v>327</v>
      </c>
      <c r="G31" s="128" t="s">
        <v>328</v>
      </c>
      <c r="H31" s="129" t="s">
        <v>329</v>
      </c>
    </row>
    <row r="32" spans="2:8" ht="30" customHeight="1">
      <c r="B32" s="105" t="s">
        <v>84</v>
      </c>
      <c r="C32" s="42" t="s">
        <v>292</v>
      </c>
      <c r="D32" s="138" t="s">
        <v>236</v>
      </c>
      <c r="E32" s="126">
        <v>7</v>
      </c>
      <c r="F32" s="139" t="s">
        <v>293</v>
      </c>
      <c r="G32" s="128" t="s">
        <v>294</v>
      </c>
      <c r="H32" s="140" t="s">
        <v>295</v>
      </c>
    </row>
    <row r="33" spans="2:8" ht="20.100000000000001" customHeight="1">
      <c r="B33" s="102" t="s">
        <v>296</v>
      </c>
      <c r="C33" s="103"/>
      <c r="D33" s="1"/>
      <c r="E33" s="1"/>
      <c r="F33" s="1"/>
      <c r="G33" s="1"/>
      <c r="H33" s="2"/>
    </row>
    <row r="34" spans="2:8" ht="39.950000000000003" customHeight="1">
      <c r="B34" s="141" t="s">
        <v>297</v>
      </c>
      <c r="C34" s="173" t="s">
        <v>298</v>
      </c>
      <c r="D34" s="199"/>
      <c r="E34" s="199"/>
      <c r="F34" s="199"/>
      <c r="G34" s="199"/>
      <c r="H34" s="200"/>
    </row>
    <row r="35" spans="2:8" ht="20.100000000000001" customHeight="1">
      <c r="B35" s="143" t="s">
        <v>88</v>
      </c>
      <c r="C35" s="42" t="s">
        <v>89</v>
      </c>
      <c r="D35" s="137" t="s">
        <v>244</v>
      </c>
      <c r="E35" s="126">
        <v>1</v>
      </c>
      <c r="F35" s="144" t="s">
        <v>299</v>
      </c>
      <c r="G35" s="145" t="s">
        <v>300</v>
      </c>
      <c r="H35" s="121"/>
    </row>
    <row r="36" spans="2:8" ht="20.100000000000001" customHeight="1">
      <c r="B36" s="130" t="s">
        <v>241</v>
      </c>
      <c r="C36" s="131" t="s">
        <v>407</v>
      </c>
      <c r="D36" s="1"/>
      <c r="E36" s="1"/>
      <c r="F36" s="1"/>
      <c r="G36" s="1"/>
      <c r="H36" s="2"/>
    </row>
    <row r="37" spans="2:8" ht="20.100000000000001" customHeight="1">
      <c r="B37" s="143" t="s">
        <v>91</v>
      </c>
      <c r="C37" s="42" t="s">
        <v>92</v>
      </c>
      <c r="D37" s="137" t="s">
        <v>244</v>
      </c>
      <c r="E37" s="126">
        <v>0</v>
      </c>
      <c r="F37" s="144" t="s">
        <v>299</v>
      </c>
      <c r="G37" s="145" t="s">
        <v>300</v>
      </c>
      <c r="H37" s="121"/>
    </row>
    <row r="38" spans="2:8" ht="20.100000000000001" customHeight="1">
      <c r="B38" s="143" t="s">
        <v>94</v>
      </c>
      <c r="C38" s="42" t="s">
        <v>302</v>
      </c>
      <c r="D38" s="137" t="s">
        <v>244</v>
      </c>
      <c r="E38" s="126">
        <v>1</v>
      </c>
      <c r="F38" s="144" t="s">
        <v>299</v>
      </c>
      <c r="G38" s="145" t="s">
        <v>300</v>
      </c>
      <c r="H38" s="121"/>
    </row>
    <row r="39" spans="2:8" ht="20.100000000000001" customHeight="1">
      <c r="B39" s="143" t="s">
        <v>97</v>
      </c>
      <c r="C39" s="42" t="s">
        <v>98</v>
      </c>
      <c r="D39" s="137" t="s">
        <v>244</v>
      </c>
      <c r="E39" s="126">
        <v>1</v>
      </c>
      <c r="F39" s="144" t="s">
        <v>299</v>
      </c>
      <c r="G39" s="145" t="s">
        <v>300</v>
      </c>
      <c r="H39" s="121"/>
    </row>
    <row r="40" spans="2:8" ht="20.100000000000001" customHeight="1">
      <c r="B40" s="143" t="s">
        <v>100</v>
      </c>
      <c r="C40" s="42" t="s">
        <v>101</v>
      </c>
      <c r="D40" s="137" t="s">
        <v>244</v>
      </c>
      <c r="E40" s="126">
        <v>0</v>
      </c>
      <c r="F40" s="144" t="s">
        <v>299</v>
      </c>
      <c r="G40" s="145" t="s">
        <v>300</v>
      </c>
      <c r="H40" s="121"/>
    </row>
    <row r="41" spans="2:8" ht="18" customHeight="1">
      <c r="B41" s="143" t="s">
        <v>103</v>
      </c>
      <c r="C41" s="42" t="s">
        <v>104</v>
      </c>
      <c r="D41" s="84" t="s">
        <v>244</v>
      </c>
      <c r="E41" s="126">
        <v>0</v>
      </c>
      <c r="F41" s="127" t="s">
        <v>299</v>
      </c>
      <c r="G41" s="128" t="s">
        <v>300</v>
      </c>
      <c r="H41" s="129" t="s">
        <v>298</v>
      </c>
    </row>
    <row r="42" spans="2:8" ht="30" customHeight="1">
      <c r="B42" s="143" t="s">
        <v>106</v>
      </c>
      <c r="C42" s="42" t="s">
        <v>303</v>
      </c>
      <c r="D42" s="84" t="s">
        <v>244</v>
      </c>
      <c r="E42" s="126">
        <v>0</v>
      </c>
      <c r="F42" s="127" t="s">
        <v>299</v>
      </c>
      <c r="G42" s="128" t="s">
        <v>300</v>
      </c>
      <c r="H42" s="129" t="s">
        <v>298</v>
      </c>
    </row>
    <row r="43" spans="2:8" ht="20.100000000000001" customHeight="1">
      <c r="B43" s="102" t="s">
        <v>304</v>
      </c>
      <c r="C43" s="103"/>
      <c r="D43" s="103"/>
      <c r="E43" s="103"/>
      <c r="F43" s="103"/>
      <c r="G43" s="103"/>
      <c r="H43" s="103"/>
    </row>
    <row r="44" spans="2:8" ht="20.100000000000001" customHeight="1">
      <c r="B44" s="141" t="s">
        <v>297</v>
      </c>
      <c r="C44" s="142" t="s">
        <v>298</v>
      </c>
      <c r="D44" s="1"/>
      <c r="E44" s="1"/>
      <c r="F44" s="1"/>
      <c r="G44" s="1"/>
      <c r="H44" s="2"/>
    </row>
    <row r="45" spans="2:8" ht="20.100000000000001" customHeight="1">
      <c r="B45" s="143" t="s">
        <v>110</v>
      </c>
      <c r="C45" s="42" t="s">
        <v>111</v>
      </c>
      <c r="D45" s="137" t="s">
        <v>244</v>
      </c>
      <c r="E45" s="126">
        <v>1</v>
      </c>
      <c r="F45" s="144" t="s">
        <v>299</v>
      </c>
      <c r="G45" s="145" t="s">
        <v>300</v>
      </c>
      <c r="H45" s="121"/>
    </row>
    <row r="46" spans="2:8" ht="20.100000000000001" customHeight="1">
      <c r="B46" s="143" t="s">
        <v>113</v>
      </c>
      <c r="C46" s="42" t="s">
        <v>114</v>
      </c>
      <c r="D46" s="137" t="s">
        <v>244</v>
      </c>
      <c r="E46" s="126">
        <v>1</v>
      </c>
      <c r="F46" s="144" t="s">
        <v>299</v>
      </c>
      <c r="G46" s="145" t="s">
        <v>300</v>
      </c>
      <c r="H46" s="121"/>
    </row>
    <row r="47" spans="2:8" ht="18" customHeight="1">
      <c r="B47" s="143" t="s">
        <v>116</v>
      </c>
      <c r="C47" s="42" t="s">
        <v>117</v>
      </c>
      <c r="D47" s="84" t="s">
        <v>244</v>
      </c>
      <c r="E47" s="126">
        <v>0</v>
      </c>
      <c r="F47" s="127" t="s">
        <v>299</v>
      </c>
      <c r="G47" s="128" t="s">
        <v>300</v>
      </c>
      <c r="H47" s="129" t="s">
        <v>298</v>
      </c>
    </row>
    <row r="48" spans="2:8" ht="30" customHeight="1">
      <c r="B48" s="143" t="s">
        <v>119</v>
      </c>
      <c r="C48" s="42" t="s">
        <v>120</v>
      </c>
      <c r="D48" s="84" t="s">
        <v>244</v>
      </c>
      <c r="E48" s="126">
        <v>1</v>
      </c>
      <c r="F48" s="127" t="s">
        <v>299</v>
      </c>
      <c r="G48" s="128" t="s">
        <v>300</v>
      </c>
      <c r="H48" s="129" t="s">
        <v>298</v>
      </c>
    </row>
    <row r="49" spans="2:8" ht="20.100000000000001" customHeight="1">
      <c r="B49" s="102" t="s">
        <v>306</v>
      </c>
      <c r="C49" s="103"/>
      <c r="D49" s="1"/>
      <c r="E49" s="1"/>
      <c r="F49" s="1"/>
      <c r="G49" s="1"/>
      <c r="H49" s="2"/>
    </row>
    <row r="50" spans="2:8" ht="39.950000000000003" customHeight="1">
      <c r="B50" s="141" t="s">
        <v>297</v>
      </c>
      <c r="C50" s="173" t="s">
        <v>298</v>
      </c>
      <c r="D50" s="199"/>
      <c r="E50" s="199"/>
      <c r="F50" s="199"/>
      <c r="G50" s="199"/>
      <c r="H50" s="200"/>
    </row>
    <row r="51" spans="2:8" ht="20.100000000000001" customHeight="1">
      <c r="B51" s="143" t="s">
        <v>123</v>
      </c>
      <c r="C51" s="42" t="s">
        <v>307</v>
      </c>
      <c r="D51" s="137" t="s">
        <v>244</v>
      </c>
      <c r="E51" s="126">
        <v>1</v>
      </c>
      <c r="F51" s="144" t="s">
        <v>299</v>
      </c>
      <c r="G51" s="145" t="s">
        <v>300</v>
      </c>
      <c r="H51" s="121"/>
    </row>
    <row r="52" spans="2:8" ht="20.100000000000001" customHeight="1">
      <c r="B52" s="130" t="s">
        <v>241</v>
      </c>
      <c r="C52" s="131" t="s">
        <v>408</v>
      </c>
      <c r="D52" s="1"/>
      <c r="E52" s="1"/>
      <c r="F52" s="1"/>
      <c r="G52" s="1"/>
      <c r="H52" s="2"/>
    </row>
    <row r="53" spans="2:8" ht="20.100000000000001" customHeight="1">
      <c r="B53" s="143" t="s">
        <v>126</v>
      </c>
      <c r="C53" s="42" t="s">
        <v>309</v>
      </c>
      <c r="D53" s="137" t="s">
        <v>244</v>
      </c>
      <c r="E53" s="126">
        <v>0</v>
      </c>
      <c r="F53" s="144" t="s">
        <v>299</v>
      </c>
      <c r="G53" s="145" t="s">
        <v>300</v>
      </c>
      <c r="H53" s="121"/>
    </row>
    <row r="54" spans="2:8" ht="20.100000000000001" customHeight="1">
      <c r="B54" s="143" t="s">
        <v>129</v>
      </c>
      <c r="C54" s="42" t="s">
        <v>130</v>
      </c>
      <c r="D54" s="137" t="s">
        <v>244</v>
      </c>
      <c r="E54" s="126">
        <v>1</v>
      </c>
      <c r="F54" s="144" t="s">
        <v>299</v>
      </c>
      <c r="G54" s="145" t="s">
        <v>300</v>
      </c>
      <c r="H54" s="121"/>
    </row>
    <row r="55" spans="2:8" ht="18" customHeight="1">
      <c r="B55" s="143" t="s">
        <v>132</v>
      </c>
      <c r="C55" s="42" t="s">
        <v>310</v>
      </c>
      <c r="D55" s="1"/>
      <c r="E55" s="1"/>
      <c r="F55" s="1"/>
      <c r="G55" s="1"/>
      <c r="H55" s="2"/>
    </row>
    <row r="56" spans="2:8" ht="30" customHeight="1">
      <c r="B56" s="143" t="s">
        <v>135</v>
      </c>
      <c r="C56" s="177" t="s">
        <v>311</v>
      </c>
      <c r="D56" s="199"/>
      <c r="E56" s="199"/>
      <c r="F56" s="199"/>
      <c r="G56" s="199"/>
      <c r="H56" s="200"/>
    </row>
    <row r="57" spans="2:8" ht="20.100000000000001" customHeight="1">
      <c r="B57" s="102" t="s">
        <v>313</v>
      </c>
      <c r="C57" s="103"/>
      <c r="D57" s="103"/>
      <c r="E57" s="103"/>
      <c r="F57" s="103"/>
      <c r="G57" s="103"/>
      <c r="H57" s="103"/>
    </row>
    <row r="58" spans="2:8" ht="20.100000000000001" customHeight="1">
      <c r="B58" s="141" t="s">
        <v>297</v>
      </c>
      <c r="C58" s="142" t="s">
        <v>298</v>
      </c>
      <c r="D58" s="1"/>
      <c r="E58" s="1"/>
      <c r="F58" s="1"/>
      <c r="G58" s="1"/>
      <c r="H58" s="2"/>
    </row>
    <row r="59" spans="2:8" ht="20.100000000000001" customHeight="1">
      <c r="B59" s="143" t="s">
        <v>139</v>
      </c>
      <c r="C59" s="42" t="s">
        <v>314</v>
      </c>
      <c r="D59" s="137" t="s">
        <v>244</v>
      </c>
      <c r="E59" s="126">
        <v>1</v>
      </c>
      <c r="F59" s="144" t="s">
        <v>299</v>
      </c>
      <c r="G59" s="145" t="s">
        <v>300</v>
      </c>
      <c r="H59" s="121"/>
    </row>
    <row r="60" spans="2:8" ht="20.100000000000001" customHeight="1">
      <c r="B60" s="143" t="s">
        <v>142</v>
      </c>
      <c r="C60" s="42" t="s">
        <v>143</v>
      </c>
      <c r="D60" s="137" t="s">
        <v>244</v>
      </c>
      <c r="E60" s="126">
        <v>1</v>
      </c>
      <c r="F60" s="144" t="s">
        <v>299</v>
      </c>
      <c r="G60" s="145" t="s">
        <v>300</v>
      </c>
      <c r="H60" s="121"/>
    </row>
    <row r="61" spans="2:8" ht="20.100000000000001" customHeight="1">
      <c r="B61" s="143" t="s">
        <v>145</v>
      </c>
      <c r="C61" s="42" t="s">
        <v>315</v>
      </c>
      <c r="D61" s="137" t="s">
        <v>244</v>
      </c>
      <c r="E61" s="126">
        <v>1</v>
      </c>
      <c r="F61" s="144" t="s">
        <v>299</v>
      </c>
      <c r="G61" s="145" t="s">
        <v>300</v>
      </c>
      <c r="H61" s="121"/>
    </row>
    <row r="62" spans="2:8" ht="20.100000000000001" customHeight="1">
      <c r="B62" s="143" t="s">
        <v>148</v>
      </c>
      <c r="C62" s="42" t="s">
        <v>316</v>
      </c>
      <c r="D62" s="137" t="s">
        <v>244</v>
      </c>
      <c r="E62" s="126">
        <v>0</v>
      </c>
      <c r="F62" s="144" t="s">
        <v>299</v>
      </c>
      <c r="G62" s="145" t="s">
        <v>300</v>
      </c>
      <c r="H62" s="121"/>
    </row>
    <row r="63" spans="2:8" ht="18" customHeight="1">
      <c r="B63" s="143" t="s">
        <v>151</v>
      </c>
      <c r="C63" s="42" t="s">
        <v>152</v>
      </c>
      <c r="D63" s="137" t="s">
        <v>244</v>
      </c>
      <c r="E63" s="126">
        <v>0</v>
      </c>
      <c r="F63" s="144" t="s">
        <v>299</v>
      </c>
      <c r="G63" s="145" t="s">
        <v>300</v>
      </c>
      <c r="H63" s="2"/>
    </row>
    <row r="64" spans="2:8" ht="30" customHeight="1">
      <c r="B64" s="143" t="s">
        <v>154</v>
      </c>
      <c r="C64" s="42" t="s">
        <v>155</v>
      </c>
      <c r="D64" s="137" t="s">
        <v>244</v>
      </c>
      <c r="E64" s="126">
        <v>0</v>
      </c>
      <c r="F64" s="144" t="s">
        <v>299</v>
      </c>
      <c r="G64" s="145" t="s">
        <v>300</v>
      </c>
      <c r="H64" s="2"/>
    </row>
    <row r="65" spans="2:8" ht="20.100000000000001" customHeight="1">
      <c r="B65" s="141" t="s">
        <v>297</v>
      </c>
      <c r="C65" s="142" t="s">
        <v>298</v>
      </c>
      <c r="D65" s="1"/>
      <c r="E65" s="1"/>
      <c r="F65" s="1"/>
      <c r="G65" s="1"/>
      <c r="H65" s="2"/>
    </row>
    <row r="67" spans="2:8" ht="30" customHeight="1">
      <c r="B67" s="147" t="s">
        <v>317</v>
      </c>
      <c r="C67" s="170" t="s">
        <v>318</v>
      </c>
      <c r="D67" s="199"/>
      <c r="E67" s="199"/>
      <c r="F67" s="199"/>
      <c r="G67" s="199"/>
      <c r="H67" s="200"/>
    </row>
  </sheetData>
  <mergeCells count="7">
    <mergeCell ref="C67:H67"/>
    <mergeCell ref="C16:H16"/>
    <mergeCell ref="C50:H50"/>
    <mergeCell ref="N12:O12"/>
    <mergeCell ref="C34:H34"/>
    <mergeCell ref="C56:H56"/>
    <mergeCell ref="H12:M12"/>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FFFF00"/>
  </sheetPr>
  <dimension ref="B1:O67"/>
  <sheetViews>
    <sheetView workbookViewId="0">
      <selection activeCell="C21" sqref="C21"/>
    </sheetView>
  </sheetViews>
  <sheetFormatPr defaultRowHeight="14.45"/>
  <cols>
    <col min="1" max="1" width="2" customWidth="1"/>
    <col min="2" max="2" width="28" customWidth="1"/>
    <col min="3" max="3" width="45" bestFit="1" customWidth="1"/>
    <col min="4" max="4" width="18" customWidth="1"/>
    <col min="5" max="7" width="14" customWidth="1"/>
    <col min="8" max="8" width="55" customWidth="1"/>
    <col min="9" max="13" width="30.140625" customWidth="1"/>
  </cols>
  <sheetData>
    <row r="1" spans="2:15" ht="27.95" customHeight="1">
      <c r="B1" s="118" t="s">
        <v>409</v>
      </c>
      <c r="C1" s="68"/>
      <c r="D1" s="68"/>
      <c r="E1" s="68"/>
      <c r="F1" s="68"/>
      <c r="G1" s="68"/>
      <c r="H1" s="68"/>
    </row>
    <row r="2" spans="2:15" ht="15.95" customHeight="1">
      <c r="B2" s="19" t="s">
        <v>216</v>
      </c>
      <c r="C2" s="43" t="s">
        <v>217</v>
      </c>
      <c r="D2" s="43" t="s">
        <v>218</v>
      </c>
      <c r="E2" s="103"/>
      <c r="F2" s="103"/>
      <c r="G2" s="103"/>
      <c r="H2" s="43" t="s">
        <v>219</v>
      </c>
    </row>
    <row r="3" spans="2:15" ht="15.95" customHeight="1">
      <c r="B3" s="119" t="s">
        <v>220</v>
      </c>
      <c r="C3" s="42" t="s">
        <v>410</v>
      </c>
      <c r="D3" s="121"/>
      <c r="E3" s="121"/>
      <c r="F3" s="121"/>
      <c r="G3" s="121"/>
      <c r="H3" s="121"/>
    </row>
    <row r="4" spans="2:15" ht="15.95" customHeight="1">
      <c r="B4" s="119" t="s">
        <v>199</v>
      </c>
      <c r="C4" s="42" t="s">
        <v>411</v>
      </c>
      <c r="D4" s="121"/>
      <c r="E4" s="121"/>
      <c r="F4" s="121"/>
      <c r="G4" s="121"/>
      <c r="H4" s="121"/>
    </row>
    <row r="5" spans="2:15" ht="15.95" customHeight="1">
      <c r="B5" s="119" t="s">
        <v>224</v>
      </c>
      <c r="C5" s="42" t="s">
        <v>25</v>
      </c>
      <c r="D5" s="121"/>
      <c r="E5" s="121"/>
      <c r="F5" s="121"/>
      <c r="G5" s="121"/>
      <c r="H5" s="121"/>
    </row>
    <row r="6" spans="2:15" ht="15.95" customHeight="1">
      <c r="B6" s="119" t="s">
        <v>226</v>
      </c>
      <c r="C6" s="42" t="s">
        <v>172</v>
      </c>
      <c r="D6" s="121"/>
      <c r="E6" s="121"/>
      <c r="F6" s="121"/>
      <c r="G6" s="121"/>
      <c r="H6" s="121"/>
    </row>
    <row r="7" spans="2:15" ht="15.95" customHeight="1">
      <c r="B7" s="119" t="s">
        <v>227</v>
      </c>
      <c r="C7" s="42"/>
      <c r="D7" s="121"/>
      <c r="E7" s="121"/>
      <c r="F7" s="121"/>
      <c r="G7" s="121"/>
      <c r="H7" s="121"/>
    </row>
    <row r="8" spans="2:15" ht="15.95" customHeight="1">
      <c r="B8" s="119" t="s">
        <v>229</v>
      </c>
      <c r="C8" s="42" t="s">
        <v>412</v>
      </c>
      <c r="D8" s="121"/>
      <c r="E8" s="121"/>
      <c r="F8" s="121"/>
      <c r="G8" s="121"/>
      <c r="H8" s="121"/>
    </row>
    <row r="9" spans="2:15" ht="15.95" customHeight="1">
      <c r="B9" s="119" t="s">
        <v>231</v>
      </c>
      <c r="C9" s="42"/>
      <c r="D9" s="121"/>
      <c r="E9" s="121"/>
      <c r="F9" s="121"/>
      <c r="G9" s="121"/>
      <c r="H9" s="121"/>
    </row>
    <row r="10" spans="2:15" ht="15.95" customHeight="1">
      <c r="B10" s="119" t="s">
        <v>201</v>
      </c>
      <c r="C10" s="42" t="s">
        <v>413</v>
      </c>
      <c r="D10" s="121"/>
      <c r="E10" s="121"/>
      <c r="F10" s="121"/>
      <c r="G10" s="121"/>
      <c r="H10" s="121"/>
    </row>
    <row r="11" spans="2:15" ht="15.95" customHeight="1">
      <c r="B11" s="119" t="s">
        <v>203</v>
      </c>
      <c r="C11" s="42" t="s">
        <v>9</v>
      </c>
      <c r="D11" s="121"/>
      <c r="E11" s="121"/>
      <c r="F11" s="121"/>
      <c r="G11" s="121"/>
      <c r="H11" s="121"/>
    </row>
    <row r="12" spans="2:15" ht="15.95" customHeight="1">
      <c r="B12" s="119" t="s">
        <v>232</v>
      </c>
      <c r="C12" s="3">
        <v>140000000</v>
      </c>
      <c r="D12" s="121"/>
      <c r="E12" s="121"/>
      <c r="F12" s="121"/>
      <c r="G12" s="121"/>
      <c r="H12" s="174"/>
      <c r="I12" s="199"/>
      <c r="J12" s="199"/>
      <c r="K12" s="199"/>
      <c r="L12" s="199"/>
      <c r="M12" s="200"/>
      <c r="N12" s="201"/>
      <c r="O12" s="201"/>
    </row>
    <row r="13" spans="2:15" ht="15.95" customHeight="1">
      <c r="B13" s="119" t="s">
        <v>161</v>
      </c>
      <c r="C13" s="42" t="s">
        <v>414</v>
      </c>
      <c r="D13" s="121"/>
      <c r="E13" s="121"/>
      <c r="F13" s="121"/>
      <c r="G13" s="121"/>
      <c r="H13" s="121"/>
    </row>
    <row r="14" spans="2:15" ht="15.95" customHeight="1">
      <c r="B14" s="68"/>
      <c r="C14" s="68"/>
      <c r="D14" s="68"/>
      <c r="E14" s="68"/>
      <c r="F14" s="68"/>
      <c r="G14" s="68"/>
      <c r="H14" s="68"/>
      <c r="I14" s="1"/>
      <c r="J14" s="1"/>
      <c r="K14" s="1"/>
      <c r="L14" s="1"/>
      <c r="M14" s="2"/>
    </row>
    <row r="15" spans="2:15" ht="54.95" customHeight="1">
      <c r="B15" s="123" t="s">
        <v>46</v>
      </c>
      <c r="C15" s="124" t="s">
        <v>47</v>
      </c>
      <c r="D15" s="1"/>
      <c r="E15" s="1"/>
      <c r="F15" s="1"/>
      <c r="G15" s="1"/>
      <c r="H15" s="2"/>
    </row>
    <row r="16" spans="2:15" ht="39.950000000000003" customHeight="1">
      <c r="B16" s="102" t="s">
        <v>234</v>
      </c>
      <c r="C16" s="172"/>
      <c r="D16" s="199"/>
      <c r="E16" s="199"/>
      <c r="F16" s="199"/>
      <c r="G16" s="199"/>
      <c r="H16" s="200"/>
    </row>
    <row r="17" spans="2:8" ht="54.95" customHeight="1">
      <c r="B17" s="105" t="s">
        <v>52</v>
      </c>
      <c r="C17" s="119" t="s">
        <v>235</v>
      </c>
      <c r="D17" s="125" t="s">
        <v>236</v>
      </c>
      <c r="E17" s="126">
        <v>9</v>
      </c>
      <c r="F17" s="127" t="s">
        <v>237</v>
      </c>
      <c r="G17" s="128" t="s">
        <v>238</v>
      </c>
      <c r="H17" s="129" t="s">
        <v>239</v>
      </c>
    </row>
    <row r="18" spans="2:8" ht="54.95" customHeight="1">
      <c r="B18" s="130" t="s">
        <v>241</v>
      </c>
      <c r="C18" s="131" t="s">
        <v>415</v>
      </c>
      <c r="D18" s="1"/>
      <c r="E18" s="1"/>
      <c r="F18" s="1"/>
      <c r="G18" s="1"/>
      <c r="H18" s="2"/>
    </row>
    <row r="19" spans="2:8" ht="54.95" customHeight="1">
      <c r="B19" s="105" t="s">
        <v>56</v>
      </c>
      <c r="C19" s="119" t="s">
        <v>243</v>
      </c>
      <c r="D19" s="125" t="s">
        <v>244</v>
      </c>
      <c r="E19" s="126">
        <v>1</v>
      </c>
      <c r="F19" s="127" t="s">
        <v>245</v>
      </c>
      <c r="G19" s="128" t="s">
        <v>246</v>
      </c>
      <c r="H19" s="129" t="s">
        <v>247</v>
      </c>
    </row>
    <row r="20" spans="2:8" ht="18" customHeight="1">
      <c r="B20" s="105" t="s">
        <v>59</v>
      </c>
      <c r="C20" s="119" t="s">
        <v>248</v>
      </c>
      <c r="D20" s="125" t="s">
        <v>244</v>
      </c>
      <c r="E20" s="126">
        <v>0</v>
      </c>
      <c r="F20" s="127" t="s">
        <v>249</v>
      </c>
      <c r="G20" s="128" t="s">
        <v>250</v>
      </c>
      <c r="H20" s="129" t="s">
        <v>251</v>
      </c>
    </row>
    <row r="21" spans="2:8" ht="15.95" customHeight="1">
      <c r="B21" s="105" t="s">
        <v>62</v>
      </c>
      <c r="C21" s="119" t="s">
        <v>252</v>
      </c>
      <c r="D21" s="125" t="s">
        <v>244</v>
      </c>
      <c r="E21" s="126">
        <v>0</v>
      </c>
      <c r="F21" s="127" t="s">
        <v>253</v>
      </c>
      <c r="G21" s="128" t="s">
        <v>254</v>
      </c>
      <c r="H21" s="129" t="s">
        <v>255</v>
      </c>
    </row>
    <row r="22" spans="2:8" ht="54.95" customHeight="1">
      <c r="B22" s="102" t="s">
        <v>256</v>
      </c>
      <c r="C22" s="103"/>
      <c r="D22" s="103"/>
      <c r="E22" s="103"/>
      <c r="F22" s="103"/>
      <c r="G22" s="103"/>
      <c r="H22" s="103"/>
    </row>
    <row r="23" spans="2:8" ht="54.95" customHeight="1">
      <c r="B23" s="132" t="s">
        <v>46</v>
      </c>
      <c r="C23" s="133" t="s">
        <v>47</v>
      </c>
      <c r="D23" s="132" t="s">
        <v>257</v>
      </c>
      <c r="E23" s="134" t="s">
        <v>258</v>
      </c>
      <c r="F23" s="135" t="s">
        <v>259</v>
      </c>
      <c r="G23" s="136" t="s">
        <v>260</v>
      </c>
      <c r="H23" s="133" t="s">
        <v>261</v>
      </c>
    </row>
    <row r="24" spans="2:8" ht="54.95" customHeight="1">
      <c r="B24" s="105" t="s">
        <v>66</v>
      </c>
      <c r="C24" s="42" t="s">
        <v>262</v>
      </c>
      <c r="D24" s="137" t="s">
        <v>263</v>
      </c>
      <c r="E24" s="126">
        <v>1</v>
      </c>
      <c r="F24" s="127" t="s">
        <v>264</v>
      </c>
      <c r="G24" s="128" t="s">
        <v>265</v>
      </c>
      <c r="H24" s="129" t="s">
        <v>266</v>
      </c>
    </row>
    <row r="25" spans="2:8" ht="54.95" customHeight="1">
      <c r="B25" s="105" t="s">
        <v>69</v>
      </c>
      <c r="C25" s="42" t="s">
        <v>267</v>
      </c>
      <c r="D25" s="137" t="s">
        <v>263</v>
      </c>
      <c r="E25" s="126">
        <v>1</v>
      </c>
      <c r="F25" s="127" t="s">
        <v>268</v>
      </c>
      <c r="G25" s="128" t="s">
        <v>269</v>
      </c>
      <c r="H25" s="129" t="s">
        <v>270</v>
      </c>
    </row>
    <row r="26" spans="2:8" ht="54.95" customHeight="1">
      <c r="B26" s="105" t="s">
        <v>71</v>
      </c>
      <c r="C26" s="42" t="s">
        <v>271</v>
      </c>
      <c r="D26" s="137" t="s">
        <v>263</v>
      </c>
      <c r="E26" s="126">
        <v>2</v>
      </c>
      <c r="F26" s="127" t="s">
        <v>272</v>
      </c>
      <c r="G26" s="128" t="s">
        <v>273</v>
      </c>
      <c r="H26" s="129" t="s">
        <v>274</v>
      </c>
    </row>
    <row r="27" spans="2:8" ht="54.95" customHeight="1">
      <c r="B27" s="105" t="s">
        <v>73</v>
      </c>
      <c r="C27" s="42" t="s">
        <v>275</v>
      </c>
      <c r="D27" s="137" t="s">
        <v>263</v>
      </c>
      <c r="E27" s="126">
        <v>2</v>
      </c>
      <c r="F27" s="127" t="s">
        <v>276</v>
      </c>
      <c r="G27" s="128" t="s">
        <v>277</v>
      </c>
      <c r="H27" s="129" t="s">
        <v>278</v>
      </c>
    </row>
    <row r="28" spans="2:8" ht="54.95" customHeight="1">
      <c r="B28" s="105" t="s">
        <v>75</v>
      </c>
      <c r="C28" s="42" t="s">
        <v>279</v>
      </c>
      <c r="D28" s="137" t="s">
        <v>263</v>
      </c>
      <c r="E28" s="126">
        <v>2</v>
      </c>
      <c r="F28" s="127" t="s">
        <v>280</v>
      </c>
      <c r="G28" s="128" t="s">
        <v>281</v>
      </c>
      <c r="H28" s="129" t="s">
        <v>282</v>
      </c>
    </row>
    <row r="29" spans="2:8" ht="54.95" customHeight="1">
      <c r="B29" s="105" t="s">
        <v>77</v>
      </c>
      <c r="C29" s="42" t="s">
        <v>283</v>
      </c>
      <c r="D29" s="137" t="s">
        <v>263</v>
      </c>
      <c r="E29" s="154"/>
      <c r="F29" s="127" t="s">
        <v>284</v>
      </c>
      <c r="G29" s="128" t="s">
        <v>285</v>
      </c>
      <c r="H29" s="129" t="s">
        <v>286</v>
      </c>
    </row>
    <row r="30" spans="2:8" ht="54.95" customHeight="1">
      <c r="B30" s="105" t="s">
        <v>79</v>
      </c>
      <c r="C30" s="42" t="s">
        <v>287</v>
      </c>
      <c r="D30" s="137" t="s">
        <v>263</v>
      </c>
      <c r="E30" s="126">
        <v>2</v>
      </c>
      <c r="F30" s="127" t="s">
        <v>288</v>
      </c>
      <c r="G30" s="128" t="s">
        <v>289</v>
      </c>
      <c r="H30" s="129" t="s">
        <v>290</v>
      </c>
    </row>
    <row r="31" spans="2:8" ht="18" customHeight="1">
      <c r="B31" s="105" t="s">
        <v>81</v>
      </c>
      <c r="C31" s="42" t="s">
        <v>291</v>
      </c>
      <c r="D31" s="1"/>
      <c r="E31" s="1"/>
      <c r="F31" s="1"/>
      <c r="G31" s="1"/>
      <c r="H31" s="2"/>
    </row>
    <row r="32" spans="2:8" ht="30" customHeight="1">
      <c r="B32" s="105" t="s">
        <v>84</v>
      </c>
      <c r="C32" s="42" t="s">
        <v>292</v>
      </c>
      <c r="D32" s="138" t="s">
        <v>236</v>
      </c>
      <c r="E32" s="126">
        <v>9</v>
      </c>
      <c r="F32" s="139" t="s">
        <v>293</v>
      </c>
      <c r="G32" s="128" t="s">
        <v>294</v>
      </c>
      <c r="H32" s="140" t="s">
        <v>295</v>
      </c>
    </row>
    <row r="33" spans="2:8" ht="20.100000000000001" customHeight="1">
      <c r="B33" s="102" t="s">
        <v>296</v>
      </c>
      <c r="C33" s="103"/>
      <c r="D33" s="1"/>
      <c r="E33" s="1"/>
      <c r="F33" s="1"/>
      <c r="G33" s="1"/>
      <c r="H33" s="2"/>
    </row>
    <row r="34" spans="2:8" ht="39.950000000000003" customHeight="1">
      <c r="B34" s="141" t="s">
        <v>297</v>
      </c>
      <c r="C34" s="173" t="s">
        <v>298</v>
      </c>
      <c r="D34" s="199"/>
      <c r="E34" s="199"/>
      <c r="F34" s="199"/>
      <c r="G34" s="199"/>
      <c r="H34" s="200"/>
    </row>
    <row r="35" spans="2:8" ht="20.100000000000001" customHeight="1">
      <c r="B35" s="143" t="s">
        <v>88</v>
      </c>
      <c r="C35" s="42" t="s">
        <v>89</v>
      </c>
      <c r="D35" s="137" t="s">
        <v>244</v>
      </c>
      <c r="E35" s="126">
        <v>1</v>
      </c>
      <c r="F35" s="144" t="s">
        <v>299</v>
      </c>
      <c r="G35" s="145" t="s">
        <v>300</v>
      </c>
      <c r="H35" s="121"/>
    </row>
    <row r="36" spans="2:8" ht="20.100000000000001" customHeight="1">
      <c r="B36" s="130" t="s">
        <v>241</v>
      </c>
      <c r="C36" s="131" t="s">
        <v>416</v>
      </c>
      <c r="D36" s="1"/>
      <c r="E36" s="1"/>
      <c r="F36" s="1"/>
      <c r="G36" s="1"/>
      <c r="H36" s="2"/>
    </row>
    <row r="37" spans="2:8" ht="20.100000000000001" customHeight="1">
      <c r="B37" s="143" t="s">
        <v>91</v>
      </c>
      <c r="C37" s="42" t="s">
        <v>92</v>
      </c>
      <c r="D37" s="137" t="s">
        <v>244</v>
      </c>
      <c r="E37" s="126">
        <v>1</v>
      </c>
      <c r="F37" s="144" t="s">
        <v>299</v>
      </c>
      <c r="G37" s="145" t="s">
        <v>300</v>
      </c>
      <c r="H37" s="121"/>
    </row>
    <row r="38" spans="2:8" ht="20.100000000000001" customHeight="1">
      <c r="B38" s="143" t="s">
        <v>94</v>
      </c>
      <c r="C38" s="42" t="s">
        <v>302</v>
      </c>
      <c r="D38" s="137" t="s">
        <v>244</v>
      </c>
      <c r="E38" s="126">
        <v>1</v>
      </c>
      <c r="F38" s="144" t="s">
        <v>299</v>
      </c>
      <c r="G38" s="145" t="s">
        <v>300</v>
      </c>
      <c r="H38" s="121"/>
    </row>
    <row r="39" spans="2:8" ht="20.100000000000001" customHeight="1">
      <c r="B39" s="143" t="s">
        <v>97</v>
      </c>
      <c r="C39" s="42" t="s">
        <v>98</v>
      </c>
      <c r="D39" s="137" t="s">
        <v>244</v>
      </c>
      <c r="E39" s="126">
        <v>1</v>
      </c>
      <c r="F39" s="144" t="s">
        <v>299</v>
      </c>
      <c r="G39" s="145" t="s">
        <v>300</v>
      </c>
      <c r="H39" s="121"/>
    </row>
    <row r="40" spans="2:8" ht="20.100000000000001" customHeight="1">
      <c r="B40" s="143" t="s">
        <v>100</v>
      </c>
      <c r="C40" s="42" t="s">
        <v>101</v>
      </c>
      <c r="D40" s="137" t="s">
        <v>244</v>
      </c>
      <c r="E40" s="126">
        <v>0</v>
      </c>
      <c r="F40" s="144" t="s">
        <v>299</v>
      </c>
      <c r="G40" s="145" t="s">
        <v>300</v>
      </c>
      <c r="H40" s="121"/>
    </row>
    <row r="41" spans="2:8" ht="18" customHeight="1">
      <c r="B41" s="143" t="s">
        <v>103</v>
      </c>
      <c r="C41" s="42" t="s">
        <v>104</v>
      </c>
      <c r="D41" s="84" t="s">
        <v>244</v>
      </c>
      <c r="E41" s="126">
        <v>0</v>
      </c>
      <c r="F41" s="127" t="s">
        <v>299</v>
      </c>
      <c r="G41" s="128" t="s">
        <v>300</v>
      </c>
      <c r="H41" s="129" t="s">
        <v>298</v>
      </c>
    </row>
    <row r="42" spans="2:8" ht="30" customHeight="1">
      <c r="B42" s="143" t="s">
        <v>106</v>
      </c>
      <c r="C42" s="42" t="s">
        <v>303</v>
      </c>
      <c r="D42" s="84" t="s">
        <v>244</v>
      </c>
      <c r="E42" s="126">
        <v>0</v>
      </c>
      <c r="F42" s="127" t="s">
        <v>299</v>
      </c>
      <c r="G42" s="128" t="s">
        <v>300</v>
      </c>
      <c r="H42" s="129" t="s">
        <v>298</v>
      </c>
    </row>
    <row r="43" spans="2:8" ht="20.100000000000001" customHeight="1">
      <c r="B43" s="102" t="s">
        <v>304</v>
      </c>
      <c r="C43" s="103"/>
      <c r="D43" s="103"/>
      <c r="E43" s="103"/>
      <c r="F43" s="103"/>
      <c r="G43" s="103"/>
      <c r="H43" s="103"/>
    </row>
    <row r="44" spans="2:8" ht="20.100000000000001" customHeight="1">
      <c r="B44" s="141" t="s">
        <v>297</v>
      </c>
      <c r="C44" s="142" t="s">
        <v>298</v>
      </c>
      <c r="D44" s="1"/>
      <c r="E44" s="1"/>
      <c r="F44" s="1"/>
      <c r="G44" s="1"/>
      <c r="H44" s="2"/>
    </row>
    <row r="45" spans="2:8" ht="20.100000000000001" customHeight="1">
      <c r="B45" s="143" t="s">
        <v>110</v>
      </c>
      <c r="C45" s="42" t="s">
        <v>111</v>
      </c>
      <c r="D45" s="137" t="s">
        <v>244</v>
      </c>
      <c r="E45" s="126">
        <v>1</v>
      </c>
      <c r="F45" s="144" t="s">
        <v>299</v>
      </c>
      <c r="G45" s="145" t="s">
        <v>300</v>
      </c>
      <c r="H45" s="121"/>
    </row>
    <row r="46" spans="2:8" ht="20.100000000000001" customHeight="1">
      <c r="B46" s="143" t="s">
        <v>113</v>
      </c>
      <c r="C46" s="42" t="s">
        <v>114</v>
      </c>
      <c r="D46" s="137" t="s">
        <v>244</v>
      </c>
      <c r="E46" s="126">
        <v>0</v>
      </c>
      <c r="F46" s="144" t="s">
        <v>299</v>
      </c>
      <c r="G46" s="145" t="s">
        <v>300</v>
      </c>
      <c r="H46" s="121"/>
    </row>
    <row r="47" spans="2:8" ht="18" customHeight="1">
      <c r="B47" s="143" t="s">
        <v>116</v>
      </c>
      <c r="C47" s="42" t="s">
        <v>117</v>
      </c>
      <c r="D47" s="84" t="s">
        <v>244</v>
      </c>
      <c r="E47" s="126">
        <v>0</v>
      </c>
      <c r="F47" s="127" t="s">
        <v>299</v>
      </c>
      <c r="G47" s="128" t="s">
        <v>300</v>
      </c>
      <c r="H47" s="129" t="s">
        <v>298</v>
      </c>
    </row>
    <row r="48" spans="2:8" ht="30" customHeight="1">
      <c r="B48" s="143" t="s">
        <v>119</v>
      </c>
      <c r="C48" s="42" t="s">
        <v>120</v>
      </c>
      <c r="D48" s="84" t="s">
        <v>244</v>
      </c>
      <c r="E48" s="126">
        <v>1</v>
      </c>
      <c r="F48" s="127" t="s">
        <v>299</v>
      </c>
      <c r="G48" s="128" t="s">
        <v>300</v>
      </c>
      <c r="H48" s="129" t="s">
        <v>298</v>
      </c>
    </row>
    <row r="49" spans="2:8" ht="20.100000000000001" customHeight="1">
      <c r="B49" s="102" t="s">
        <v>306</v>
      </c>
      <c r="C49" s="103"/>
      <c r="D49" s="1"/>
      <c r="E49" s="1"/>
      <c r="F49" s="1"/>
      <c r="G49" s="1"/>
      <c r="H49" s="2"/>
    </row>
    <row r="50" spans="2:8" ht="39.950000000000003" customHeight="1">
      <c r="B50" s="141" t="s">
        <v>297</v>
      </c>
      <c r="C50" s="173" t="s">
        <v>298</v>
      </c>
      <c r="D50" s="199"/>
      <c r="E50" s="199"/>
      <c r="F50" s="199"/>
      <c r="G50" s="199"/>
      <c r="H50" s="200"/>
    </row>
    <row r="51" spans="2:8" ht="20.100000000000001" customHeight="1">
      <c r="B51" s="143" t="s">
        <v>123</v>
      </c>
      <c r="C51" s="42" t="s">
        <v>307</v>
      </c>
      <c r="D51" s="137" t="s">
        <v>244</v>
      </c>
      <c r="E51" s="126">
        <v>0</v>
      </c>
      <c r="F51" s="144" t="s">
        <v>299</v>
      </c>
      <c r="G51" s="145" t="s">
        <v>300</v>
      </c>
      <c r="H51" s="121"/>
    </row>
    <row r="52" spans="2:8" ht="20.100000000000001" customHeight="1">
      <c r="B52" s="130" t="s">
        <v>241</v>
      </c>
      <c r="C52" s="150" t="s">
        <v>392</v>
      </c>
      <c r="D52" s="1"/>
      <c r="E52" s="1"/>
      <c r="F52" s="1"/>
      <c r="G52" s="1"/>
      <c r="H52" s="2"/>
    </row>
    <row r="53" spans="2:8" ht="20.100000000000001" customHeight="1">
      <c r="B53" s="143" t="s">
        <v>126</v>
      </c>
      <c r="C53" s="42" t="s">
        <v>309</v>
      </c>
      <c r="D53" s="137" t="s">
        <v>244</v>
      </c>
      <c r="E53" s="126">
        <v>0</v>
      </c>
      <c r="F53" s="144" t="s">
        <v>299</v>
      </c>
      <c r="G53" s="145" t="s">
        <v>300</v>
      </c>
      <c r="H53" s="121"/>
    </row>
    <row r="54" spans="2:8" ht="20.100000000000001" customHeight="1">
      <c r="B54" s="143" t="s">
        <v>129</v>
      </c>
      <c r="C54" s="42" t="s">
        <v>130</v>
      </c>
      <c r="D54" s="137" t="s">
        <v>244</v>
      </c>
      <c r="E54" s="126">
        <v>1</v>
      </c>
      <c r="F54" s="144" t="s">
        <v>299</v>
      </c>
      <c r="G54" s="145" t="s">
        <v>300</v>
      </c>
      <c r="H54" s="121"/>
    </row>
    <row r="55" spans="2:8" ht="18" customHeight="1">
      <c r="B55" s="143" t="s">
        <v>132</v>
      </c>
      <c r="C55" s="42" t="s">
        <v>310</v>
      </c>
      <c r="D55" s="1"/>
      <c r="E55" s="1"/>
      <c r="F55" s="1"/>
      <c r="G55" s="1"/>
      <c r="H55" s="2"/>
    </row>
    <row r="56" spans="2:8" ht="30" customHeight="1">
      <c r="B56" s="143" t="s">
        <v>135</v>
      </c>
      <c r="C56" s="177" t="s">
        <v>311</v>
      </c>
      <c r="D56" s="199"/>
      <c r="E56" s="199"/>
      <c r="F56" s="199"/>
      <c r="G56" s="199"/>
      <c r="H56" s="200"/>
    </row>
    <row r="57" spans="2:8" ht="20.100000000000001" customHeight="1">
      <c r="B57" s="102" t="s">
        <v>313</v>
      </c>
      <c r="C57" s="103"/>
      <c r="D57" s="103"/>
      <c r="E57" s="103"/>
      <c r="F57" s="103"/>
      <c r="G57" s="103"/>
      <c r="H57" s="103"/>
    </row>
    <row r="58" spans="2:8" ht="20.100000000000001" customHeight="1">
      <c r="B58" s="141" t="s">
        <v>297</v>
      </c>
      <c r="C58" s="142" t="s">
        <v>298</v>
      </c>
      <c r="D58" s="1"/>
      <c r="E58" s="1"/>
      <c r="F58" s="1"/>
      <c r="G58" s="1"/>
      <c r="H58" s="2"/>
    </row>
    <row r="59" spans="2:8" ht="20.100000000000001" customHeight="1">
      <c r="B59" s="143" t="s">
        <v>139</v>
      </c>
      <c r="C59" s="42" t="s">
        <v>314</v>
      </c>
      <c r="D59" s="137" t="s">
        <v>244</v>
      </c>
      <c r="E59" s="126">
        <v>1</v>
      </c>
      <c r="F59" s="144" t="s">
        <v>299</v>
      </c>
      <c r="G59" s="145" t="s">
        <v>300</v>
      </c>
      <c r="H59" s="121"/>
    </row>
    <row r="60" spans="2:8" ht="20.100000000000001" customHeight="1">
      <c r="B60" s="143" t="s">
        <v>142</v>
      </c>
      <c r="C60" s="42" t="s">
        <v>143</v>
      </c>
      <c r="D60" s="137" t="s">
        <v>244</v>
      </c>
      <c r="E60" s="126">
        <v>1</v>
      </c>
      <c r="F60" s="144" t="s">
        <v>299</v>
      </c>
      <c r="G60" s="145" t="s">
        <v>300</v>
      </c>
      <c r="H60" s="121"/>
    </row>
    <row r="61" spans="2:8" ht="20.100000000000001" customHeight="1">
      <c r="B61" s="143" t="s">
        <v>145</v>
      </c>
      <c r="C61" s="42" t="s">
        <v>315</v>
      </c>
      <c r="D61" s="137" t="s">
        <v>244</v>
      </c>
      <c r="E61" s="126">
        <v>1</v>
      </c>
      <c r="F61" s="144" t="s">
        <v>299</v>
      </c>
      <c r="G61" s="145" t="s">
        <v>300</v>
      </c>
      <c r="H61" s="121"/>
    </row>
    <row r="62" spans="2:8" ht="20.100000000000001" customHeight="1">
      <c r="B62" s="143" t="s">
        <v>148</v>
      </c>
      <c r="C62" s="42" t="s">
        <v>316</v>
      </c>
      <c r="D62" s="137" t="s">
        <v>244</v>
      </c>
      <c r="E62" s="126">
        <v>0</v>
      </c>
      <c r="F62" s="144" t="s">
        <v>299</v>
      </c>
      <c r="G62" s="145" t="s">
        <v>300</v>
      </c>
      <c r="H62" s="121"/>
    </row>
    <row r="63" spans="2:8" ht="18" customHeight="1">
      <c r="B63" s="143" t="s">
        <v>151</v>
      </c>
      <c r="C63" s="42" t="s">
        <v>152</v>
      </c>
      <c r="D63" s="137" t="s">
        <v>244</v>
      </c>
      <c r="E63" s="126">
        <v>0</v>
      </c>
      <c r="F63" s="144" t="s">
        <v>299</v>
      </c>
      <c r="G63" s="145" t="s">
        <v>300</v>
      </c>
      <c r="H63" s="2"/>
    </row>
    <row r="64" spans="2:8" ht="30" customHeight="1">
      <c r="B64" s="143" t="s">
        <v>154</v>
      </c>
      <c r="C64" s="42" t="s">
        <v>155</v>
      </c>
      <c r="D64" s="137" t="s">
        <v>244</v>
      </c>
      <c r="E64" s="126">
        <v>0</v>
      </c>
      <c r="F64" s="144" t="s">
        <v>299</v>
      </c>
      <c r="G64" s="145" t="s">
        <v>300</v>
      </c>
      <c r="H64" s="2"/>
    </row>
    <row r="65" spans="2:8" ht="20.100000000000001" customHeight="1">
      <c r="B65" s="141" t="s">
        <v>297</v>
      </c>
      <c r="C65" s="142" t="s">
        <v>298</v>
      </c>
      <c r="D65" s="1"/>
      <c r="E65" s="1"/>
      <c r="F65" s="1"/>
      <c r="G65" s="1"/>
      <c r="H65" s="2"/>
    </row>
    <row r="67" spans="2:8" ht="30" customHeight="1">
      <c r="B67" s="147" t="s">
        <v>317</v>
      </c>
      <c r="C67" s="170" t="s">
        <v>318</v>
      </c>
      <c r="D67" s="199"/>
      <c r="E67" s="199"/>
      <c r="F67" s="199"/>
      <c r="G67" s="199"/>
      <c r="H67" s="200"/>
    </row>
  </sheetData>
  <mergeCells count="7">
    <mergeCell ref="C67:H67"/>
    <mergeCell ref="C16:H16"/>
    <mergeCell ref="C50:H50"/>
    <mergeCell ref="N12:O12"/>
    <mergeCell ref="C34:H34"/>
    <mergeCell ref="C56:H56"/>
    <mergeCell ref="H12:M12"/>
  </mergeCell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FFFF00"/>
  </sheetPr>
  <dimension ref="B1:O67"/>
  <sheetViews>
    <sheetView workbookViewId="0">
      <selection activeCell="C21" sqref="C21"/>
    </sheetView>
  </sheetViews>
  <sheetFormatPr defaultRowHeight="14.45"/>
  <cols>
    <col min="1" max="1" width="2" customWidth="1"/>
    <col min="2" max="2" width="28" customWidth="1"/>
    <col min="3" max="3" width="45" bestFit="1" customWidth="1"/>
    <col min="4" max="4" width="18" customWidth="1"/>
    <col min="5" max="7" width="14" customWidth="1"/>
    <col min="8" max="8" width="55" customWidth="1"/>
    <col min="9" max="13" width="30.140625" customWidth="1"/>
  </cols>
  <sheetData>
    <row r="1" spans="2:15" ht="27.95" customHeight="1">
      <c r="B1" s="118" t="s">
        <v>417</v>
      </c>
      <c r="C1" s="68"/>
      <c r="D1" s="68"/>
      <c r="E1" s="68"/>
      <c r="F1" s="68"/>
      <c r="G1" s="68"/>
      <c r="H1" s="68"/>
    </row>
    <row r="2" spans="2:15" ht="15.95" customHeight="1">
      <c r="B2" s="19" t="s">
        <v>216</v>
      </c>
      <c r="C2" s="43" t="s">
        <v>217</v>
      </c>
      <c r="D2" s="43" t="s">
        <v>218</v>
      </c>
      <c r="E2" s="103"/>
      <c r="F2" s="103"/>
      <c r="G2" s="103"/>
      <c r="H2" s="43" t="s">
        <v>219</v>
      </c>
    </row>
    <row r="3" spans="2:15" ht="15.95" customHeight="1">
      <c r="B3" s="119" t="s">
        <v>220</v>
      </c>
      <c r="C3" s="42" t="s">
        <v>418</v>
      </c>
      <c r="D3" s="121"/>
      <c r="E3" s="121"/>
      <c r="F3" s="121"/>
      <c r="G3" s="121"/>
      <c r="H3" s="121"/>
    </row>
    <row r="4" spans="2:15" ht="15.95" customHeight="1">
      <c r="B4" s="119" t="s">
        <v>199</v>
      </c>
      <c r="C4" s="42" t="s">
        <v>419</v>
      </c>
      <c r="D4" s="121"/>
      <c r="E4" s="121"/>
      <c r="F4" s="121"/>
      <c r="G4" s="121"/>
      <c r="H4" s="121"/>
    </row>
    <row r="5" spans="2:15" ht="15.95" customHeight="1">
      <c r="B5" s="119" t="s">
        <v>224</v>
      </c>
      <c r="C5" s="42" t="s">
        <v>420</v>
      </c>
      <c r="D5" s="121"/>
      <c r="E5" s="121"/>
      <c r="F5" s="121"/>
      <c r="G5" s="121"/>
      <c r="H5" s="121"/>
    </row>
    <row r="6" spans="2:15" ht="15.95" customHeight="1">
      <c r="B6" s="119" t="s">
        <v>226</v>
      </c>
      <c r="C6" s="42" t="s">
        <v>173</v>
      </c>
      <c r="D6" s="121"/>
      <c r="E6" s="121"/>
      <c r="F6" s="121"/>
      <c r="G6" s="121"/>
      <c r="H6" s="121"/>
    </row>
    <row r="7" spans="2:15" ht="15.95" customHeight="1">
      <c r="B7" s="119" t="s">
        <v>227</v>
      </c>
      <c r="C7" s="151">
        <v>46087</v>
      </c>
      <c r="D7" s="121"/>
      <c r="E7" s="121"/>
      <c r="F7" s="121"/>
      <c r="G7" s="121"/>
      <c r="H7" s="121"/>
    </row>
    <row r="8" spans="2:15" ht="15.95" customHeight="1">
      <c r="B8" s="119" t="s">
        <v>229</v>
      </c>
      <c r="C8" s="42" t="s">
        <v>230</v>
      </c>
      <c r="D8" s="121"/>
      <c r="E8" s="121"/>
      <c r="F8" s="121"/>
      <c r="G8" s="121"/>
      <c r="H8" s="121"/>
    </row>
    <row r="9" spans="2:15" ht="15.95" customHeight="1">
      <c r="B9" s="119" t="s">
        <v>231</v>
      </c>
      <c r="C9" s="42"/>
      <c r="D9" s="121"/>
      <c r="E9" s="121"/>
      <c r="F9" s="121"/>
      <c r="G9" s="121"/>
      <c r="H9" s="121"/>
    </row>
    <row r="10" spans="2:15" ht="15.95" customHeight="1">
      <c r="B10" s="119" t="s">
        <v>201</v>
      </c>
      <c r="C10" s="42" t="s">
        <v>421</v>
      </c>
      <c r="D10" s="121"/>
      <c r="E10" s="121"/>
      <c r="F10" s="121"/>
      <c r="G10" s="121"/>
      <c r="H10" s="121"/>
    </row>
    <row r="11" spans="2:15" ht="15.95" customHeight="1">
      <c r="B11" s="119" t="s">
        <v>203</v>
      </c>
      <c r="C11" s="42" t="s">
        <v>13</v>
      </c>
      <c r="D11" s="121"/>
      <c r="E11" s="121"/>
      <c r="F11" s="121"/>
      <c r="G11" s="121"/>
      <c r="H11" s="121"/>
    </row>
    <row r="12" spans="2:15" ht="15.95" customHeight="1">
      <c r="B12" s="119" t="s">
        <v>232</v>
      </c>
      <c r="C12" s="3">
        <v>3240000000</v>
      </c>
      <c r="D12" s="121"/>
      <c r="E12" s="121"/>
      <c r="F12" s="121"/>
      <c r="G12" s="121"/>
      <c r="H12" s="174"/>
      <c r="I12" s="199"/>
      <c r="J12" s="199"/>
      <c r="K12" s="199"/>
      <c r="L12" s="199"/>
      <c r="M12" s="200"/>
      <c r="N12" s="201"/>
      <c r="O12" s="201"/>
    </row>
    <row r="13" spans="2:15" ht="15.95" customHeight="1">
      <c r="B13" s="119" t="s">
        <v>161</v>
      </c>
      <c r="C13" s="42" t="s">
        <v>422</v>
      </c>
      <c r="D13" s="121"/>
      <c r="E13" s="121"/>
      <c r="F13" s="121"/>
      <c r="G13" s="121"/>
      <c r="H13" s="121"/>
    </row>
    <row r="14" spans="2:15" ht="15.95" customHeight="1">
      <c r="B14" s="68"/>
      <c r="C14" s="68"/>
      <c r="D14" s="68"/>
      <c r="E14" s="68"/>
      <c r="F14" s="68"/>
      <c r="G14" s="68"/>
      <c r="H14" s="68"/>
      <c r="I14" s="1"/>
      <c r="J14" s="1"/>
      <c r="K14" s="1"/>
      <c r="L14" s="1"/>
      <c r="M14" s="2"/>
    </row>
    <row r="15" spans="2:15" ht="54.95" customHeight="1">
      <c r="B15" s="123" t="s">
        <v>46</v>
      </c>
      <c r="C15" s="124" t="s">
        <v>47</v>
      </c>
      <c r="D15" s="1"/>
      <c r="E15" s="1"/>
      <c r="F15" s="1"/>
      <c r="G15" s="1"/>
      <c r="H15" s="2"/>
    </row>
    <row r="16" spans="2:15" ht="39.950000000000003" customHeight="1">
      <c r="B16" s="102" t="s">
        <v>234</v>
      </c>
      <c r="C16" s="172"/>
      <c r="D16" s="199"/>
      <c r="E16" s="199"/>
      <c r="F16" s="199"/>
      <c r="G16" s="199"/>
      <c r="H16" s="200"/>
    </row>
    <row r="17" spans="2:8" ht="54.95" customHeight="1">
      <c r="B17" s="105" t="s">
        <v>52</v>
      </c>
      <c r="C17" s="119" t="s">
        <v>235</v>
      </c>
      <c r="D17" s="125" t="s">
        <v>236</v>
      </c>
      <c r="E17" s="126">
        <v>3</v>
      </c>
      <c r="F17" s="127" t="s">
        <v>237</v>
      </c>
      <c r="G17" s="128" t="s">
        <v>238</v>
      </c>
      <c r="H17" s="129" t="s">
        <v>239</v>
      </c>
    </row>
    <row r="18" spans="2:8" ht="54.95" customHeight="1">
      <c r="B18" s="130" t="s">
        <v>241</v>
      </c>
      <c r="C18" s="131" t="s">
        <v>423</v>
      </c>
      <c r="D18" s="1"/>
      <c r="E18" s="1"/>
      <c r="F18" s="1"/>
      <c r="G18" s="1"/>
      <c r="H18" s="2"/>
    </row>
    <row r="19" spans="2:8" ht="54.95" customHeight="1">
      <c r="B19" s="105" t="s">
        <v>56</v>
      </c>
      <c r="C19" s="119" t="s">
        <v>243</v>
      </c>
      <c r="D19" s="125" t="s">
        <v>244</v>
      </c>
      <c r="E19" s="126">
        <v>1</v>
      </c>
      <c r="F19" s="127" t="s">
        <v>245</v>
      </c>
      <c r="G19" s="128" t="s">
        <v>246</v>
      </c>
      <c r="H19" s="129" t="s">
        <v>247</v>
      </c>
    </row>
    <row r="20" spans="2:8" ht="18" customHeight="1">
      <c r="B20" s="105" t="s">
        <v>59</v>
      </c>
      <c r="C20" s="119" t="s">
        <v>248</v>
      </c>
      <c r="D20" s="125" t="s">
        <v>244</v>
      </c>
      <c r="E20" s="126">
        <v>0</v>
      </c>
      <c r="F20" s="127" t="s">
        <v>249</v>
      </c>
      <c r="G20" s="128" t="s">
        <v>250</v>
      </c>
      <c r="H20" s="129" t="s">
        <v>251</v>
      </c>
    </row>
    <row r="21" spans="2:8" ht="15.95" customHeight="1">
      <c r="B21" s="105" t="s">
        <v>62</v>
      </c>
      <c r="C21" s="119" t="s">
        <v>252</v>
      </c>
      <c r="D21" s="125" t="s">
        <v>244</v>
      </c>
      <c r="E21" s="126">
        <v>1</v>
      </c>
      <c r="F21" s="127" t="s">
        <v>253</v>
      </c>
      <c r="G21" s="128" t="s">
        <v>254</v>
      </c>
      <c r="H21" s="129" t="s">
        <v>255</v>
      </c>
    </row>
    <row r="22" spans="2:8" ht="54.95" customHeight="1">
      <c r="B22" s="102" t="s">
        <v>256</v>
      </c>
      <c r="C22" s="103"/>
      <c r="D22" s="103"/>
      <c r="E22" s="103"/>
      <c r="F22" s="103"/>
      <c r="G22" s="103"/>
      <c r="H22" s="103"/>
    </row>
    <row r="23" spans="2:8" ht="54.95" customHeight="1">
      <c r="B23" s="132" t="s">
        <v>46</v>
      </c>
      <c r="C23" s="133" t="s">
        <v>47</v>
      </c>
      <c r="D23" s="132" t="s">
        <v>257</v>
      </c>
      <c r="E23" s="134" t="s">
        <v>258</v>
      </c>
      <c r="F23" s="135" t="s">
        <v>259</v>
      </c>
      <c r="G23" s="136" t="s">
        <v>260</v>
      </c>
      <c r="H23" s="133" t="s">
        <v>261</v>
      </c>
    </row>
    <row r="24" spans="2:8" ht="54.95" customHeight="1">
      <c r="B24" s="105" t="s">
        <v>66</v>
      </c>
      <c r="C24" s="42" t="s">
        <v>262</v>
      </c>
      <c r="D24" s="137" t="s">
        <v>263</v>
      </c>
      <c r="E24" s="146"/>
      <c r="F24" s="127" t="s">
        <v>264</v>
      </c>
      <c r="G24" s="128" t="s">
        <v>265</v>
      </c>
      <c r="H24" s="129" t="s">
        <v>266</v>
      </c>
    </row>
    <row r="25" spans="2:8" ht="54.95" customHeight="1">
      <c r="B25" s="105" t="s">
        <v>69</v>
      </c>
      <c r="C25" s="42" t="s">
        <v>267</v>
      </c>
      <c r="D25" s="137" t="s">
        <v>263</v>
      </c>
      <c r="E25" s="146"/>
      <c r="F25" s="127" t="s">
        <v>268</v>
      </c>
      <c r="G25" s="128" t="s">
        <v>269</v>
      </c>
      <c r="H25" s="129" t="s">
        <v>270</v>
      </c>
    </row>
    <row r="26" spans="2:8" ht="54.95" customHeight="1">
      <c r="B26" s="105" t="s">
        <v>71</v>
      </c>
      <c r="C26" s="42" t="s">
        <v>271</v>
      </c>
      <c r="D26" s="137" t="s">
        <v>263</v>
      </c>
      <c r="E26" s="126">
        <v>2</v>
      </c>
      <c r="F26" s="127" t="s">
        <v>272</v>
      </c>
      <c r="G26" s="128" t="s">
        <v>273</v>
      </c>
      <c r="H26" s="129" t="s">
        <v>274</v>
      </c>
    </row>
    <row r="27" spans="2:8" ht="54.95" customHeight="1">
      <c r="B27" s="105" t="s">
        <v>73</v>
      </c>
      <c r="C27" s="42" t="s">
        <v>275</v>
      </c>
      <c r="D27" s="137" t="s">
        <v>263</v>
      </c>
      <c r="E27" s="126">
        <v>1</v>
      </c>
      <c r="F27" s="127" t="s">
        <v>276</v>
      </c>
      <c r="G27" s="128" t="s">
        <v>277</v>
      </c>
      <c r="H27" s="129" t="s">
        <v>278</v>
      </c>
    </row>
    <row r="28" spans="2:8" ht="54.95" customHeight="1">
      <c r="B28" s="105" t="s">
        <v>75</v>
      </c>
      <c r="C28" s="42" t="s">
        <v>279</v>
      </c>
      <c r="D28" s="137" t="s">
        <v>263</v>
      </c>
      <c r="E28" s="126">
        <v>2</v>
      </c>
      <c r="F28" s="127" t="s">
        <v>280</v>
      </c>
      <c r="G28" s="128" t="s">
        <v>281</v>
      </c>
      <c r="H28" s="129" t="s">
        <v>282</v>
      </c>
    </row>
    <row r="29" spans="2:8" ht="54.95" customHeight="1">
      <c r="B29" s="105" t="s">
        <v>77</v>
      </c>
      <c r="C29" s="42" t="s">
        <v>283</v>
      </c>
      <c r="D29" s="137" t="s">
        <v>263</v>
      </c>
      <c r="E29" s="146"/>
      <c r="F29" s="127" t="s">
        <v>284</v>
      </c>
      <c r="G29" s="128" t="s">
        <v>285</v>
      </c>
      <c r="H29" s="129" t="s">
        <v>286</v>
      </c>
    </row>
    <row r="30" spans="2:8" ht="54.95" customHeight="1">
      <c r="B30" s="105" t="s">
        <v>79</v>
      </c>
      <c r="C30" s="42" t="s">
        <v>287</v>
      </c>
      <c r="D30" s="137" t="s">
        <v>263</v>
      </c>
      <c r="E30" s="126">
        <v>4</v>
      </c>
      <c r="F30" s="127" t="s">
        <v>288</v>
      </c>
      <c r="G30" s="128" t="s">
        <v>289</v>
      </c>
      <c r="H30" s="129" t="s">
        <v>290</v>
      </c>
    </row>
    <row r="31" spans="2:8" ht="18" customHeight="1">
      <c r="B31" s="105" t="s">
        <v>81</v>
      </c>
      <c r="C31" s="42" t="s">
        <v>291</v>
      </c>
      <c r="D31" s="137" t="s">
        <v>263</v>
      </c>
      <c r="E31" s="126">
        <v>4</v>
      </c>
      <c r="F31" s="127" t="s">
        <v>327</v>
      </c>
      <c r="G31" s="128" t="s">
        <v>328</v>
      </c>
      <c r="H31" s="129" t="s">
        <v>329</v>
      </c>
    </row>
    <row r="32" spans="2:8" ht="30" customHeight="1">
      <c r="B32" s="105" t="s">
        <v>84</v>
      </c>
      <c r="C32" s="42" t="s">
        <v>292</v>
      </c>
      <c r="D32" s="138" t="s">
        <v>236</v>
      </c>
      <c r="E32" s="126">
        <v>3</v>
      </c>
      <c r="F32" s="139" t="s">
        <v>293</v>
      </c>
      <c r="G32" s="128" t="s">
        <v>294</v>
      </c>
      <c r="H32" s="140" t="s">
        <v>295</v>
      </c>
    </row>
    <row r="33" spans="2:8" ht="20.100000000000001" customHeight="1">
      <c r="B33" s="102" t="s">
        <v>296</v>
      </c>
      <c r="C33" s="103"/>
      <c r="D33" s="1"/>
      <c r="E33" s="1"/>
      <c r="F33" s="1"/>
      <c r="G33" s="1"/>
      <c r="H33" s="2"/>
    </row>
    <row r="34" spans="2:8" ht="39.950000000000003" customHeight="1">
      <c r="B34" s="141" t="s">
        <v>297</v>
      </c>
      <c r="C34" s="173" t="s">
        <v>298</v>
      </c>
      <c r="D34" s="199"/>
      <c r="E34" s="199"/>
      <c r="F34" s="199"/>
      <c r="G34" s="199"/>
      <c r="H34" s="200"/>
    </row>
    <row r="35" spans="2:8" ht="20.100000000000001" customHeight="1">
      <c r="B35" s="143" t="s">
        <v>88</v>
      </c>
      <c r="C35" s="42" t="s">
        <v>89</v>
      </c>
      <c r="D35" s="137" t="s">
        <v>244</v>
      </c>
      <c r="E35" s="126">
        <v>0</v>
      </c>
      <c r="F35" s="144" t="s">
        <v>299</v>
      </c>
      <c r="G35" s="145" t="s">
        <v>300</v>
      </c>
      <c r="H35" s="121"/>
    </row>
    <row r="36" spans="2:8" ht="20.100000000000001" customHeight="1">
      <c r="B36" s="130" t="s">
        <v>241</v>
      </c>
      <c r="C36" s="150" t="s">
        <v>381</v>
      </c>
      <c r="D36" s="1"/>
      <c r="E36" s="1"/>
      <c r="F36" s="1"/>
      <c r="G36" s="1"/>
      <c r="H36" s="2"/>
    </row>
    <row r="37" spans="2:8" ht="20.100000000000001" customHeight="1">
      <c r="B37" s="143" t="s">
        <v>91</v>
      </c>
      <c r="C37" s="42" t="s">
        <v>92</v>
      </c>
      <c r="D37" s="137" t="s">
        <v>244</v>
      </c>
      <c r="E37" s="126">
        <v>1</v>
      </c>
      <c r="F37" s="144" t="s">
        <v>299</v>
      </c>
      <c r="G37" s="145" t="s">
        <v>300</v>
      </c>
      <c r="H37" s="121"/>
    </row>
    <row r="38" spans="2:8" ht="20.100000000000001" customHeight="1">
      <c r="B38" s="143" t="s">
        <v>94</v>
      </c>
      <c r="C38" s="42" t="s">
        <v>302</v>
      </c>
      <c r="D38" s="137" t="s">
        <v>244</v>
      </c>
      <c r="E38" s="126">
        <v>1</v>
      </c>
      <c r="F38" s="144" t="s">
        <v>299</v>
      </c>
      <c r="G38" s="145" t="s">
        <v>300</v>
      </c>
      <c r="H38" s="121"/>
    </row>
    <row r="39" spans="2:8" ht="20.100000000000001" customHeight="1">
      <c r="B39" s="143" t="s">
        <v>97</v>
      </c>
      <c r="C39" s="42" t="s">
        <v>98</v>
      </c>
      <c r="D39" s="137" t="s">
        <v>244</v>
      </c>
      <c r="E39" s="126">
        <v>0</v>
      </c>
      <c r="F39" s="144" t="s">
        <v>299</v>
      </c>
      <c r="G39" s="145" t="s">
        <v>300</v>
      </c>
      <c r="H39" s="121"/>
    </row>
    <row r="40" spans="2:8" ht="20.100000000000001" customHeight="1">
      <c r="B40" s="143" t="s">
        <v>100</v>
      </c>
      <c r="C40" s="42" t="s">
        <v>101</v>
      </c>
      <c r="D40" s="137" t="s">
        <v>244</v>
      </c>
      <c r="E40" s="126">
        <v>1</v>
      </c>
      <c r="F40" s="144" t="s">
        <v>299</v>
      </c>
      <c r="G40" s="145" t="s">
        <v>300</v>
      </c>
      <c r="H40" s="121"/>
    </row>
    <row r="41" spans="2:8" ht="18" customHeight="1">
      <c r="B41" s="143" t="s">
        <v>103</v>
      </c>
      <c r="C41" s="42" t="s">
        <v>104</v>
      </c>
      <c r="D41" s="84" t="s">
        <v>244</v>
      </c>
      <c r="E41" s="126">
        <v>0</v>
      </c>
      <c r="F41" s="127" t="s">
        <v>299</v>
      </c>
      <c r="G41" s="128" t="s">
        <v>300</v>
      </c>
      <c r="H41" s="129" t="s">
        <v>298</v>
      </c>
    </row>
    <row r="42" spans="2:8" ht="30" customHeight="1">
      <c r="B42" s="143" t="s">
        <v>106</v>
      </c>
      <c r="C42" s="42" t="s">
        <v>303</v>
      </c>
      <c r="D42" s="84" t="s">
        <v>244</v>
      </c>
      <c r="E42" s="126">
        <v>0</v>
      </c>
      <c r="F42" s="127" t="s">
        <v>299</v>
      </c>
      <c r="G42" s="128" t="s">
        <v>300</v>
      </c>
      <c r="H42" s="129" t="s">
        <v>298</v>
      </c>
    </row>
    <row r="43" spans="2:8" ht="20.100000000000001" customHeight="1">
      <c r="B43" s="102" t="s">
        <v>304</v>
      </c>
      <c r="C43" s="103"/>
      <c r="D43" s="103"/>
      <c r="E43" s="103"/>
      <c r="F43" s="103"/>
      <c r="G43" s="103"/>
      <c r="H43" s="103"/>
    </row>
    <row r="44" spans="2:8" ht="20.100000000000001" customHeight="1">
      <c r="B44" s="141" t="s">
        <v>297</v>
      </c>
      <c r="C44" s="142" t="s">
        <v>298</v>
      </c>
      <c r="D44" s="1"/>
      <c r="E44" s="1"/>
      <c r="F44" s="1"/>
      <c r="G44" s="1"/>
      <c r="H44" s="2"/>
    </row>
    <row r="45" spans="2:8" ht="20.100000000000001" customHeight="1">
      <c r="B45" s="143" t="s">
        <v>110</v>
      </c>
      <c r="C45" s="42" t="s">
        <v>111</v>
      </c>
      <c r="D45" s="137" t="s">
        <v>244</v>
      </c>
      <c r="E45" s="126">
        <v>1</v>
      </c>
      <c r="F45" s="144" t="s">
        <v>299</v>
      </c>
      <c r="G45" s="145" t="s">
        <v>300</v>
      </c>
      <c r="H45" s="121"/>
    </row>
    <row r="46" spans="2:8" ht="20.100000000000001" customHeight="1">
      <c r="B46" s="143" t="s">
        <v>113</v>
      </c>
      <c r="C46" s="42" t="s">
        <v>114</v>
      </c>
      <c r="D46" s="137" t="s">
        <v>244</v>
      </c>
      <c r="E46" s="126">
        <v>1</v>
      </c>
      <c r="F46" s="144" t="s">
        <v>299</v>
      </c>
      <c r="G46" s="145" t="s">
        <v>300</v>
      </c>
      <c r="H46" s="121"/>
    </row>
    <row r="47" spans="2:8" ht="18" customHeight="1">
      <c r="B47" s="143" t="s">
        <v>116</v>
      </c>
      <c r="C47" s="42" t="s">
        <v>117</v>
      </c>
      <c r="D47" s="84" t="s">
        <v>244</v>
      </c>
      <c r="E47" s="126">
        <v>0</v>
      </c>
      <c r="F47" s="127" t="s">
        <v>299</v>
      </c>
      <c r="G47" s="128" t="s">
        <v>300</v>
      </c>
      <c r="H47" s="129" t="s">
        <v>298</v>
      </c>
    </row>
    <row r="48" spans="2:8" ht="30" customHeight="1">
      <c r="B48" s="143" t="s">
        <v>119</v>
      </c>
      <c r="C48" s="42" t="s">
        <v>120</v>
      </c>
      <c r="D48" s="84" t="s">
        <v>244</v>
      </c>
      <c r="E48" s="126">
        <v>0</v>
      </c>
      <c r="F48" s="127" t="s">
        <v>299</v>
      </c>
      <c r="G48" s="128" t="s">
        <v>300</v>
      </c>
      <c r="H48" s="129" t="s">
        <v>298</v>
      </c>
    </row>
    <row r="49" spans="2:8" ht="20.100000000000001" customHeight="1">
      <c r="B49" s="102" t="s">
        <v>306</v>
      </c>
      <c r="C49" s="103"/>
      <c r="D49" s="1"/>
      <c r="E49" s="1"/>
      <c r="F49" s="1"/>
      <c r="G49" s="1"/>
      <c r="H49" s="2"/>
    </row>
    <row r="50" spans="2:8" ht="39.950000000000003" customHeight="1">
      <c r="B50" s="141" t="s">
        <v>297</v>
      </c>
      <c r="C50" s="173" t="s">
        <v>298</v>
      </c>
      <c r="D50" s="199"/>
      <c r="E50" s="199"/>
      <c r="F50" s="199"/>
      <c r="G50" s="199"/>
      <c r="H50" s="200"/>
    </row>
    <row r="51" spans="2:8" ht="20.100000000000001" customHeight="1">
      <c r="B51" s="143" t="s">
        <v>123</v>
      </c>
      <c r="C51" s="42" t="s">
        <v>307</v>
      </c>
      <c r="D51" s="137" t="s">
        <v>244</v>
      </c>
      <c r="E51" s="126">
        <v>0</v>
      </c>
      <c r="F51" s="144" t="s">
        <v>299</v>
      </c>
      <c r="G51" s="145" t="s">
        <v>300</v>
      </c>
      <c r="H51" s="121"/>
    </row>
    <row r="52" spans="2:8" ht="20.100000000000001" customHeight="1">
      <c r="B52" s="130" t="s">
        <v>241</v>
      </c>
      <c r="C52" s="150" t="s">
        <v>392</v>
      </c>
      <c r="D52" s="1"/>
      <c r="E52" s="1"/>
      <c r="F52" s="1"/>
      <c r="G52" s="1"/>
      <c r="H52" s="2"/>
    </row>
    <row r="53" spans="2:8" ht="20.100000000000001" customHeight="1">
      <c r="B53" s="143" t="s">
        <v>126</v>
      </c>
      <c r="C53" s="42" t="s">
        <v>309</v>
      </c>
      <c r="D53" s="137" t="s">
        <v>244</v>
      </c>
      <c r="E53" s="126">
        <v>0</v>
      </c>
      <c r="F53" s="144" t="s">
        <v>299</v>
      </c>
      <c r="G53" s="145" t="s">
        <v>300</v>
      </c>
      <c r="H53" s="121"/>
    </row>
    <row r="54" spans="2:8" ht="20.100000000000001" customHeight="1">
      <c r="B54" s="143" t="s">
        <v>129</v>
      </c>
      <c r="C54" s="42" t="s">
        <v>130</v>
      </c>
      <c r="D54" s="137" t="s">
        <v>244</v>
      </c>
      <c r="E54" s="126">
        <v>0</v>
      </c>
      <c r="F54" s="144" t="s">
        <v>299</v>
      </c>
      <c r="G54" s="145" t="s">
        <v>300</v>
      </c>
      <c r="H54" s="121"/>
    </row>
    <row r="55" spans="2:8" ht="18" customHeight="1">
      <c r="B55" s="143" t="s">
        <v>132</v>
      </c>
      <c r="C55" s="42" t="s">
        <v>310</v>
      </c>
      <c r="D55" s="1"/>
      <c r="E55" s="126">
        <v>0</v>
      </c>
      <c r="F55" s="1"/>
      <c r="G55" s="1"/>
      <c r="H55" s="2"/>
    </row>
    <row r="56" spans="2:8" ht="30" customHeight="1">
      <c r="B56" s="143" t="s">
        <v>135</v>
      </c>
      <c r="C56" s="42" t="s">
        <v>311</v>
      </c>
      <c r="E56" s="126">
        <v>1</v>
      </c>
    </row>
    <row r="57" spans="2:8" ht="20.100000000000001" customHeight="1">
      <c r="B57" s="102" t="s">
        <v>313</v>
      </c>
      <c r="C57" s="103"/>
      <c r="D57" s="103"/>
      <c r="E57" s="103"/>
      <c r="F57" s="103"/>
      <c r="G57" s="103"/>
      <c r="H57" s="103"/>
    </row>
    <row r="58" spans="2:8" ht="20.100000000000001" customHeight="1">
      <c r="B58" s="141" t="s">
        <v>297</v>
      </c>
      <c r="C58" s="142" t="s">
        <v>298</v>
      </c>
      <c r="D58" s="1"/>
      <c r="E58" s="1"/>
      <c r="F58" s="1"/>
      <c r="G58" s="1"/>
      <c r="H58" s="2"/>
    </row>
    <row r="59" spans="2:8" ht="20.100000000000001" customHeight="1">
      <c r="B59" s="143" t="s">
        <v>139</v>
      </c>
      <c r="C59" s="42" t="s">
        <v>314</v>
      </c>
      <c r="D59" s="137" t="s">
        <v>244</v>
      </c>
      <c r="E59" s="126">
        <v>1</v>
      </c>
      <c r="F59" s="144" t="s">
        <v>299</v>
      </c>
      <c r="G59" s="145" t="s">
        <v>300</v>
      </c>
      <c r="H59" s="121"/>
    </row>
    <row r="60" spans="2:8" ht="20.100000000000001" customHeight="1">
      <c r="B60" s="143" t="s">
        <v>142</v>
      </c>
      <c r="C60" s="42" t="s">
        <v>143</v>
      </c>
      <c r="D60" s="137" t="s">
        <v>244</v>
      </c>
      <c r="E60" s="126">
        <v>1</v>
      </c>
      <c r="F60" s="144" t="s">
        <v>299</v>
      </c>
      <c r="G60" s="145" t="s">
        <v>300</v>
      </c>
      <c r="H60" s="121"/>
    </row>
    <row r="61" spans="2:8" ht="20.100000000000001" customHeight="1">
      <c r="B61" s="143" t="s">
        <v>145</v>
      </c>
      <c r="C61" s="42" t="s">
        <v>315</v>
      </c>
      <c r="D61" s="137" t="s">
        <v>244</v>
      </c>
      <c r="E61" s="126">
        <v>0</v>
      </c>
      <c r="F61" s="144" t="s">
        <v>299</v>
      </c>
      <c r="G61" s="145" t="s">
        <v>300</v>
      </c>
      <c r="H61" s="121"/>
    </row>
    <row r="62" spans="2:8" ht="20.100000000000001" customHeight="1">
      <c r="B62" s="143" t="s">
        <v>148</v>
      </c>
      <c r="C62" s="42" t="s">
        <v>316</v>
      </c>
      <c r="D62" s="137" t="s">
        <v>244</v>
      </c>
      <c r="E62" s="126">
        <v>1</v>
      </c>
      <c r="F62" s="144" t="s">
        <v>299</v>
      </c>
      <c r="G62" s="145" t="s">
        <v>300</v>
      </c>
      <c r="H62" s="121"/>
    </row>
    <row r="63" spans="2:8" ht="18" customHeight="1">
      <c r="B63" s="143" t="s">
        <v>151</v>
      </c>
      <c r="C63" s="42" t="s">
        <v>152</v>
      </c>
      <c r="D63" s="137" t="s">
        <v>244</v>
      </c>
      <c r="E63" s="126">
        <v>0</v>
      </c>
      <c r="F63" s="144" t="s">
        <v>299</v>
      </c>
      <c r="G63" s="145" t="s">
        <v>300</v>
      </c>
      <c r="H63" s="2"/>
    </row>
    <row r="64" spans="2:8" ht="30" customHeight="1">
      <c r="B64" s="143" t="s">
        <v>154</v>
      </c>
      <c r="C64" s="42" t="s">
        <v>155</v>
      </c>
      <c r="D64" s="137" t="s">
        <v>244</v>
      </c>
      <c r="E64" s="126">
        <v>0</v>
      </c>
      <c r="F64" s="144" t="s">
        <v>299</v>
      </c>
      <c r="G64" s="145" t="s">
        <v>300</v>
      </c>
      <c r="H64" s="2"/>
    </row>
    <row r="65" spans="2:8" ht="20.100000000000001" customHeight="1">
      <c r="B65" s="141" t="s">
        <v>297</v>
      </c>
      <c r="C65" s="142" t="s">
        <v>298</v>
      </c>
      <c r="D65" s="1"/>
      <c r="E65" s="1"/>
      <c r="F65" s="1"/>
      <c r="G65" s="1"/>
      <c r="H65" s="2"/>
    </row>
    <row r="67" spans="2:8" ht="30" customHeight="1">
      <c r="B67" s="147" t="s">
        <v>317</v>
      </c>
      <c r="C67" s="170" t="s">
        <v>318</v>
      </c>
      <c r="D67" s="199"/>
      <c r="E67" s="199"/>
      <c r="F67" s="199"/>
      <c r="G67" s="199"/>
      <c r="H67" s="200"/>
    </row>
  </sheetData>
  <mergeCells count="6">
    <mergeCell ref="C67:H67"/>
    <mergeCell ref="C16:H16"/>
    <mergeCell ref="C50:H50"/>
    <mergeCell ref="N12:O12"/>
    <mergeCell ref="C34:H34"/>
    <mergeCell ref="H12:M12"/>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FFFF00"/>
  </sheetPr>
  <dimension ref="B1:O67"/>
  <sheetViews>
    <sheetView workbookViewId="0">
      <selection activeCell="C21" sqref="C21"/>
    </sheetView>
  </sheetViews>
  <sheetFormatPr defaultRowHeight="14.45"/>
  <cols>
    <col min="1" max="1" width="2" customWidth="1"/>
    <col min="2" max="2" width="28" customWidth="1"/>
    <col min="3" max="3" width="45" bestFit="1" customWidth="1"/>
    <col min="4" max="4" width="18" customWidth="1"/>
    <col min="5" max="7" width="14" customWidth="1"/>
    <col min="8" max="8" width="55" customWidth="1"/>
    <col min="9" max="13" width="30.140625" customWidth="1"/>
  </cols>
  <sheetData>
    <row r="1" spans="2:15" ht="27.95" customHeight="1">
      <c r="B1" s="118" t="s">
        <v>424</v>
      </c>
      <c r="C1" s="68"/>
      <c r="D1" s="68"/>
      <c r="E1" s="68"/>
      <c r="F1" s="68"/>
      <c r="G1" s="68"/>
      <c r="H1" s="68"/>
    </row>
    <row r="2" spans="2:15" ht="15.95" customHeight="1">
      <c r="B2" s="19" t="s">
        <v>216</v>
      </c>
      <c r="C2" s="43" t="s">
        <v>217</v>
      </c>
      <c r="D2" s="43" t="s">
        <v>218</v>
      </c>
      <c r="E2" s="103"/>
      <c r="F2" s="103"/>
      <c r="G2" s="103"/>
      <c r="H2" s="43" t="s">
        <v>219</v>
      </c>
    </row>
    <row r="3" spans="2:15" ht="15.95" customHeight="1">
      <c r="B3" s="119" t="s">
        <v>220</v>
      </c>
      <c r="C3" s="42" t="s">
        <v>425</v>
      </c>
      <c r="D3" s="121"/>
      <c r="E3" s="121"/>
      <c r="F3" s="121"/>
      <c r="G3" s="121"/>
      <c r="H3" s="121"/>
    </row>
    <row r="4" spans="2:15" ht="15.95" customHeight="1">
      <c r="B4" s="119" t="s">
        <v>199</v>
      </c>
      <c r="C4" s="42" t="s">
        <v>426</v>
      </c>
      <c r="D4" s="121"/>
      <c r="E4" s="121"/>
      <c r="F4" s="121"/>
      <c r="G4" s="121"/>
      <c r="H4" s="121"/>
    </row>
    <row r="5" spans="2:15" ht="15.95" customHeight="1">
      <c r="B5" s="119" t="s">
        <v>224</v>
      </c>
      <c r="C5" s="42" t="s">
        <v>26</v>
      </c>
      <c r="D5" s="121"/>
      <c r="E5" s="121"/>
      <c r="F5" s="121"/>
      <c r="G5" s="121"/>
      <c r="H5" s="121"/>
    </row>
    <row r="6" spans="2:15" ht="15.95" customHeight="1">
      <c r="B6" s="119" t="s">
        <v>226</v>
      </c>
      <c r="C6" s="42" t="s">
        <v>174</v>
      </c>
      <c r="D6" s="121"/>
      <c r="E6" s="121"/>
      <c r="F6" s="121"/>
      <c r="G6" s="121"/>
      <c r="H6" s="121"/>
    </row>
    <row r="7" spans="2:15" ht="15.95" customHeight="1">
      <c r="B7" s="119" t="s">
        <v>227</v>
      </c>
      <c r="C7" s="42" t="s">
        <v>427</v>
      </c>
      <c r="D7" s="121"/>
      <c r="E7" s="121"/>
      <c r="F7" s="121"/>
      <c r="G7" s="121"/>
      <c r="H7" s="121"/>
    </row>
    <row r="8" spans="2:15" ht="15.95" customHeight="1">
      <c r="B8" s="119" t="s">
        <v>229</v>
      </c>
      <c r="C8" s="42" t="s">
        <v>428</v>
      </c>
      <c r="D8" s="121"/>
      <c r="E8" s="121"/>
      <c r="F8" s="121"/>
      <c r="G8" s="121"/>
      <c r="H8" s="121"/>
    </row>
    <row r="9" spans="2:15" ht="15.95" customHeight="1">
      <c r="B9" s="119" t="s">
        <v>231</v>
      </c>
      <c r="C9" s="42"/>
      <c r="D9" s="121"/>
      <c r="E9" s="121"/>
      <c r="F9" s="121"/>
      <c r="G9" s="121"/>
      <c r="H9" s="121"/>
    </row>
    <row r="10" spans="2:15" ht="15.95" customHeight="1">
      <c r="B10" s="119" t="s">
        <v>201</v>
      </c>
      <c r="C10" s="42" t="s">
        <v>429</v>
      </c>
      <c r="D10" s="121"/>
      <c r="E10" s="121"/>
      <c r="F10" s="121"/>
      <c r="G10" s="121"/>
      <c r="H10" s="121"/>
    </row>
    <row r="11" spans="2:15" ht="15.95" customHeight="1">
      <c r="B11" s="119" t="s">
        <v>203</v>
      </c>
      <c r="C11" s="42" t="s">
        <v>6</v>
      </c>
      <c r="D11" s="121"/>
      <c r="E11" s="121"/>
      <c r="F11" s="121"/>
      <c r="G11" s="121"/>
      <c r="H11" s="121"/>
    </row>
    <row r="12" spans="2:15" ht="15.95" customHeight="1">
      <c r="B12" s="119" t="s">
        <v>232</v>
      </c>
      <c r="C12" s="3">
        <v>140000000</v>
      </c>
      <c r="D12" s="121"/>
      <c r="E12" s="121"/>
      <c r="F12" s="121"/>
      <c r="G12" s="121"/>
      <c r="H12" s="174"/>
      <c r="I12" s="199"/>
      <c r="J12" s="199"/>
      <c r="K12" s="199"/>
      <c r="L12" s="199"/>
      <c r="M12" s="200"/>
      <c r="N12" s="201"/>
      <c r="O12" s="201"/>
    </row>
    <row r="13" spans="2:15" ht="15.95" customHeight="1">
      <c r="B13" s="119" t="s">
        <v>161</v>
      </c>
      <c r="C13" s="42" t="s">
        <v>233</v>
      </c>
      <c r="D13" s="121"/>
      <c r="E13" s="121"/>
      <c r="F13" s="121"/>
      <c r="G13" s="121"/>
      <c r="H13" s="121"/>
    </row>
    <row r="14" spans="2:15" ht="15.95" customHeight="1">
      <c r="B14" s="68"/>
      <c r="C14" s="68"/>
      <c r="D14" s="68"/>
      <c r="E14" s="68"/>
      <c r="F14" s="68"/>
      <c r="G14" s="68"/>
      <c r="H14" s="68"/>
      <c r="I14" s="1"/>
      <c r="J14" s="1"/>
      <c r="K14" s="1"/>
      <c r="L14" s="1"/>
      <c r="M14" s="2"/>
    </row>
    <row r="15" spans="2:15" ht="54.95" customHeight="1">
      <c r="B15" s="123" t="s">
        <v>46</v>
      </c>
      <c r="C15" s="124" t="s">
        <v>47</v>
      </c>
      <c r="D15" s="1"/>
      <c r="E15" s="1"/>
      <c r="F15" s="1"/>
      <c r="G15" s="1"/>
      <c r="H15" s="2"/>
    </row>
    <row r="16" spans="2:15" ht="39.950000000000003" customHeight="1">
      <c r="B16" s="102" t="s">
        <v>234</v>
      </c>
      <c r="C16" s="172"/>
      <c r="D16" s="199"/>
      <c r="E16" s="199"/>
      <c r="F16" s="199"/>
      <c r="G16" s="199"/>
      <c r="H16" s="200"/>
    </row>
    <row r="17" spans="2:8" ht="54.95" customHeight="1">
      <c r="B17" s="105" t="s">
        <v>52</v>
      </c>
      <c r="C17" s="119" t="s">
        <v>235</v>
      </c>
      <c r="D17" s="125" t="s">
        <v>236</v>
      </c>
      <c r="E17" s="126">
        <v>9</v>
      </c>
      <c r="F17" s="127" t="s">
        <v>237</v>
      </c>
      <c r="G17" s="128" t="s">
        <v>238</v>
      </c>
      <c r="H17" s="129" t="s">
        <v>239</v>
      </c>
    </row>
    <row r="18" spans="2:8" ht="54.95" customHeight="1">
      <c r="B18" s="130" t="s">
        <v>241</v>
      </c>
      <c r="C18" s="131" t="s">
        <v>430</v>
      </c>
      <c r="D18" s="1"/>
      <c r="E18" s="1"/>
      <c r="F18" s="1"/>
      <c r="G18" s="1"/>
      <c r="H18" s="2"/>
    </row>
    <row r="19" spans="2:8" ht="54.95" customHeight="1">
      <c r="B19" s="105" t="s">
        <v>56</v>
      </c>
      <c r="C19" s="119" t="s">
        <v>243</v>
      </c>
      <c r="D19" s="125" t="s">
        <v>244</v>
      </c>
      <c r="E19" s="126">
        <v>1</v>
      </c>
      <c r="F19" s="127" t="s">
        <v>245</v>
      </c>
      <c r="G19" s="128" t="s">
        <v>246</v>
      </c>
      <c r="H19" s="129" t="s">
        <v>247</v>
      </c>
    </row>
    <row r="20" spans="2:8" ht="18" customHeight="1">
      <c r="B20" s="105" t="s">
        <v>59</v>
      </c>
      <c r="C20" s="119" t="s">
        <v>248</v>
      </c>
      <c r="D20" s="125" t="s">
        <v>244</v>
      </c>
      <c r="E20" s="126">
        <v>0</v>
      </c>
      <c r="F20" s="127" t="s">
        <v>249</v>
      </c>
      <c r="G20" s="128" t="s">
        <v>250</v>
      </c>
      <c r="H20" s="129" t="s">
        <v>251</v>
      </c>
    </row>
    <row r="21" spans="2:8" ht="15.95" customHeight="1">
      <c r="B21" s="105" t="s">
        <v>62</v>
      </c>
      <c r="C21" s="119" t="s">
        <v>252</v>
      </c>
      <c r="D21" s="125" t="s">
        <v>244</v>
      </c>
      <c r="E21" s="126">
        <v>0</v>
      </c>
      <c r="F21" s="127" t="s">
        <v>253</v>
      </c>
      <c r="G21" s="128" t="s">
        <v>254</v>
      </c>
      <c r="H21" s="129" t="s">
        <v>255</v>
      </c>
    </row>
    <row r="22" spans="2:8" ht="54.95" customHeight="1">
      <c r="B22" s="102" t="s">
        <v>256</v>
      </c>
      <c r="C22" s="103"/>
      <c r="D22" s="103"/>
      <c r="E22" s="103"/>
      <c r="F22" s="103"/>
      <c r="G22" s="103"/>
      <c r="H22" s="103"/>
    </row>
    <row r="23" spans="2:8" ht="54.95" customHeight="1">
      <c r="B23" s="132" t="s">
        <v>46</v>
      </c>
      <c r="C23" s="133" t="s">
        <v>47</v>
      </c>
      <c r="D23" s="132" t="s">
        <v>257</v>
      </c>
      <c r="E23" s="134" t="s">
        <v>258</v>
      </c>
      <c r="F23" s="135" t="s">
        <v>259</v>
      </c>
      <c r="G23" s="136" t="s">
        <v>260</v>
      </c>
      <c r="H23" s="133" t="s">
        <v>261</v>
      </c>
    </row>
    <row r="24" spans="2:8" ht="54.95" customHeight="1">
      <c r="B24" s="105" t="s">
        <v>66</v>
      </c>
      <c r="C24" s="42" t="s">
        <v>262</v>
      </c>
      <c r="D24" s="137" t="s">
        <v>263</v>
      </c>
      <c r="E24" s="126">
        <v>3</v>
      </c>
      <c r="F24" s="127" t="s">
        <v>264</v>
      </c>
      <c r="G24" s="128" t="s">
        <v>265</v>
      </c>
      <c r="H24" s="129" t="s">
        <v>266</v>
      </c>
    </row>
    <row r="25" spans="2:8" ht="54.95" customHeight="1">
      <c r="B25" s="105" t="s">
        <v>69</v>
      </c>
      <c r="C25" s="42" t="s">
        <v>267</v>
      </c>
      <c r="D25" s="137" t="s">
        <v>263</v>
      </c>
      <c r="E25" s="126">
        <v>3</v>
      </c>
      <c r="F25" s="127" t="s">
        <v>268</v>
      </c>
      <c r="G25" s="128" t="s">
        <v>269</v>
      </c>
      <c r="H25" s="129" t="s">
        <v>270</v>
      </c>
    </row>
    <row r="26" spans="2:8" ht="54.95" customHeight="1">
      <c r="B26" s="105" t="s">
        <v>71</v>
      </c>
      <c r="C26" s="42" t="s">
        <v>271</v>
      </c>
      <c r="D26" s="137" t="s">
        <v>263</v>
      </c>
      <c r="E26" s="126">
        <v>4</v>
      </c>
      <c r="F26" s="127" t="s">
        <v>272</v>
      </c>
      <c r="G26" s="128" t="s">
        <v>273</v>
      </c>
      <c r="H26" s="129" t="s">
        <v>274</v>
      </c>
    </row>
    <row r="27" spans="2:8" ht="54.95" customHeight="1">
      <c r="B27" s="105" t="s">
        <v>73</v>
      </c>
      <c r="C27" s="42" t="s">
        <v>275</v>
      </c>
      <c r="D27" s="137" t="s">
        <v>263</v>
      </c>
      <c r="E27" s="126">
        <v>3</v>
      </c>
      <c r="F27" s="127" t="s">
        <v>276</v>
      </c>
      <c r="G27" s="128" t="s">
        <v>277</v>
      </c>
      <c r="H27" s="129" t="s">
        <v>278</v>
      </c>
    </row>
    <row r="28" spans="2:8" ht="54.95" customHeight="1">
      <c r="B28" s="105" t="s">
        <v>75</v>
      </c>
      <c r="C28" s="42" t="s">
        <v>279</v>
      </c>
      <c r="D28" s="137" t="s">
        <v>263</v>
      </c>
      <c r="E28" s="126">
        <v>4</v>
      </c>
      <c r="F28" s="127" t="s">
        <v>280</v>
      </c>
      <c r="G28" s="128" t="s">
        <v>281</v>
      </c>
      <c r="H28" s="129" t="s">
        <v>282</v>
      </c>
    </row>
    <row r="29" spans="2:8" ht="54.95" customHeight="1">
      <c r="B29" s="105" t="s">
        <v>77</v>
      </c>
      <c r="C29" s="42" t="s">
        <v>283</v>
      </c>
      <c r="D29" s="137" t="s">
        <v>263</v>
      </c>
      <c r="E29" s="126">
        <v>2</v>
      </c>
      <c r="F29" s="127" t="s">
        <v>284</v>
      </c>
      <c r="G29" s="128" t="s">
        <v>285</v>
      </c>
      <c r="H29" s="129" t="s">
        <v>286</v>
      </c>
    </row>
    <row r="30" spans="2:8" ht="54.95" customHeight="1">
      <c r="B30" s="105" t="s">
        <v>79</v>
      </c>
      <c r="C30" s="42" t="s">
        <v>287</v>
      </c>
      <c r="D30" s="137" t="s">
        <v>263</v>
      </c>
      <c r="E30" s="126">
        <v>3</v>
      </c>
      <c r="F30" s="127" t="s">
        <v>288</v>
      </c>
      <c r="G30" s="128" t="s">
        <v>289</v>
      </c>
      <c r="H30" s="129" t="s">
        <v>290</v>
      </c>
    </row>
    <row r="31" spans="2:8" ht="18" customHeight="1">
      <c r="B31" s="105" t="s">
        <v>81</v>
      </c>
      <c r="C31" s="42" t="s">
        <v>291</v>
      </c>
      <c r="D31" s="137" t="s">
        <v>263</v>
      </c>
      <c r="E31" s="126">
        <v>3</v>
      </c>
      <c r="F31" s="127" t="s">
        <v>327</v>
      </c>
      <c r="G31" s="128" t="s">
        <v>328</v>
      </c>
      <c r="H31" s="129" t="s">
        <v>329</v>
      </c>
    </row>
    <row r="32" spans="2:8" ht="30" customHeight="1">
      <c r="B32" s="105" t="s">
        <v>84</v>
      </c>
      <c r="C32" s="42" t="s">
        <v>292</v>
      </c>
      <c r="D32" s="138" t="s">
        <v>236</v>
      </c>
      <c r="E32" s="126">
        <v>9</v>
      </c>
      <c r="F32" s="139" t="s">
        <v>293</v>
      </c>
      <c r="G32" s="128" t="s">
        <v>294</v>
      </c>
      <c r="H32" s="140" t="s">
        <v>295</v>
      </c>
    </row>
    <row r="33" spans="2:8" ht="20.100000000000001" customHeight="1">
      <c r="B33" s="102" t="s">
        <v>296</v>
      </c>
      <c r="C33" s="103"/>
      <c r="D33" s="1"/>
      <c r="E33" s="1"/>
      <c r="F33" s="1"/>
      <c r="G33" s="1"/>
      <c r="H33" s="2"/>
    </row>
    <row r="34" spans="2:8" ht="39.950000000000003" customHeight="1">
      <c r="B34" s="141" t="s">
        <v>297</v>
      </c>
      <c r="C34" s="173" t="s">
        <v>298</v>
      </c>
      <c r="D34" s="199"/>
      <c r="E34" s="199"/>
      <c r="F34" s="199"/>
      <c r="G34" s="199"/>
      <c r="H34" s="200"/>
    </row>
    <row r="35" spans="2:8" ht="20.100000000000001" customHeight="1">
      <c r="B35" s="143" t="s">
        <v>88</v>
      </c>
      <c r="C35" s="42" t="s">
        <v>89</v>
      </c>
      <c r="D35" s="137" t="s">
        <v>244</v>
      </c>
      <c r="E35" s="126">
        <v>0</v>
      </c>
      <c r="F35" s="144" t="s">
        <v>299</v>
      </c>
      <c r="G35" s="145" t="s">
        <v>300</v>
      </c>
      <c r="H35" s="121"/>
    </row>
    <row r="36" spans="2:8" ht="20.100000000000001" customHeight="1">
      <c r="B36" s="130" t="s">
        <v>241</v>
      </c>
      <c r="C36" s="150" t="s">
        <v>381</v>
      </c>
      <c r="D36" s="1"/>
      <c r="E36" s="1"/>
      <c r="F36" s="1"/>
      <c r="G36" s="1"/>
      <c r="H36" s="2"/>
    </row>
    <row r="37" spans="2:8" ht="20.100000000000001" customHeight="1">
      <c r="B37" s="143" t="s">
        <v>91</v>
      </c>
      <c r="C37" s="42" t="s">
        <v>92</v>
      </c>
      <c r="D37" s="137" t="s">
        <v>244</v>
      </c>
      <c r="E37" s="126">
        <v>1</v>
      </c>
      <c r="F37" s="144" t="s">
        <v>299</v>
      </c>
      <c r="G37" s="145" t="s">
        <v>300</v>
      </c>
      <c r="H37" s="121"/>
    </row>
    <row r="38" spans="2:8" ht="20.100000000000001" customHeight="1">
      <c r="B38" s="143" t="s">
        <v>94</v>
      </c>
      <c r="C38" s="42" t="s">
        <v>302</v>
      </c>
      <c r="D38" s="137" t="s">
        <v>244</v>
      </c>
      <c r="E38" s="126">
        <v>1</v>
      </c>
      <c r="F38" s="144" t="s">
        <v>299</v>
      </c>
      <c r="G38" s="145" t="s">
        <v>300</v>
      </c>
      <c r="H38" s="121"/>
    </row>
    <row r="39" spans="2:8" ht="20.100000000000001" customHeight="1">
      <c r="B39" s="143" t="s">
        <v>97</v>
      </c>
      <c r="C39" s="42" t="s">
        <v>98</v>
      </c>
      <c r="D39" s="137" t="s">
        <v>244</v>
      </c>
      <c r="E39" s="126">
        <v>1</v>
      </c>
      <c r="F39" s="144" t="s">
        <v>299</v>
      </c>
      <c r="G39" s="145" t="s">
        <v>300</v>
      </c>
      <c r="H39" s="121"/>
    </row>
    <row r="40" spans="2:8" ht="20.100000000000001" customHeight="1">
      <c r="B40" s="143" t="s">
        <v>100</v>
      </c>
      <c r="C40" s="42" t="s">
        <v>101</v>
      </c>
      <c r="D40" s="137" t="s">
        <v>244</v>
      </c>
      <c r="E40" s="126">
        <v>0</v>
      </c>
      <c r="F40" s="144" t="s">
        <v>299</v>
      </c>
      <c r="G40" s="145" t="s">
        <v>300</v>
      </c>
      <c r="H40" s="121"/>
    </row>
    <row r="41" spans="2:8" ht="18" customHeight="1">
      <c r="B41" s="143" t="s">
        <v>103</v>
      </c>
      <c r="C41" s="42" t="s">
        <v>104</v>
      </c>
      <c r="D41" s="84" t="s">
        <v>244</v>
      </c>
      <c r="E41" s="126">
        <v>0</v>
      </c>
      <c r="F41" s="127" t="s">
        <v>299</v>
      </c>
      <c r="G41" s="128" t="s">
        <v>300</v>
      </c>
      <c r="H41" s="129" t="s">
        <v>298</v>
      </c>
    </row>
    <row r="42" spans="2:8" ht="30" customHeight="1">
      <c r="B42" s="143" t="s">
        <v>106</v>
      </c>
      <c r="C42" s="42" t="s">
        <v>303</v>
      </c>
      <c r="D42" s="84" t="s">
        <v>244</v>
      </c>
      <c r="E42" s="126">
        <v>1</v>
      </c>
      <c r="F42" s="127" t="s">
        <v>299</v>
      </c>
      <c r="G42" s="128" t="s">
        <v>300</v>
      </c>
      <c r="H42" s="129" t="s">
        <v>298</v>
      </c>
    </row>
    <row r="43" spans="2:8" ht="20.100000000000001" customHeight="1">
      <c r="B43" s="102" t="s">
        <v>304</v>
      </c>
      <c r="C43" s="103"/>
      <c r="D43" s="103"/>
      <c r="E43" s="103"/>
      <c r="F43" s="103"/>
      <c r="G43" s="103"/>
      <c r="H43" s="103"/>
    </row>
    <row r="44" spans="2:8" ht="20.100000000000001" customHeight="1">
      <c r="B44" s="141" t="s">
        <v>297</v>
      </c>
      <c r="C44" s="142" t="s">
        <v>298</v>
      </c>
      <c r="D44" s="1"/>
      <c r="E44" s="1"/>
      <c r="F44" s="1"/>
      <c r="G44" s="1"/>
      <c r="H44" s="2"/>
    </row>
    <row r="45" spans="2:8" ht="20.100000000000001" customHeight="1">
      <c r="B45" s="143" t="s">
        <v>110</v>
      </c>
      <c r="C45" s="42" t="s">
        <v>111</v>
      </c>
      <c r="D45" s="137" t="s">
        <v>244</v>
      </c>
      <c r="E45" s="126">
        <v>1</v>
      </c>
      <c r="F45" s="144" t="s">
        <v>299</v>
      </c>
      <c r="G45" s="145" t="s">
        <v>300</v>
      </c>
      <c r="H45" s="121"/>
    </row>
    <row r="46" spans="2:8" ht="20.100000000000001" customHeight="1">
      <c r="B46" s="143" t="s">
        <v>113</v>
      </c>
      <c r="C46" s="42" t="s">
        <v>114</v>
      </c>
      <c r="D46" s="137" t="s">
        <v>244</v>
      </c>
      <c r="E46" s="126">
        <v>1</v>
      </c>
      <c r="F46" s="144" t="s">
        <v>299</v>
      </c>
      <c r="G46" s="145" t="s">
        <v>300</v>
      </c>
      <c r="H46" s="121"/>
    </row>
    <row r="47" spans="2:8" ht="18" customHeight="1">
      <c r="B47" s="143" t="s">
        <v>116</v>
      </c>
      <c r="C47" s="42" t="s">
        <v>117</v>
      </c>
      <c r="D47" s="84" t="s">
        <v>244</v>
      </c>
      <c r="E47" s="126">
        <v>1</v>
      </c>
      <c r="F47" s="127" t="s">
        <v>299</v>
      </c>
      <c r="G47" s="128" t="s">
        <v>300</v>
      </c>
      <c r="H47" s="129" t="s">
        <v>298</v>
      </c>
    </row>
    <row r="48" spans="2:8" ht="30" customHeight="1">
      <c r="B48" s="143" t="s">
        <v>119</v>
      </c>
      <c r="C48" s="42" t="s">
        <v>120</v>
      </c>
      <c r="D48" s="84" t="s">
        <v>244</v>
      </c>
      <c r="E48" s="126">
        <v>1</v>
      </c>
      <c r="F48" s="127" t="s">
        <v>299</v>
      </c>
      <c r="G48" s="128" t="s">
        <v>300</v>
      </c>
      <c r="H48" s="129" t="s">
        <v>298</v>
      </c>
    </row>
    <row r="49" spans="2:8" ht="20.100000000000001" customHeight="1">
      <c r="B49" s="102" t="s">
        <v>306</v>
      </c>
      <c r="C49" s="103"/>
      <c r="D49" s="1"/>
      <c r="E49" s="1"/>
      <c r="F49" s="1"/>
      <c r="G49" s="1"/>
      <c r="H49" s="2"/>
    </row>
    <row r="50" spans="2:8" ht="39.950000000000003" customHeight="1">
      <c r="B50" s="141" t="s">
        <v>297</v>
      </c>
      <c r="C50" s="173" t="s">
        <v>298</v>
      </c>
      <c r="D50" s="199"/>
      <c r="E50" s="199"/>
      <c r="F50" s="199"/>
      <c r="G50" s="199"/>
      <c r="H50" s="200"/>
    </row>
    <row r="51" spans="2:8" ht="20.100000000000001" customHeight="1">
      <c r="B51" s="143" t="s">
        <v>123</v>
      </c>
      <c r="C51" s="42" t="s">
        <v>307</v>
      </c>
      <c r="D51" s="137" t="s">
        <v>244</v>
      </c>
      <c r="E51" s="126">
        <v>0</v>
      </c>
      <c r="F51" s="144" t="s">
        <v>299</v>
      </c>
      <c r="G51" s="145" t="s">
        <v>300</v>
      </c>
      <c r="H51" s="121"/>
    </row>
    <row r="52" spans="2:8" ht="20.100000000000001" customHeight="1">
      <c r="B52" s="130" t="s">
        <v>241</v>
      </c>
      <c r="C52" s="150" t="s">
        <v>392</v>
      </c>
      <c r="D52" s="1"/>
      <c r="E52" s="1"/>
      <c r="F52" s="1"/>
      <c r="G52" s="1"/>
      <c r="H52" s="2"/>
    </row>
    <row r="53" spans="2:8" ht="20.100000000000001" customHeight="1">
      <c r="B53" s="143" t="s">
        <v>126</v>
      </c>
      <c r="C53" s="42" t="s">
        <v>309</v>
      </c>
      <c r="D53" s="137" t="s">
        <v>244</v>
      </c>
      <c r="E53" s="126">
        <v>1</v>
      </c>
      <c r="F53" s="144" t="s">
        <v>299</v>
      </c>
      <c r="G53" s="145" t="s">
        <v>300</v>
      </c>
      <c r="H53" s="121"/>
    </row>
    <row r="54" spans="2:8" ht="20.100000000000001" customHeight="1">
      <c r="B54" s="143" t="s">
        <v>129</v>
      </c>
      <c r="C54" s="42" t="s">
        <v>130</v>
      </c>
      <c r="D54" s="137" t="s">
        <v>244</v>
      </c>
      <c r="E54" s="126">
        <v>0</v>
      </c>
      <c r="F54" s="144" t="s">
        <v>299</v>
      </c>
      <c r="G54" s="145" t="s">
        <v>300</v>
      </c>
      <c r="H54" s="121"/>
    </row>
    <row r="55" spans="2:8" ht="18" customHeight="1">
      <c r="B55" s="143" t="s">
        <v>132</v>
      </c>
      <c r="C55" s="42" t="s">
        <v>310</v>
      </c>
      <c r="D55" s="1"/>
      <c r="E55" s="126">
        <v>1</v>
      </c>
      <c r="F55" s="1"/>
      <c r="G55" s="1"/>
      <c r="H55" s="2"/>
    </row>
    <row r="56" spans="2:8" ht="30" customHeight="1">
      <c r="B56" s="143" t="s">
        <v>135</v>
      </c>
      <c r="C56" s="42" t="s">
        <v>311</v>
      </c>
      <c r="E56" s="126">
        <v>1</v>
      </c>
    </row>
    <row r="57" spans="2:8" ht="20.100000000000001" customHeight="1">
      <c r="B57" s="102" t="s">
        <v>313</v>
      </c>
      <c r="C57" s="103"/>
      <c r="D57" s="103"/>
      <c r="E57" s="103"/>
      <c r="F57" s="103"/>
      <c r="G57" s="103"/>
      <c r="H57" s="103"/>
    </row>
    <row r="58" spans="2:8" ht="20.100000000000001" customHeight="1">
      <c r="B58" s="141" t="s">
        <v>297</v>
      </c>
      <c r="C58" s="142" t="s">
        <v>298</v>
      </c>
      <c r="D58" s="1"/>
      <c r="E58" s="1"/>
      <c r="F58" s="1"/>
      <c r="G58" s="1"/>
      <c r="H58" s="2"/>
    </row>
    <row r="59" spans="2:8" ht="20.100000000000001" customHeight="1">
      <c r="B59" s="143" t="s">
        <v>139</v>
      </c>
      <c r="C59" s="42" t="s">
        <v>314</v>
      </c>
      <c r="D59" s="137" t="s">
        <v>244</v>
      </c>
      <c r="E59" s="126">
        <v>1</v>
      </c>
      <c r="F59" s="144" t="s">
        <v>299</v>
      </c>
      <c r="G59" s="145" t="s">
        <v>300</v>
      </c>
      <c r="H59" s="121"/>
    </row>
    <row r="60" spans="2:8" ht="20.100000000000001" customHeight="1">
      <c r="B60" s="143" t="s">
        <v>142</v>
      </c>
      <c r="C60" s="42" t="s">
        <v>143</v>
      </c>
      <c r="D60" s="137" t="s">
        <v>244</v>
      </c>
      <c r="E60" s="126">
        <v>1</v>
      </c>
      <c r="F60" s="144" t="s">
        <v>299</v>
      </c>
      <c r="G60" s="145" t="s">
        <v>300</v>
      </c>
      <c r="H60" s="121"/>
    </row>
    <row r="61" spans="2:8" ht="20.100000000000001" customHeight="1">
      <c r="B61" s="143" t="s">
        <v>145</v>
      </c>
      <c r="C61" s="42" t="s">
        <v>315</v>
      </c>
      <c r="D61" s="137" t="s">
        <v>244</v>
      </c>
      <c r="E61" s="126">
        <v>1</v>
      </c>
      <c r="F61" s="144" t="s">
        <v>299</v>
      </c>
      <c r="G61" s="145" t="s">
        <v>300</v>
      </c>
      <c r="H61" s="121"/>
    </row>
    <row r="62" spans="2:8" ht="20.100000000000001" customHeight="1">
      <c r="B62" s="143" t="s">
        <v>148</v>
      </c>
      <c r="C62" s="42" t="s">
        <v>316</v>
      </c>
      <c r="D62" s="137" t="s">
        <v>244</v>
      </c>
      <c r="E62" s="126">
        <v>1</v>
      </c>
      <c r="F62" s="144" t="s">
        <v>299</v>
      </c>
      <c r="G62" s="145" t="s">
        <v>300</v>
      </c>
      <c r="H62" s="121"/>
    </row>
    <row r="63" spans="2:8" ht="18" customHeight="1">
      <c r="B63" s="143" t="s">
        <v>151</v>
      </c>
      <c r="C63" s="42" t="s">
        <v>152</v>
      </c>
      <c r="D63" s="137" t="s">
        <v>244</v>
      </c>
      <c r="E63" s="126">
        <v>1</v>
      </c>
      <c r="F63" s="144" t="s">
        <v>299</v>
      </c>
      <c r="G63" s="145" t="s">
        <v>300</v>
      </c>
      <c r="H63" s="2"/>
    </row>
    <row r="64" spans="2:8" ht="30" customHeight="1">
      <c r="B64" s="143" t="s">
        <v>154</v>
      </c>
      <c r="C64" s="42" t="s">
        <v>155</v>
      </c>
      <c r="D64" s="137" t="s">
        <v>244</v>
      </c>
      <c r="E64" s="126">
        <v>0</v>
      </c>
      <c r="F64" s="144" t="s">
        <v>299</v>
      </c>
      <c r="G64" s="145" t="s">
        <v>300</v>
      </c>
      <c r="H64" s="2"/>
    </row>
    <row r="65" spans="2:8" ht="20.100000000000001" customHeight="1">
      <c r="B65" s="141" t="s">
        <v>297</v>
      </c>
      <c r="C65" s="142" t="s">
        <v>298</v>
      </c>
      <c r="D65" s="1"/>
      <c r="E65" s="1"/>
      <c r="F65" s="1"/>
      <c r="G65" s="1"/>
      <c r="H65" s="2"/>
    </row>
    <row r="67" spans="2:8" ht="30" customHeight="1">
      <c r="B67" s="147" t="s">
        <v>317</v>
      </c>
      <c r="C67" s="170" t="s">
        <v>318</v>
      </c>
      <c r="D67" s="199"/>
      <c r="E67" s="199"/>
      <c r="F67" s="199"/>
      <c r="G67" s="199"/>
      <c r="H67" s="200"/>
    </row>
  </sheetData>
  <mergeCells count="6">
    <mergeCell ref="C67:H67"/>
    <mergeCell ref="C16:H16"/>
    <mergeCell ref="C50:H50"/>
    <mergeCell ref="N12:O12"/>
    <mergeCell ref="C34:H34"/>
    <mergeCell ref="H12:M12"/>
  </mergeCell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B1:O67"/>
  <sheetViews>
    <sheetView topLeftCell="A29" workbookViewId="0">
      <selection activeCell="G31" sqref="G31"/>
    </sheetView>
  </sheetViews>
  <sheetFormatPr defaultRowHeight="14.45"/>
  <cols>
    <col min="1" max="1" width="2" customWidth="1"/>
    <col min="2" max="2" width="28" customWidth="1"/>
    <col min="3" max="3" width="45" bestFit="1" customWidth="1"/>
    <col min="4" max="4" width="18" customWidth="1"/>
    <col min="5" max="7" width="14" customWidth="1"/>
    <col min="8" max="8" width="55" customWidth="1"/>
    <col min="9" max="13" width="30.140625" customWidth="1"/>
  </cols>
  <sheetData>
    <row r="1" spans="2:15" ht="27.95" customHeight="1">
      <c r="B1" s="118" t="s">
        <v>431</v>
      </c>
      <c r="C1" s="68"/>
      <c r="D1" s="68"/>
      <c r="E1" s="68"/>
      <c r="F1" s="68"/>
      <c r="G1" s="68"/>
      <c r="H1" s="68"/>
    </row>
    <row r="2" spans="2:15" ht="15.95" customHeight="1">
      <c r="B2" s="19" t="s">
        <v>216</v>
      </c>
      <c r="C2" s="43" t="s">
        <v>217</v>
      </c>
      <c r="D2" s="43" t="s">
        <v>218</v>
      </c>
      <c r="E2" s="103"/>
      <c r="F2" s="103"/>
      <c r="G2" s="103"/>
      <c r="H2" s="43" t="s">
        <v>219</v>
      </c>
    </row>
    <row r="3" spans="2:15" ht="15.95" customHeight="1">
      <c r="B3" s="119" t="s">
        <v>220</v>
      </c>
      <c r="C3" s="42"/>
      <c r="D3" s="121"/>
      <c r="E3" s="121"/>
      <c r="F3" s="121"/>
      <c r="G3" s="121"/>
      <c r="H3" s="121"/>
    </row>
    <row r="4" spans="2:15" ht="15.95" customHeight="1">
      <c r="B4" s="119" t="s">
        <v>199</v>
      </c>
      <c r="C4" s="42"/>
      <c r="D4" s="121"/>
      <c r="E4" s="121"/>
      <c r="F4" s="121"/>
      <c r="G4" s="121"/>
      <c r="H4" s="121"/>
    </row>
    <row r="5" spans="2:15" ht="15.95" customHeight="1">
      <c r="B5" s="119" t="s">
        <v>224</v>
      </c>
      <c r="C5" s="42"/>
      <c r="D5" s="121"/>
      <c r="E5" s="121"/>
      <c r="F5" s="121"/>
      <c r="G5" s="121"/>
      <c r="H5" s="121"/>
    </row>
    <row r="6" spans="2:15" ht="15.95" customHeight="1">
      <c r="B6" s="119" t="s">
        <v>226</v>
      </c>
      <c r="C6" s="42"/>
      <c r="D6" s="121"/>
      <c r="E6" s="121"/>
      <c r="F6" s="121"/>
      <c r="G6" s="121"/>
      <c r="H6" s="121"/>
    </row>
    <row r="7" spans="2:15" ht="15.95" customHeight="1">
      <c r="B7" s="119" t="s">
        <v>227</v>
      </c>
      <c r="C7" s="42"/>
      <c r="D7" s="121"/>
      <c r="E7" s="121"/>
      <c r="F7" s="121"/>
      <c r="G7" s="121"/>
      <c r="H7" s="121"/>
    </row>
    <row r="8" spans="2:15" ht="15.95" customHeight="1">
      <c r="B8" s="119" t="s">
        <v>229</v>
      </c>
      <c r="C8" s="42"/>
      <c r="D8" s="121"/>
      <c r="E8" s="121"/>
      <c r="F8" s="121"/>
      <c r="G8" s="121"/>
      <c r="H8" s="121"/>
    </row>
    <row r="9" spans="2:15" ht="15.95" customHeight="1">
      <c r="B9" s="119" t="s">
        <v>231</v>
      </c>
      <c r="C9" s="42"/>
      <c r="D9" s="121"/>
      <c r="E9" s="121"/>
      <c r="F9" s="121"/>
      <c r="G9" s="121"/>
      <c r="H9" s="121"/>
    </row>
    <row r="10" spans="2:15" ht="15.95" customHeight="1">
      <c r="B10" s="119" t="s">
        <v>201</v>
      </c>
      <c r="C10" s="42"/>
      <c r="D10" s="121"/>
      <c r="E10" s="121"/>
      <c r="F10" s="121"/>
      <c r="G10" s="121"/>
      <c r="H10" s="121"/>
    </row>
    <row r="11" spans="2:15" ht="15.95" customHeight="1">
      <c r="B11" s="119" t="s">
        <v>203</v>
      </c>
      <c r="C11" s="42"/>
      <c r="D11" s="121"/>
      <c r="E11" s="121"/>
      <c r="F11" s="121"/>
      <c r="G11" s="121"/>
      <c r="H11" s="121"/>
    </row>
    <row r="12" spans="2:15" ht="15.95" customHeight="1">
      <c r="B12" s="119" t="s">
        <v>232</v>
      </c>
      <c r="C12" s="42"/>
      <c r="D12" s="121"/>
      <c r="E12" s="121"/>
      <c r="F12" s="121"/>
      <c r="G12" s="121"/>
      <c r="H12" s="174"/>
      <c r="I12" s="199"/>
      <c r="J12" s="199"/>
      <c r="K12" s="199"/>
      <c r="L12" s="199"/>
      <c r="M12" s="200"/>
      <c r="N12" s="201"/>
      <c r="O12" s="201"/>
    </row>
    <row r="13" spans="2:15" ht="15.95" customHeight="1">
      <c r="B13" s="119" t="s">
        <v>161</v>
      </c>
      <c r="C13" s="42"/>
      <c r="D13" s="121"/>
      <c r="E13" s="121"/>
      <c r="F13" s="121"/>
      <c r="G13" s="121"/>
      <c r="H13" s="121"/>
    </row>
    <row r="14" spans="2:15" ht="15.95" customHeight="1">
      <c r="B14" s="68"/>
      <c r="C14" s="68"/>
      <c r="D14" s="68"/>
      <c r="E14" s="68"/>
      <c r="F14" s="68"/>
      <c r="G14" s="68"/>
      <c r="H14" s="68"/>
      <c r="I14" s="1"/>
      <c r="J14" s="1"/>
      <c r="K14" s="1"/>
      <c r="L14" s="1"/>
      <c r="M14" s="2"/>
    </row>
    <row r="15" spans="2:15" ht="54.95" customHeight="1">
      <c r="B15" s="123" t="s">
        <v>46</v>
      </c>
      <c r="C15" s="124" t="s">
        <v>47</v>
      </c>
      <c r="D15" s="1"/>
      <c r="E15" s="1"/>
      <c r="F15" s="1"/>
      <c r="G15" s="1"/>
      <c r="H15" s="2"/>
    </row>
    <row r="16" spans="2:15" ht="39.950000000000003" customHeight="1">
      <c r="B16" s="102" t="s">
        <v>234</v>
      </c>
      <c r="C16" s="172"/>
      <c r="D16" s="199"/>
      <c r="E16" s="199"/>
      <c r="F16" s="199"/>
      <c r="G16" s="199"/>
      <c r="H16" s="200"/>
    </row>
    <row r="17" spans="2:8" ht="54.95" customHeight="1">
      <c r="B17" s="105" t="s">
        <v>52</v>
      </c>
      <c r="C17" s="119" t="s">
        <v>235</v>
      </c>
      <c r="D17" s="125" t="s">
        <v>236</v>
      </c>
      <c r="E17" s="154"/>
      <c r="F17" s="127" t="s">
        <v>237</v>
      </c>
      <c r="G17" s="128" t="s">
        <v>238</v>
      </c>
      <c r="H17" s="129" t="s">
        <v>239</v>
      </c>
    </row>
    <row r="18" spans="2:8" ht="54.95" customHeight="1">
      <c r="B18" s="130" t="s">
        <v>241</v>
      </c>
      <c r="C18" s="150" t="s">
        <v>330</v>
      </c>
      <c r="D18" s="1"/>
      <c r="E18" s="1"/>
      <c r="F18" s="1"/>
      <c r="G18" s="1"/>
      <c r="H18" s="2"/>
    </row>
    <row r="19" spans="2:8" ht="54.95" customHeight="1">
      <c r="B19" s="105" t="s">
        <v>56</v>
      </c>
      <c r="C19" s="119" t="s">
        <v>243</v>
      </c>
      <c r="D19" s="125" t="s">
        <v>244</v>
      </c>
      <c r="E19" s="154"/>
      <c r="F19" s="127" t="s">
        <v>245</v>
      </c>
      <c r="G19" s="128" t="s">
        <v>246</v>
      </c>
      <c r="H19" s="129" t="s">
        <v>247</v>
      </c>
    </row>
    <row r="20" spans="2:8" ht="18" customHeight="1">
      <c r="B20" s="105" t="s">
        <v>59</v>
      </c>
      <c r="C20" s="119" t="s">
        <v>248</v>
      </c>
      <c r="D20" s="125" t="s">
        <v>244</v>
      </c>
      <c r="E20" s="154"/>
      <c r="F20" s="127" t="s">
        <v>249</v>
      </c>
      <c r="G20" s="128" t="s">
        <v>250</v>
      </c>
      <c r="H20" s="129" t="s">
        <v>251</v>
      </c>
    </row>
    <row r="21" spans="2:8" ht="15.95" customHeight="1">
      <c r="B21" s="105" t="s">
        <v>62</v>
      </c>
      <c r="C21" s="119" t="s">
        <v>252</v>
      </c>
      <c r="D21" s="125" t="s">
        <v>244</v>
      </c>
      <c r="E21" s="154"/>
      <c r="F21" s="127" t="s">
        <v>253</v>
      </c>
      <c r="G21" s="128" t="s">
        <v>254</v>
      </c>
      <c r="H21" s="129" t="s">
        <v>255</v>
      </c>
    </row>
    <row r="22" spans="2:8" ht="54.95" customHeight="1">
      <c r="B22" s="102" t="s">
        <v>256</v>
      </c>
      <c r="C22" s="103"/>
      <c r="D22" s="103"/>
      <c r="E22" s="103"/>
      <c r="F22" s="103"/>
      <c r="G22" s="103"/>
      <c r="H22" s="103"/>
    </row>
    <row r="23" spans="2:8" ht="54.95" customHeight="1">
      <c r="B23" s="132" t="s">
        <v>46</v>
      </c>
      <c r="C23" s="133" t="s">
        <v>47</v>
      </c>
      <c r="D23" s="132" t="s">
        <v>257</v>
      </c>
      <c r="E23" s="134" t="s">
        <v>258</v>
      </c>
      <c r="F23" s="135" t="s">
        <v>259</v>
      </c>
      <c r="G23" s="136" t="s">
        <v>260</v>
      </c>
      <c r="H23" s="133" t="s">
        <v>261</v>
      </c>
    </row>
    <row r="24" spans="2:8" ht="54.95" customHeight="1">
      <c r="B24" s="105" t="s">
        <v>66</v>
      </c>
      <c r="C24" s="42" t="s">
        <v>262</v>
      </c>
      <c r="D24" s="137" t="s">
        <v>263</v>
      </c>
      <c r="E24" s="154"/>
      <c r="F24" s="127" t="s">
        <v>264</v>
      </c>
      <c r="G24" s="128" t="s">
        <v>265</v>
      </c>
      <c r="H24" s="129" t="s">
        <v>266</v>
      </c>
    </row>
    <row r="25" spans="2:8" ht="54.95" customHeight="1">
      <c r="B25" s="105" t="s">
        <v>69</v>
      </c>
      <c r="C25" s="42" t="s">
        <v>267</v>
      </c>
      <c r="D25" s="137" t="s">
        <v>263</v>
      </c>
      <c r="E25" s="154"/>
      <c r="F25" s="127" t="s">
        <v>268</v>
      </c>
      <c r="G25" s="128" t="s">
        <v>269</v>
      </c>
      <c r="H25" s="129" t="s">
        <v>270</v>
      </c>
    </row>
    <row r="26" spans="2:8" ht="54.95" customHeight="1">
      <c r="B26" s="105" t="s">
        <v>71</v>
      </c>
      <c r="C26" s="42" t="s">
        <v>271</v>
      </c>
      <c r="D26" s="137" t="s">
        <v>263</v>
      </c>
      <c r="E26" s="154"/>
      <c r="F26" s="127" t="s">
        <v>272</v>
      </c>
      <c r="G26" s="128" t="s">
        <v>273</v>
      </c>
      <c r="H26" s="129" t="s">
        <v>274</v>
      </c>
    </row>
    <row r="27" spans="2:8" ht="54.95" customHeight="1">
      <c r="B27" s="105" t="s">
        <v>73</v>
      </c>
      <c r="C27" s="42" t="s">
        <v>275</v>
      </c>
      <c r="D27" s="137" t="s">
        <v>263</v>
      </c>
      <c r="E27" s="154"/>
      <c r="F27" s="127" t="s">
        <v>276</v>
      </c>
      <c r="G27" s="128" t="s">
        <v>277</v>
      </c>
      <c r="H27" s="129" t="s">
        <v>278</v>
      </c>
    </row>
    <row r="28" spans="2:8" ht="54.95" customHeight="1">
      <c r="B28" s="105" t="s">
        <v>75</v>
      </c>
      <c r="C28" s="42" t="s">
        <v>279</v>
      </c>
      <c r="D28" s="137" t="s">
        <v>263</v>
      </c>
      <c r="E28" s="154"/>
      <c r="F28" s="127" t="s">
        <v>280</v>
      </c>
      <c r="G28" s="128" t="s">
        <v>281</v>
      </c>
      <c r="H28" s="129" t="s">
        <v>282</v>
      </c>
    </row>
    <row r="29" spans="2:8" ht="54.95" customHeight="1">
      <c r="B29" s="105" t="s">
        <v>77</v>
      </c>
      <c r="C29" s="42" t="s">
        <v>283</v>
      </c>
      <c r="D29" s="137" t="s">
        <v>263</v>
      </c>
      <c r="E29" s="154"/>
      <c r="F29" s="127" t="s">
        <v>284</v>
      </c>
      <c r="G29" s="128" t="s">
        <v>285</v>
      </c>
      <c r="H29" s="129" t="s">
        <v>286</v>
      </c>
    </row>
    <row r="30" spans="2:8" ht="54.95" customHeight="1">
      <c r="B30" s="105" t="s">
        <v>79</v>
      </c>
      <c r="C30" s="42" t="s">
        <v>287</v>
      </c>
      <c r="D30" s="137" t="s">
        <v>263</v>
      </c>
      <c r="E30" s="154"/>
      <c r="F30" s="127" t="s">
        <v>288</v>
      </c>
      <c r="G30" s="128" t="s">
        <v>289</v>
      </c>
      <c r="H30" s="129" t="s">
        <v>290</v>
      </c>
    </row>
    <row r="31" spans="2:8" ht="18" customHeight="1">
      <c r="B31" s="105" t="s">
        <v>81</v>
      </c>
      <c r="C31" s="42" t="s">
        <v>291</v>
      </c>
      <c r="D31" s="137" t="s">
        <v>263</v>
      </c>
      <c r="E31" s="154"/>
      <c r="F31" s="127" t="s">
        <v>327</v>
      </c>
      <c r="G31" s="128" t="s">
        <v>328</v>
      </c>
      <c r="H31" s="129" t="s">
        <v>329</v>
      </c>
    </row>
    <row r="32" spans="2:8" ht="30" customHeight="1">
      <c r="B32" s="105" t="s">
        <v>84</v>
      </c>
      <c r="C32" s="42" t="s">
        <v>292</v>
      </c>
      <c r="D32" s="138" t="s">
        <v>236</v>
      </c>
      <c r="E32" s="146"/>
      <c r="F32" s="139" t="s">
        <v>293</v>
      </c>
      <c r="G32" s="128" t="s">
        <v>294</v>
      </c>
      <c r="H32" s="140" t="s">
        <v>295</v>
      </c>
    </row>
    <row r="33" spans="2:8" ht="20.100000000000001" customHeight="1">
      <c r="B33" s="102" t="s">
        <v>296</v>
      </c>
      <c r="C33" s="103"/>
      <c r="D33" s="1"/>
      <c r="E33" s="1"/>
      <c r="F33" s="1"/>
      <c r="G33" s="1"/>
      <c r="H33" s="2"/>
    </row>
    <row r="34" spans="2:8" ht="39.950000000000003" customHeight="1">
      <c r="B34" s="141" t="s">
        <v>297</v>
      </c>
      <c r="C34" s="173" t="s">
        <v>298</v>
      </c>
      <c r="D34" s="199"/>
      <c r="E34" s="199"/>
      <c r="F34" s="199"/>
      <c r="G34" s="199"/>
      <c r="H34" s="200"/>
    </row>
    <row r="35" spans="2:8" ht="20.100000000000001" customHeight="1">
      <c r="B35" s="143" t="s">
        <v>88</v>
      </c>
      <c r="C35" s="42" t="s">
        <v>89</v>
      </c>
      <c r="D35" s="137" t="s">
        <v>244</v>
      </c>
      <c r="E35" s="157"/>
      <c r="F35" s="144" t="s">
        <v>299</v>
      </c>
      <c r="G35" s="145" t="s">
        <v>300</v>
      </c>
      <c r="H35" s="121"/>
    </row>
    <row r="36" spans="2:8" ht="20.100000000000001" customHeight="1">
      <c r="B36" s="130" t="s">
        <v>241</v>
      </c>
      <c r="C36" s="150" t="s">
        <v>381</v>
      </c>
      <c r="D36" s="1"/>
      <c r="E36" s="1"/>
      <c r="F36" s="1"/>
      <c r="G36" s="1"/>
      <c r="H36" s="2"/>
    </row>
    <row r="37" spans="2:8" ht="20.100000000000001" customHeight="1">
      <c r="B37" s="143" t="s">
        <v>91</v>
      </c>
      <c r="C37" s="42" t="s">
        <v>92</v>
      </c>
      <c r="D37" s="137" t="s">
        <v>244</v>
      </c>
      <c r="E37" s="157"/>
      <c r="F37" s="144" t="s">
        <v>299</v>
      </c>
      <c r="G37" s="145" t="s">
        <v>300</v>
      </c>
      <c r="H37" s="121"/>
    </row>
    <row r="38" spans="2:8" ht="20.100000000000001" customHeight="1">
      <c r="B38" s="143" t="s">
        <v>94</v>
      </c>
      <c r="C38" s="42" t="s">
        <v>302</v>
      </c>
      <c r="D38" s="137" t="s">
        <v>244</v>
      </c>
      <c r="E38" s="157"/>
      <c r="F38" s="144" t="s">
        <v>299</v>
      </c>
      <c r="G38" s="145" t="s">
        <v>300</v>
      </c>
      <c r="H38" s="121"/>
    </row>
    <row r="39" spans="2:8" ht="20.100000000000001" customHeight="1">
      <c r="B39" s="143" t="s">
        <v>97</v>
      </c>
      <c r="C39" s="42" t="s">
        <v>98</v>
      </c>
      <c r="D39" s="137" t="s">
        <v>244</v>
      </c>
      <c r="E39" s="157"/>
      <c r="F39" s="144" t="s">
        <v>299</v>
      </c>
      <c r="G39" s="145" t="s">
        <v>300</v>
      </c>
      <c r="H39" s="121"/>
    </row>
    <row r="40" spans="2:8" ht="20.100000000000001" customHeight="1">
      <c r="B40" s="143" t="s">
        <v>100</v>
      </c>
      <c r="C40" s="42" t="s">
        <v>101</v>
      </c>
      <c r="D40" s="137" t="s">
        <v>244</v>
      </c>
      <c r="E40" s="157"/>
      <c r="F40" s="144" t="s">
        <v>299</v>
      </c>
      <c r="G40" s="145" t="s">
        <v>300</v>
      </c>
      <c r="H40" s="121"/>
    </row>
    <row r="41" spans="2:8" ht="18" customHeight="1">
      <c r="B41" s="143" t="s">
        <v>103</v>
      </c>
      <c r="C41" s="42" t="s">
        <v>104</v>
      </c>
      <c r="D41" s="84" t="s">
        <v>244</v>
      </c>
      <c r="E41" s="146"/>
      <c r="F41" s="127" t="s">
        <v>299</v>
      </c>
      <c r="G41" s="128" t="s">
        <v>300</v>
      </c>
      <c r="H41" s="129" t="s">
        <v>298</v>
      </c>
    </row>
    <row r="42" spans="2:8" ht="30" customHeight="1">
      <c r="B42" s="143" t="s">
        <v>106</v>
      </c>
      <c r="C42" s="42" t="s">
        <v>303</v>
      </c>
      <c r="D42" s="84" t="s">
        <v>244</v>
      </c>
      <c r="E42" s="146"/>
      <c r="F42" s="127" t="s">
        <v>299</v>
      </c>
      <c r="G42" s="128" t="s">
        <v>300</v>
      </c>
      <c r="H42" s="129" t="s">
        <v>298</v>
      </c>
    </row>
    <row r="43" spans="2:8" ht="20.100000000000001" customHeight="1">
      <c r="B43" s="102" t="s">
        <v>304</v>
      </c>
      <c r="C43" s="103"/>
      <c r="D43" s="103"/>
      <c r="E43" s="103"/>
      <c r="F43" s="103"/>
      <c r="G43" s="103"/>
      <c r="H43" s="103"/>
    </row>
    <row r="44" spans="2:8" ht="20.100000000000001" customHeight="1">
      <c r="B44" s="141" t="s">
        <v>297</v>
      </c>
      <c r="C44" s="142" t="s">
        <v>298</v>
      </c>
      <c r="D44" s="1"/>
      <c r="E44" s="1"/>
      <c r="F44" s="1"/>
      <c r="G44" s="1"/>
      <c r="H44" s="2"/>
    </row>
    <row r="45" spans="2:8" ht="20.100000000000001" customHeight="1">
      <c r="B45" s="143" t="s">
        <v>110</v>
      </c>
      <c r="C45" s="42" t="s">
        <v>111</v>
      </c>
      <c r="D45" s="137" t="s">
        <v>244</v>
      </c>
      <c r="E45" s="157"/>
      <c r="F45" s="144" t="s">
        <v>299</v>
      </c>
      <c r="G45" s="145" t="s">
        <v>300</v>
      </c>
      <c r="H45" s="121"/>
    </row>
    <row r="46" spans="2:8" ht="20.100000000000001" customHeight="1">
      <c r="B46" s="143" t="s">
        <v>113</v>
      </c>
      <c r="C46" s="42" t="s">
        <v>114</v>
      </c>
      <c r="D46" s="137" t="s">
        <v>244</v>
      </c>
      <c r="E46" s="157"/>
      <c r="F46" s="144" t="s">
        <v>299</v>
      </c>
      <c r="G46" s="145" t="s">
        <v>300</v>
      </c>
      <c r="H46" s="121"/>
    </row>
    <row r="47" spans="2:8" ht="18" customHeight="1">
      <c r="B47" s="143" t="s">
        <v>116</v>
      </c>
      <c r="C47" s="42" t="s">
        <v>117</v>
      </c>
      <c r="D47" s="84" t="s">
        <v>244</v>
      </c>
      <c r="E47" s="146"/>
      <c r="F47" s="127" t="s">
        <v>299</v>
      </c>
      <c r="G47" s="128" t="s">
        <v>300</v>
      </c>
      <c r="H47" s="129" t="s">
        <v>298</v>
      </c>
    </row>
    <row r="48" spans="2:8" ht="30" customHeight="1">
      <c r="B48" s="143" t="s">
        <v>119</v>
      </c>
      <c r="C48" s="42" t="s">
        <v>120</v>
      </c>
      <c r="D48" s="84" t="s">
        <v>244</v>
      </c>
      <c r="E48" s="146"/>
      <c r="F48" s="127" t="s">
        <v>299</v>
      </c>
      <c r="G48" s="128" t="s">
        <v>300</v>
      </c>
      <c r="H48" s="129" t="s">
        <v>298</v>
      </c>
    </row>
    <row r="49" spans="2:8" ht="20.100000000000001" customHeight="1">
      <c r="B49" s="102" t="s">
        <v>306</v>
      </c>
      <c r="C49" s="103"/>
      <c r="D49" s="1"/>
      <c r="E49" s="1"/>
      <c r="F49" s="1"/>
      <c r="G49" s="1"/>
      <c r="H49" s="2"/>
    </row>
    <row r="50" spans="2:8" ht="39.950000000000003" customHeight="1">
      <c r="B50" s="141" t="s">
        <v>297</v>
      </c>
      <c r="C50" s="173" t="s">
        <v>298</v>
      </c>
      <c r="D50" s="199"/>
      <c r="E50" s="199"/>
      <c r="F50" s="199"/>
      <c r="G50" s="199"/>
      <c r="H50" s="200"/>
    </row>
    <row r="51" spans="2:8" ht="20.100000000000001" customHeight="1">
      <c r="B51" s="143" t="s">
        <v>123</v>
      </c>
      <c r="C51" s="42" t="s">
        <v>307</v>
      </c>
      <c r="D51" s="137" t="s">
        <v>244</v>
      </c>
      <c r="E51" s="157"/>
      <c r="F51" s="144" t="s">
        <v>299</v>
      </c>
      <c r="G51" s="145" t="s">
        <v>300</v>
      </c>
      <c r="H51" s="121"/>
    </row>
    <row r="52" spans="2:8" ht="20.100000000000001" customHeight="1">
      <c r="B52" s="130" t="s">
        <v>241</v>
      </c>
      <c r="C52" s="150" t="s">
        <v>392</v>
      </c>
      <c r="D52" s="1"/>
      <c r="E52" s="1"/>
      <c r="F52" s="1"/>
      <c r="G52" s="1"/>
      <c r="H52" s="2"/>
    </row>
    <row r="53" spans="2:8" ht="20.100000000000001" customHeight="1">
      <c r="B53" s="143" t="s">
        <v>126</v>
      </c>
      <c r="C53" s="42" t="s">
        <v>309</v>
      </c>
      <c r="D53" s="137" t="s">
        <v>244</v>
      </c>
      <c r="E53" s="157"/>
      <c r="F53" s="144" t="s">
        <v>299</v>
      </c>
      <c r="G53" s="145" t="s">
        <v>300</v>
      </c>
      <c r="H53" s="121"/>
    </row>
    <row r="54" spans="2:8" ht="20.100000000000001" customHeight="1">
      <c r="B54" s="143" t="s">
        <v>129</v>
      </c>
      <c r="C54" s="42" t="s">
        <v>130</v>
      </c>
      <c r="D54" s="137" t="s">
        <v>244</v>
      </c>
      <c r="E54" s="157"/>
      <c r="F54" s="144" t="s">
        <v>299</v>
      </c>
      <c r="G54" s="145" t="s">
        <v>300</v>
      </c>
      <c r="H54" s="121"/>
    </row>
    <row r="55" spans="2:8" ht="18" customHeight="1">
      <c r="B55" s="143" t="s">
        <v>132</v>
      </c>
      <c r="C55" s="42" t="s">
        <v>310</v>
      </c>
      <c r="D55" s="1"/>
      <c r="E55" s="1"/>
      <c r="F55" s="1"/>
      <c r="G55" s="1"/>
      <c r="H55" s="2"/>
    </row>
    <row r="56" spans="2:8" ht="30" customHeight="1">
      <c r="B56" s="143" t="s">
        <v>135</v>
      </c>
      <c r="C56" s="177" t="s">
        <v>311</v>
      </c>
      <c r="D56" s="199"/>
      <c r="E56" s="199"/>
      <c r="F56" s="199"/>
      <c r="G56" s="199"/>
      <c r="H56" s="200"/>
    </row>
    <row r="57" spans="2:8" ht="20.100000000000001" customHeight="1">
      <c r="B57" s="102" t="s">
        <v>313</v>
      </c>
      <c r="C57" s="103"/>
      <c r="D57" s="103"/>
      <c r="E57" s="103"/>
      <c r="F57" s="103"/>
      <c r="G57" s="103"/>
      <c r="H57" s="103"/>
    </row>
    <row r="58" spans="2:8" ht="20.100000000000001" customHeight="1">
      <c r="B58" s="141" t="s">
        <v>297</v>
      </c>
      <c r="C58" s="142" t="s">
        <v>298</v>
      </c>
      <c r="D58" s="1"/>
      <c r="E58" s="1"/>
      <c r="F58" s="1"/>
      <c r="G58" s="1"/>
      <c r="H58" s="2"/>
    </row>
    <row r="59" spans="2:8" ht="20.100000000000001" customHeight="1">
      <c r="B59" s="143" t="s">
        <v>139</v>
      </c>
      <c r="C59" s="42" t="s">
        <v>314</v>
      </c>
      <c r="D59" s="137" t="s">
        <v>244</v>
      </c>
      <c r="E59" s="157"/>
      <c r="F59" s="144" t="s">
        <v>299</v>
      </c>
      <c r="G59" s="145" t="s">
        <v>300</v>
      </c>
      <c r="H59" s="121"/>
    </row>
    <row r="60" spans="2:8" ht="20.100000000000001" customHeight="1">
      <c r="B60" s="143" t="s">
        <v>142</v>
      </c>
      <c r="C60" s="42" t="s">
        <v>143</v>
      </c>
      <c r="D60" s="137" t="s">
        <v>244</v>
      </c>
      <c r="E60" s="157"/>
      <c r="F60" s="144" t="s">
        <v>299</v>
      </c>
      <c r="G60" s="145" t="s">
        <v>300</v>
      </c>
      <c r="H60" s="121"/>
    </row>
    <row r="61" spans="2:8" ht="20.100000000000001" customHeight="1">
      <c r="B61" s="143" t="s">
        <v>145</v>
      </c>
      <c r="C61" s="42" t="s">
        <v>315</v>
      </c>
      <c r="D61" s="137" t="s">
        <v>244</v>
      </c>
      <c r="E61" s="157"/>
      <c r="F61" s="144" t="s">
        <v>299</v>
      </c>
      <c r="G61" s="145" t="s">
        <v>300</v>
      </c>
      <c r="H61" s="121"/>
    </row>
    <row r="62" spans="2:8" ht="20.100000000000001" customHeight="1">
      <c r="B62" s="143" t="s">
        <v>148</v>
      </c>
      <c r="C62" s="42" t="s">
        <v>316</v>
      </c>
      <c r="D62" s="137" t="s">
        <v>244</v>
      </c>
      <c r="E62" s="157"/>
      <c r="F62" s="144" t="s">
        <v>299</v>
      </c>
      <c r="G62" s="145" t="s">
        <v>300</v>
      </c>
      <c r="H62" s="121"/>
    </row>
    <row r="63" spans="2:8" ht="18" customHeight="1">
      <c r="B63" s="143" t="s">
        <v>151</v>
      </c>
      <c r="C63" s="42" t="s">
        <v>152</v>
      </c>
      <c r="D63" s="137" t="s">
        <v>244</v>
      </c>
      <c r="E63" s="157"/>
      <c r="F63" s="144" t="s">
        <v>299</v>
      </c>
      <c r="G63" s="145" t="s">
        <v>300</v>
      </c>
      <c r="H63" s="2"/>
    </row>
    <row r="64" spans="2:8" ht="30" customHeight="1">
      <c r="B64" s="143" t="s">
        <v>154</v>
      </c>
      <c r="C64" s="42" t="s">
        <v>155</v>
      </c>
      <c r="D64" s="137" t="s">
        <v>244</v>
      </c>
      <c r="E64" s="157"/>
      <c r="F64" s="144" t="s">
        <v>299</v>
      </c>
      <c r="G64" s="145" t="s">
        <v>300</v>
      </c>
      <c r="H64" s="2"/>
    </row>
    <row r="65" spans="2:8" ht="20.100000000000001" customHeight="1">
      <c r="B65" s="141" t="s">
        <v>297</v>
      </c>
      <c r="C65" s="142" t="s">
        <v>298</v>
      </c>
      <c r="D65" s="1"/>
      <c r="E65" s="1"/>
      <c r="F65" s="1"/>
      <c r="G65" s="1"/>
      <c r="H65" s="2"/>
    </row>
    <row r="67" spans="2:8" ht="30" customHeight="1">
      <c r="B67" s="147" t="s">
        <v>317</v>
      </c>
      <c r="C67" s="170" t="s">
        <v>318</v>
      </c>
      <c r="D67" s="199"/>
      <c r="E67" s="199"/>
      <c r="F67" s="199"/>
      <c r="G67" s="199"/>
      <c r="H67" s="200"/>
    </row>
  </sheetData>
  <mergeCells count="7">
    <mergeCell ref="C67:H67"/>
    <mergeCell ref="C16:H16"/>
    <mergeCell ref="C50:H50"/>
    <mergeCell ref="N12:O12"/>
    <mergeCell ref="C34:H34"/>
    <mergeCell ref="C56:H56"/>
    <mergeCell ref="H12:M12"/>
  </mergeCell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B1:O67"/>
  <sheetViews>
    <sheetView topLeftCell="A29" workbookViewId="0">
      <selection activeCell="G31" sqref="G31"/>
    </sheetView>
  </sheetViews>
  <sheetFormatPr defaultRowHeight="14.45"/>
  <cols>
    <col min="1" max="1" width="2" customWidth="1"/>
    <col min="2" max="2" width="28" customWidth="1"/>
    <col min="3" max="3" width="45" bestFit="1" customWidth="1"/>
    <col min="4" max="4" width="18" customWidth="1"/>
    <col min="5" max="7" width="14" customWidth="1"/>
    <col min="8" max="8" width="55" customWidth="1"/>
    <col min="9" max="13" width="30.140625" customWidth="1"/>
  </cols>
  <sheetData>
    <row r="1" spans="2:15" ht="27.95" customHeight="1">
      <c r="B1" s="118" t="s">
        <v>432</v>
      </c>
      <c r="C1" s="68"/>
      <c r="D1" s="68"/>
      <c r="E1" s="68"/>
      <c r="F1" s="68"/>
      <c r="G1" s="68"/>
      <c r="H1" s="68"/>
    </row>
    <row r="2" spans="2:15" ht="15.95" customHeight="1">
      <c r="B2" s="19" t="s">
        <v>216</v>
      </c>
      <c r="C2" s="43" t="s">
        <v>217</v>
      </c>
      <c r="D2" s="43" t="s">
        <v>218</v>
      </c>
      <c r="E2" s="103"/>
      <c r="F2" s="103"/>
      <c r="G2" s="103"/>
      <c r="H2" s="43" t="s">
        <v>219</v>
      </c>
    </row>
    <row r="3" spans="2:15" ht="15.95" customHeight="1">
      <c r="B3" s="119" t="s">
        <v>220</v>
      </c>
      <c r="C3" s="42"/>
      <c r="D3" s="121"/>
      <c r="E3" s="121"/>
      <c r="F3" s="121"/>
      <c r="G3" s="121"/>
      <c r="H3" s="121"/>
    </row>
    <row r="4" spans="2:15" ht="15.95" customHeight="1">
      <c r="B4" s="119" t="s">
        <v>199</v>
      </c>
      <c r="C4" s="42"/>
      <c r="D4" s="121"/>
      <c r="E4" s="121"/>
      <c r="F4" s="121"/>
      <c r="G4" s="121"/>
      <c r="H4" s="121"/>
    </row>
    <row r="5" spans="2:15" ht="15.95" customHeight="1">
      <c r="B5" s="119" t="s">
        <v>224</v>
      </c>
      <c r="C5" s="42"/>
      <c r="D5" s="121"/>
      <c r="E5" s="121"/>
      <c r="F5" s="121"/>
      <c r="G5" s="121"/>
      <c r="H5" s="121"/>
    </row>
    <row r="6" spans="2:15" ht="15.95" customHeight="1">
      <c r="B6" s="119" t="s">
        <v>226</v>
      </c>
      <c r="C6" s="42"/>
      <c r="D6" s="121"/>
      <c r="E6" s="121"/>
      <c r="F6" s="121"/>
      <c r="G6" s="121"/>
      <c r="H6" s="121"/>
    </row>
    <row r="7" spans="2:15" ht="15.95" customHeight="1">
      <c r="B7" s="119" t="s">
        <v>227</v>
      </c>
      <c r="C7" s="42"/>
      <c r="D7" s="121"/>
      <c r="E7" s="121"/>
      <c r="F7" s="121"/>
      <c r="G7" s="121"/>
      <c r="H7" s="121"/>
    </row>
    <row r="8" spans="2:15" ht="15.95" customHeight="1">
      <c r="B8" s="119" t="s">
        <v>229</v>
      </c>
      <c r="C8" s="42"/>
      <c r="D8" s="121"/>
      <c r="E8" s="121"/>
      <c r="F8" s="121"/>
      <c r="G8" s="121"/>
      <c r="H8" s="121"/>
    </row>
    <row r="9" spans="2:15" ht="15.95" customHeight="1">
      <c r="B9" s="119" t="s">
        <v>231</v>
      </c>
      <c r="C9" s="42"/>
      <c r="D9" s="121"/>
      <c r="E9" s="121"/>
      <c r="F9" s="121"/>
      <c r="G9" s="121"/>
      <c r="H9" s="121"/>
    </row>
    <row r="10" spans="2:15" ht="15.95" customHeight="1">
      <c r="B10" s="119" t="s">
        <v>201</v>
      </c>
      <c r="C10" s="42"/>
      <c r="D10" s="121"/>
      <c r="E10" s="121"/>
      <c r="F10" s="121"/>
      <c r="G10" s="121"/>
      <c r="H10" s="121"/>
    </row>
    <row r="11" spans="2:15" ht="15.95" customHeight="1">
      <c r="B11" s="119" t="s">
        <v>203</v>
      </c>
      <c r="C11" s="42"/>
      <c r="D11" s="121"/>
      <c r="E11" s="121"/>
      <c r="F11" s="121"/>
      <c r="G11" s="121"/>
      <c r="H11" s="121"/>
    </row>
    <row r="12" spans="2:15" ht="15.95" customHeight="1">
      <c r="B12" s="119" t="s">
        <v>232</v>
      </c>
      <c r="C12" s="42"/>
      <c r="D12" s="121"/>
      <c r="E12" s="121"/>
      <c r="F12" s="121"/>
      <c r="G12" s="121"/>
      <c r="H12" s="174"/>
      <c r="I12" s="199"/>
      <c r="J12" s="199"/>
      <c r="K12" s="199"/>
      <c r="L12" s="199"/>
      <c r="M12" s="200"/>
      <c r="N12" s="201"/>
      <c r="O12" s="201"/>
    </row>
    <row r="13" spans="2:15" ht="15.95" customHeight="1">
      <c r="B13" s="119" t="s">
        <v>161</v>
      </c>
      <c r="C13" s="42"/>
      <c r="D13" s="121"/>
      <c r="E13" s="121"/>
      <c r="F13" s="121"/>
      <c r="G13" s="121"/>
      <c r="H13" s="121"/>
    </row>
    <row r="14" spans="2:15" ht="15.95" customHeight="1">
      <c r="B14" s="68"/>
      <c r="C14" s="68"/>
      <c r="D14" s="68"/>
      <c r="E14" s="68"/>
      <c r="F14" s="68"/>
      <c r="G14" s="68"/>
      <c r="H14" s="68"/>
      <c r="I14" s="1"/>
      <c r="J14" s="1"/>
      <c r="K14" s="1"/>
      <c r="L14" s="1"/>
      <c r="M14" s="2"/>
    </row>
    <row r="15" spans="2:15" ht="54.95" customHeight="1">
      <c r="B15" s="123" t="s">
        <v>46</v>
      </c>
      <c r="C15" s="124" t="s">
        <v>47</v>
      </c>
      <c r="D15" s="1"/>
      <c r="E15" s="1"/>
      <c r="F15" s="1"/>
      <c r="G15" s="1"/>
      <c r="H15" s="2"/>
    </row>
    <row r="16" spans="2:15" ht="39.950000000000003" customHeight="1">
      <c r="B16" s="102" t="s">
        <v>234</v>
      </c>
      <c r="C16" s="172"/>
      <c r="D16" s="199"/>
      <c r="E16" s="199"/>
      <c r="F16" s="199"/>
      <c r="G16" s="199"/>
      <c r="H16" s="200"/>
    </row>
    <row r="17" spans="2:8" ht="54.95" customHeight="1">
      <c r="B17" s="105" t="s">
        <v>52</v>
      </c>
      <c r="C17" s="119" t="s">
        <v>235</v>
      </c>
      <c r="D17" s="125" t="s">
        <v>236</v>
      </c>
      <c r="E17" s="154"/>
      <c r="F17" s="127" t="s">
        <v>237</v>
      </c>
      <c r="G17" s="128" t="s">
        <v>238</v>
      </c>
      <c r="H17" s="129" t="s">
        <v>239</v>
      </c>
    </row>
    <row r="18" spans="2:8" ht="54.95" customHeight="1">
      <c r="B18" s="130" t="s">
        <v>241</v>
      </c>
      <c r="C18" s="150" t="s">
        <v>330</v>
      </c>
      <c r="D18" s="1"/>
      <c r="E18" s="1"/>
      <c r="F18" s="1"/>
      <c r="G18" s="1"/>
      <c r="H18" s="2"/>
    </row>
    <row r="19" spans="2:8" ht="54.95" customHeight="1">
      <c r="B19" s="105" t="s">
        <v>56</v>
      </c>
      <c r="C19" s="119" t="s">
        <v>243</v>
      </c>
      <c r="D19" s="125" t="s">
        <v>244</v>
      </c>
      <c r="E19" s="154"/>
      <c r="F19" s="127" t="s">
        <v>245</v>
      </c>
      <c r="G19" s="128" t="s">
        <v>246</v>
      </c>
      <c r="H19" s="129" t="s">
        <v>247</v>
      </c>
    </row>
    <row r="20" spans="2:8" ht="18" customHeight="1">
      <c r="B20" s="105" t="s">
        <v>59</v>
      </c>
      <c r="C20" s="119" t="s">
        <v>248</v>
      </c>
      <c r="D20" s="125" t="s">
        <v>244</v>
      </c>
      <c r="E20" s="154"/>
      <c r="F20" s="127" t="s">
        <v>249</v>
      </c>
      <c r="G20" s="128" t="s">
        <v>250</v>
      </c>
      <c r="H20" s="129" t="s">
        <v>251</v>
      </c>
    </row>
    <row r="21" spans="2:8" ht="15.95" customHeight="1">
      <c r="B21" s="105" t="s">
        <v>62</v>
      </c>
      <c r="C21" s="119" t="s">
        <v>252</v>
      </c>
      <c r="D21" s="125" t="s">
        <v>244</v>
      </c>
      <c r="E21" s="154"/>
      <c r="F21" s="127" t="s">
        <v>253</v>
      </c>
      <c r="G21" s="128" t="s">
        <v>254</v>
      </c>
      <c r="H21" s="129" t="s">
        <v>255</v>
      </c>
    </row>
    <row r="22" spans="2:8" ht="54.95" customHeight="1">
      <c r="B22" s="102" t="s">
        <v>256</v>
      </c>
      <c r="C22" s="103"/>
      <c r="D22" s="103"/>
      <c r="E22" s="103"/>
      <c r="F22" s="103"/>
      <c r="G22" s="103"/>
      <c r="H22" s="103"/>
    </row>
    <row r="23" spans="2:8" ht="54.95" customHeight="1">
      <c r="B23" s="132" t="s">
        <v>46</v>
      </c>
      <c r="C23" s="133" t="s">
        <v>47</v>
      </c>
      <c r="D23" s="132" t="s">
        <v>257</v>
      </c>
      <c r="E23" s="134" t="s">
        <v>258</v>
      </c>
      <c r="F23" s="135" t="s">
        <v>259</v>
      </c>
      <c r="G23" s="136" t="s">
        <v>260</v>
      </c>
      <c r="H23" s="133" t="s">
        <v>261</v>
      </c>
    </row>
    <row r="24" spans="2:8" ht="54.95" customHeight="1">
      <c r="B24" s="105" t="s">
        <v>66</v>
      </c>
      <c r="C24" s="42" t="s">
        <v>262</v>
      </c>
      <c r="D24" s="137" t="s">
        <v>263</v>
      </c>
      <c r="E24" s="154"/>
      <c r="F24" s="127" t="s">
        <v>264</v>
      </c>
      <c r="G24" s="128" t="s">
        <v>265</v>
      </c>
      <c r="H24" s="129" t="s">
        <v>266</v>
      </c>
    </row>
    <row r="25" spans="2:8" ht="54.95" customHeight="1">
      <c r="B25" s="105" t="s">
        <v>69</v>
      </c>
      <c r="C25" s="42" t="s">
        <v>267</v>
      </c>
      <c r="D25" s="137" t="s">
        <v>263</v>
      </c>
      <c r="E25" s="154"/>
      <c r="F25" s="127" t="s">
        <v>268</v>
      </c>
      <c r="G25" s="128" t="s">
        <v>269</v>
      </c>
      <c r="H25" s="129" t="s">
        <v>270</v>
      </c>
    </row>
    <row r="26" spans="2:8" ht="54.95" customHeight="1">
      <c r="B26" s="105" t="s">
        <v>71</v>
      </c>
      <c r="C26" s="42" t="s">
        <v>271</v>
      </c>
      <c r="D26" s="137" t="s">
        <v>263</v>
      </c>
      <c r="E26" s="154"/>
      <c r="F26" s="127" t="s">
        <v>272</v>
      </c>
      <c r="G26" s="128" t="s">
        <v>273</v>
      </c>
      <c r="H26" s="129" t="s">
        <v>274</v>
      </c>
    </row>
    <row r="27" spans="2:8" ht="54.95" customHeight="1">
      <c r="B27" s="105" t="s">
        <v>73</v>
      </c>
      <c r="C27" s="42" t="s">
        <v>275</v>
      </c>
      <c r="D27" s="137" t="s">
        <v>263</v>
      </c>
      <c r="E27" s="154"/>
      <c r="F27" s="127" t="s">
        <v>276</v>
      </c>
      <c r="G27" s="128" t="s">
        <v>277</v>
      </c>
      <c r="H27" s="129" t="s">
        <v>278</v>
      </c>
    </row>
    <row r="28" spans="2:8" ht="54.95" customHeight="1">
      <c r="B28" s="105" t="s">
        <v>75</v>
      </c>
      <c r="C28" s="42" t="s">
        <v>279</v>
      </c>
      <c r="D28" s="137" t="s">
        <v>263</v>
      </c>
      <c r="E28" s="154"/>
      <c r="F28" s="127" t="s">
        <v>280</v>
      </c>
      <c r="G28" s="128" t="s">
        <v>281</v>
      </c>
      <c r="H28" s="129" t="s">
        <v>282</v>
      </c>
    </row>
    <row r="29" spans="2:8" ht="54.95" customHeight="1">
      <c r="B29" s="105" t="s">
        <v>77</v>
      </c>
      <c r="C29" s="42" t="s">
        <v>283</v>
      </c>
      <c r="D29" s="137" t="s">
        <v>263</v>
      </c>
      <c r="E29" s="154"/>
      <c r="F29" s="127" t="s">
        <v>284</v>
      </c>
      <c r="G29" s="128" t="s">
        <v>285</v>
      </c>
      <c r="H29" s="129" t="s">
        <v>286</v>
      </c>
    </row>
    <row r="30" spans="2:8" ht="54.95" customHeight="1">
      <c r="B30" s="105" t="s">
        <v>79</v>
      </c>
      <c r="C30" s="42" t="s">
        <v>287</v>
      </c>
      <c r="D30" s="137" t="s">
        <v>263</v>
      </c>
      <c r="E30" s="154"/>
      <c r="F30" s="127" t="s">
        <v>288</v>
      </c>
      <c r="G30" s="128" t="s">
        <v>289</v>
      </c>
      <c r="H30" s="129" t="s">
        <v>290</v>
      </c>
    </row>
    <row r="31" spans="2:8" ht="18" customHeight="1">
      <c r="B31" s="105" t="s">
        <v>81</v>
      </c>
      <c r="C31" s="42" t="s">
        <v>291</v>
      </c>
      <c r="D31" s="137" t="s">
        <v>263</v>
      </c>
      <c r="E31" s="154"/>
      <c r="F31" s="127" t="s">
        <v>327</v>
      </c>
      <c r="G31" s="128" t="s">
        <v>328</v>
      </c>
      <c r="H31" s="129" t="s">
        <v>329</v>
      </c>
    </row>
    <row r="32" spans="2:8" ht="30" customHeight="1">
      <c r="B32" s="105" t="s">
        <v>84</v>
      </c>
      <c r="C32" s="42" t="s">
        <v>292</v>
      </c>
      <c r="D32" s="138" t="s">
        <v>236</v>
      </c>
      <c r="E32" s="146"/>
      <c r="F32" s="139" t="s">
        <v>293</v>
      </c>
      <c r="G32" s="128" t="s">
        <v>294</v>
      </c>
      <c r="H32" s="140" t="s">
        <v>295</v>
      </c>
    </row>
    <row r="33" spans="2:8" ht="20.100000000000001" customHeight="1">
      <c r="B33" s="102" t="s">
        <v>296</v>
      </c>
      <c r="C33" s="103"/>
      <c r="D33" s="1"/>
      <c r="E33" s="1"/>
      <c r="F33" s="1"/>
      <c r="G33" s="1"/>
      <c r="H33" s="2"/>
    </row>
    <row r="34" spans="2:8" ht="39.950000000000003" customHeight="1">
      <c r="B34" s="141" t="s">
        <v>297</v>
      </c>
      <c r="C34" s="173" t="s">
        <v>298</v>
      </c>
      <c r="D34" s="199"/>
      <c r="E34" s="199"/>
      <c r="F34" s="199"/>
      <c r="G34" s="199"/>
      <c r="H34" s="200"/>
    </row>
    <row r="35" spans="2:8" ht="20.100000000000001" customHeight="1">
      <c r="B35" s="143" t="s">
        <v>88</v>
      </c>
      <c r="C35" s="42" t="s">
        <v>89</v>
      </c>
      <c r="D35" s="137" t="s">
        <v>244</v>
      </c>
      <c r="E35" s="157"/>
      <c r="F35" s="144" t="s">
        <v>299</v>
      </c>
      <c r="G35" s="145" t="s">
        <v>300</v>
      </c>
      <c r="H35" s="121"/>
    </row>
    <row r="36" spans="2:8" ht="20.100000000000001" customHeight="1">
      <c r="B36" s="130" t="s">
        <v>241</v>
      </c>
      <c r="C36" s="150" t="s">
        <v>381</v>
      </c>
      <c r="D36" s="1"/>
      <c r="E36" s="1"/>
      <c r="F36" s="1"/>
      <c r="G36" s="1"/>
      <c r="H36" s="2"/>
    </row>
    <row r="37" spans="2:8" ht="20.100000000000001" customHeight="1">
      <c r="B37" s="143" t="s">
        <v>91</v>
      </c>
      <c r="C37" s="42" t="s">
        <v>92</v>
      </c>
      <c r="D37" s="137" t="s">
        <v>244</v>
      </c>
      <c r="E37" s="157"/>
      <c r="F37" s="144" t="s">
        <v>299</v>
      </c>
      <c r="G37" s="145" t="s">
        <v>300</v>
      </c>
      <c r="H37" s="121"/>
    </row>
    <row r="38" spans="2:8" ht="20.100000000000001" customHeight="1">
      <c r="B38" s="143" t="s">
        <v>94</v>
      </c>
      <c r="C38" s="42" t="s">
        <v>302</v>
      </c>
      <c r="D38" s="137" t="s">
        <v>244</v>
      </c>
      <c r="E38" s="157"/>
      <c r="F38" s="144" t="s">
        <v>299</v>
      </c>
      <c r="G38" s="145" t="s">
        <v>300</v>
      </c>
      <c r="H38" s="121"/>
    </row>
    <row r="39" spans="2:8" ht="20.100000000000001" customHeight="1">
      <c r="B39" s="143" t="s">
        <v>97</v>
      </c>
      <c r="C39" s="42" t="s">
        <v>98</v>
      </c>
      <c r="D39" s="137" t="s">
        <v>244</v>
      </c>
      <c r="E39" s="157"/>
      <c r="F39" s="144" t="s">
        <v>299</v>
      </c>
      <c r="G39" s="145" t="s">
        <v>300</v>
      </c>
      <c r="H39" s="121"/>
    </row>
    <row r="40" spans="2:8" ht="20.100000000000001" customHeight="1">
      <c r="B40" s="143" t="s">
        <v>100</v>
      </c>
      <c r="C40" s="42" t="s">
        <v>101</v>
      </c>
      <c r="D40" s="137" t="s">
        <v>244</v>
      </c>
      <c r="E40" s="157"/>
      <c r="F40" s="144" t="s">
        <v>299</v>
      </c>
      <c r="G40" s="145" t="s">
        <v>300</v>
      </c>
      <c r="H40" s="121"/>
    </row>
    <row r="41" spans="2:8" ht="18" customHeight="1">
      <c r="B41" s="143" t="s">
        <v>103</v>
      </c>
      <c r="C41" s="42" t="s">
        <v>104</v>
      </c>
      <c r="D41" s="84" t="s">
        <v>244</v>
      </c>
      <c r="E41" s="146"/>
      <c r="F41" s="127" t="s">
        <v>299</v>
      </c>
      <c r="G41" s="128" t="s">
        <v>300</v>
      </c>
      <c r="H41" s="129" t="s">
        <v>298</v>
      </c>
    </row>
    <row r="42" spans="2:8" ht="30" customHeight="1">
      <c r="B42" s="143" t="s">
        <v>106</v>
      </c>
      <c r="C42" s="42" t="s">
        <v>303</v>
      </c>
      <c r="D42" s="84" t="s">
        <v>244</v>
      </c>
      <c r="E42" s="146"/>
      <c r="F42" s="127" t="s">
        <v>299</v>
      </c>
      <c r="G42" s="128" t="s">
        <v>300</v>
      </c>
      <c r="H42" s="129" t="s">
        <v>298</v>
      </c>
    </row>
    <row r="43" spans="2:8" ht="20.100000000000001" customHeight="1">
      <c r="B43" s="102" t="s">
        <v>304</v>
      </c>
      <c r="C43" s="103"/>
      <c r="D43" s="103"/>
      <c r="E43" s="103"/>
      <c r="F43" s="103"/>
      <c r="G43" s="103"/>
      <c r="H43" s="103"/>
    </row>
    <row r="44" spans="2:8" ht="20.100000000000001" customHeight="1">
      <c r="B44" s="141" t="s">
        <v>297</v>
      </c>
      <c r="C44" s="142" t="s">
        <v>298</v>
      </c>
      <c r="D44" s="1"/>
      <c r="E44" s="1"/>
      <c r="F44" s="1"/>
      <c r="G44" s="1"/>
      <c r="H44" s="2"/>
    </row>
    <row r="45" spans="2:8" ht="20.100000000000001" customHeight="1">
      <c r="B45" s="143" t="s">
        <v>110</v>
      </c>
      <c r="C45" s="42" t="s">
        <v>111</v>
      </c>
      <c r="D45" s="137" t="s">
        <v>244</v>
      </c>
      <c r="E45" s="157"/>
      <c r="F45" s="144" t="s">
        <v>299</v>
      </c>
      <c r="G45" s="145" t="s">
        <v>300</v>
      </c>
      <c r="H45" s="121"/>
    </row>
    <row r="46" spans="2:8" ht="20.100000000000001" customHeight="1">
      <c r="B46" s="143" t="s">
        <v>113</v>
      </c>
      <c r="C46" s="42" t="s">
        <v>114</v>
      </c>
      <c r="D46" s="137" t="s">
        <v>244</v>
      </c>
      <c r="E46" s="157"/>
      <c r="F46" s="144" t="s">
        <v>299</v>
      </c>
      <c r="G46" s="145" t="s">
        <v>300</v>
      </c>
      <c r="H46" s="121"/>
    </row>
    <row r="47" spans="2:8" ht="18" customHeight="1">
      <c r="B47" s="143" t="s">
        <v>116</v>
      </c>
      <c r="C47" s="42" t="s">
        <v>117</v>
      </c>
      <c r="D47" s="84" t="s">
        <v>244</v>
      </c>
      <c r="E47" s="146"/>
      <c r="F47" s="127" t="s">
        <v>299</v>
      </c>
      <c r="G47" s="128" t="s">
        <v>300</v>
      </c>
      <c r="H47" s="129" t="s">
        <v>298</v>
      </c>
    </row>
    <row r="48" spans="2:8" ht="30" customHeight="1">
      <c r="B48" s="143" t="s">
        <v>119</v>
      </c>
      <c r="C48" s="42" t="s">
        <v>120</v>
      </c>
      <c r="D48" s="84" t="s">
        <v>244</v>
      </c>
      <c r="E48" s="146"/>
      <c r="F48" s="127" t="s">
        <v>299</v>
      </c>
      <c r="G48" s="128" t="s">
        <v>300</v>
      </c>
      <c r="H48" s="129" t="s">
        <v>298</v>
      </c>
    </row>
    <row r="49" spans="2:8" ht="20.100000000000001" customHeight="1">
      <c r="B49" s="102" t="s">
        <v>306</v>
      </c>
      <c r="C49" s="103"/>
      <c r="D49" s="1"/>
      <c r="E49" s="1"/>
      <c r="F49" s="1"/>
      <c r="G49" s="1"/>
      <c r="H49" s="2"/>
    </row>
    <row r="50" spans="2:8" ht="39.950000000000003" customHeight="1">
      <c r="B50" s="141" t="s">
        <v>297</v>
      </c>
      <c r="C50" s="173" t="s">
        <v>298</v>
      </c>
      <c r="D50" s="199"/>
      <c r="E50" s="199"/>
      <c r="F50" s="199"/>
      <c r="G50" s="199"/>
      <c r="H50" s="200"/>
    </row>
    <row r="51" spans="2:8" ht="20.100000000000001" customHeight="1">
      <c r="B51" s="143" t="s">
        <v>123</v>
      </c>
      <c r="C51" s="42" t="s">
        <v>307</v>
      </c>
      <c r="D51" s="137" t="s">
        <v>244</v>
      </c>
      <c r="E51" s="157"/>
      <c r="F51" s="144" t="s">
        <v>299</v>
      </c>
      <c r="G51" s="145" t="s">
        <v>300</v>
      </c>
      <c r="H51" s="121"/>
    </row>
    <row r="52" spans="2:8" ht="20.100000000000001" customHeight="1">
      <c r="B52" s="130" t="s">
        <v>241</v>
      </c>
      <c r="C52" s="150" t="s">
        <v>392</v>
      </c>
      <c r="D52" s="1"/>
      <c r="E52" s="1"/>
      <c r="F52" s="1"/>
      <c r="G52" s="1"/>
      <c r="H52" s="2"/>
    </row>
    <row r="53" spans="2:8" ht="20.100000000000001" customHeight="1">
      <c r="B53" s="143" t="s">
        <v>126</v>
      </c>
      <c r="C53" s="42" t="s">
        <v>309</v>
      </c>
      <c r="D53" s="137" t="s">
        <v>244</v>
      </c>
      <c r="E53" s="157"/>
      <c r="F53" s="144" t="s">
        <v>299</v>
      </c>
      <c r="G53" s="145" t="s">
        <v>300</v>
      </c>
      <c r="H53" s="121"/>
    </row>
    <row r="54" spans="2:8" ht="20.100000000000001" customHeight="1">
      <c r="B54" s="143" t="s">
        <v>129</v>
      </c>
      <c r="C54" s="42" t="s">
        <v>130</v>
      </c>
      <c r="D54" s="137" t="s">
        <v>244</v>
      </c>
      <c r="E54" s="157"/>
      <c r="F54" s="144" t="s">
        <v>299</v>
      </c>
      <c r="G54" s="145" t="s">
        <v>300</v>
      </c>
      <c r="H54" s="121"/>
    </row>
    <row r="55" spans="2:8" ht="18" customHeight="1">
      <c r="B55" s="143" t="s">
        <v>132</v>
      </c>
      <c r="C55" s="42" t="s">
        <v>310</v>
      </c>
      <c r="D55" s="1"/>
      <c r="E55" s="1"/>
      <c r="F55" s="1"/>
      <c r="G55" s="1"/>
      <c r="H55" s="2"/>
    </row>
    <row r="56" spans="2:8" ht="30" customHeight="1">
      <c r="B56" s="143" t="s">
        <v>135</v>
      </c>
      <c r="C56" s="177" t="s">
        <v>311</v>
      </c>
      <c r="D56" s="199"/>
      <c r="E56" s="199"/>
      <c r="F56" s="199"/>
      <c r="G56" s="199"/>
      <c r="H56" s="200"/>
    </row>
    <row r="57" spans="2:8" ht="20.100000000000001" customHeight="1">
      <c r="B57" s="102" t="s">
        <v>313</v>
      </c>
      <c r="C57" s="103"/>
      <c r="D57" s="103"/>
      <c r="E57" s="103"/>
      <c r="F57" s="103"/>
      <c r="G57" s="103"/>
      <c r="H57" s="103"/>
    </row>
    <row r="58" spans="2:8" ht="20.100000000000001" customHeight="1">
      <c r="B58" s="141" t="s">
        <v>297</v>
      </c>
      <c r="C58" s="142" t="s">
        <v>298</v>
      </c>
      <c r="D58" s="1"/>
      <c r="E58" s="1"/>
      <c r="F58" s="1"/>
      <c r="G58" s="1"/>
      <c r="H58" s="2"/>
    </row>
    <row r="59" spans="2:8" ht="20.100000000000001" customHeight="1">
      <c r="B59" s="143" t="s">
        <v>139</v>
      </c>
      <c r="C59" s="42" t="s">
        <v>314</v>
      </c>
      <c r="D59" s="137" t="s">
        <v>244</v>
      </c>
      <c r="E59" s="157"/>
      <c r="F59" s="144" t="s">
        <v>299</v>
      </c>
      <c r="G59" s="145" t="s">
        <v>300</v>
      </c>
      <c r="H59" s="121"/>
    </row>
    <row r="60" spans="2:8" ht="20.100000000000001" customHeight="1">
      <c r="B60" s="143" t="s">
        <v>142</v>
      </c>
      <c r="C60" s="42" t="s">
        <v>143</v>
      </c>
      <c r="D60" s="137" t="s">
        <v>244</v>
      </c>
      <c r="E60" s="157"/>
      <c r="F60" s="144" t="s">
        <v>299</v>
      </c>
      <c r="G60" s="145" t="s">
        <v>300</v>
      </c>
      <c r="H60" s="121"/>
    </row>
    <row r="61" spans="2:8" ht="20.100000000000001" customHeight="1">
      <c r="B61" s="143" t="s">
        <v>145</v>
      </c>
      <c r="C61" s="42" t="s">
        <v>315</v>
      </c>
      <c r="D61" s="137" t="s">
        <v>244</v>
      </c>
      <c r="E61" s="157"/>
      <c r="F61" s="144" t="s">
        <v>299</v>
      </c>
      <c r="G61" s="145" t="s">
        <v>300</v>
      </c>
      <c r="H61" s="121"/>
    </row>
    <row r="62" spans="2:8" ht="20.100000000000001" customHeight="1">
      <c r="B62" s="143" t="s">
        <v>148</v>
      </c>
      <c r="C62" s="42" t="s">
        <v>316</v>
      </c>
      <c r="D62" s="137" t="s">
        <v>244</v>
      </c>
      <c r="E62" s="157"/>
      <c r="F62" s="144" t="s">
        <v>299</v>
      </c>
      <c r="G62" s="145" t="s">
        <v>300</v>
      </c>
      <c r="H62" s="121"/>
    </row>
    <row r="63" spans="2:8" ht="18" customHeight="1">
      <c r="B63" s="143" t="s">
        <v>151</v>
      </c>
      <c r="C63" s="42" t="s">
        <v>152</v>
      </c>
      <c r="D63" s="137" t="s">
        <v>244</v>
      </c>
      <c r="E63" s="157"/>
      <c r="F63" s="144" t="s">
        <v>299</v>
      </c>
      <c r="G63" s="145" t="s">
        <v>300</v>
      </c>
      <c r="H63" s="2"/>
    </row>
    <row r="64" spans="2:8" ht="30" customHeight="1">
      <c r="B64" s="143" t="s">
        <v>154</v>
      </c>
      <c r="C64" s="42" t="s">
        <v>155</v>
      </c>
      <c r="D64" s="137" t="s">
        <v>244</v>
      </c>
      <c r="E64" s="157"/>
      <c r="F64" s="144" t="s">
        <v>299</v>
      </c>
      <c r="G64" s="145" t="s">
        <v>300</v>
      </c>
      <c r="H64" s="2"/>
    </row>
    <row r="65" spans="2:8" ht="20.100000000000001" customHeight="1">
      <c r="B65" s="141" t="s">
        <v>297</v>
      </c>
      <c r="C65" s="142" t="s">
        <v>298</v>
      </c>
      <c r="D65" s="1"/>
      <c r="E65" s="1"/>
      <c r="F65" s="1"/>
      <c r="G65" s="1"/>
      <c r="H65" s="2"/>
    </row>
    <row r="67" spans="2:8" ht="30" customHeight="1">
      <c r="B67" s="147" t="s">
        <v>317</v>
      </c>
      <c r="C67" s="170" t="s">
        <v>318</v>
      </c>
      <c r="D67" s="199"/>
      <c r="E67" s="199"/>
      <c r="F67" s="199"/>
      <c r="G67" s="199"/>
      <c r="H67" s="200"/>
    </row>
  </sheetData>
  <mergeCells count="7">
    <mergeCell ref="C67:H67"/>
    <mergeCell ref="C16:H16"/>
    <mergeCell ref="C50:H50"/>
    <mergeCell ref="N12:O12"/>
    <mergeCell ref="C34:H34"/>
    <mergeCell ref="C56:H56"/>
    <mergeCell ref="H12:M12"/>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B1:O67"/>
  <sheetViews>
    <sheetView topLeftCell="A29" workbookViewId="0">
      <selection activeCell="G31" sqref="G31"/>
    </sheetView>
  </sheetViews>
  <sheetFormatPr defaultRowHeight="14.45"/>
  <cols>
    <col min="1" max="1" width="2" customWidth="1"/>
    <col min="2" max="2" width="28" customWidth="1"/>
    <col min="3" max="3" width="45" bestFit="1" customWidth="1"/>
    <col min="4" max="4" width="18" customWidth="1"/>
    <col min="5" max="7" width="14" customWidth="1"/>
    <col min="8" max="8" width="55" customWidth="1"/>
    <col min="9" max="13" width="30.140625" customWidth="1"/>
  </cols>
  <sheetData>
    <row r="1" spans="2:15" ht="27.95" customHeight="1">
      <c r="B1" s="118" t="s">
        <v>433</v>
      </c>
      <c r="C1" s="68"/>
      <c r="D1" s="68"/>
      <c r="E1" s="68"/>
      <c r="F1" s="68"/>
      <c r="G1" s="68"/>
      <c r="H1" s="68"/>
    </row>
    <row r="2" spans="2:15" ht="15.95" customHeight="1">
      <c r="B2" s="19" t="s">
        <v>216</v>
      </c>
      <c r="C2" s="43" t="s">
        <v>217</v>
      </c>
      <c r="D2" s="43" t="s">
        <v>218</v>
      </c>
      <c r="E2" s="103"/>
      <c r="F2" s="103"/>
      <c r="G2" s="103"/>
      <c r="H2" s="43" t="s">
        <v>219</v>
      </c>
    </row>
    <row r="3" spans="2:15" ht="15.95" customHeight="1">
      <c r="B3" s="119" t="s">
        <v>220</v>
      </c>
      <c r="C3" s="42"/>
      <c r="D3" s="121"/>
      <c r="E3" s="121"/>
      <c r="F3" s="121"/>
      <c r="G3" s="121"/>
      <c r="H3" s="121"/>
    </row>
    <row r="4" spans="2:15" ht="15.95" customHeight="1">
      <c r="B4" s="119" t="s">
        <v>199</v>
      </c>
      <c r="C4" s="42"/>
      <c r="D4" s="121"/>
      <c r="E4" s="121"/>
      <c r="F4" s="121"/>
      <c r="G4" s="121"/>
      <c r="H4" s="121"/>
    </row>
    <row r="5" spans="2:15" ht="15.95" customHeight="1">
      <c r="B5" s="119" t="s">
        <v>224</v>
      </c>
      <c r="C5" s="42"/>
      <c r="D5" s="121"/>
      <c r="E5" s="121"/>
      <c r="F5" s="121"/>
      <c r="G5" s="121"/>
      <c r="H5" s="121"/>
    </row>
    <row r="6" spans="2:15" ht="15.95" customHeight="1">
      <c r="B6" s="119" t="s">
        <v>226</v>
      </c>
      <c r="C6" s="42"/>
      <c r="D6" s="121"/>
      <c r="E6" s="121"/>
      <c r="F6" s="121"/>
      <c r="G6" s="121"/>
      <c r="H6" s="121"/>
    </row>
    <row r="7" spans="2:15" ht="15.95" customHeight="1">
      <c r="B7" s="119" t="s">
        <v>227</v>
      </c>
      <c r="C7" s="42"/>
      <c r="D7" s="121"/>
      <c r="E7" s="121"/>
      <c r="F7" s="121"/>
      <c r="G7" s="121"/>
      <c r="H7" s="121"/>
    </row>
    <row r="8" spans="2:15" ht="15.95" customHeight="1">
      <c r="B8" s="119" t="s">
        <v>229</v>
      </c>
      <c r="C8" s="42"/>
      <c r="D8" s="121"/>
      <c r="E8" s="121"/>
      <c r="F8" s="121"/>
      <c r="G8" s="121"/>
      <c r="H8" s="121"/>
    </row>
    <row r="9" spans="2:15" ht="15.95" customHeight="1">
      <c r="B9" s="119" t="s">
        <v>231</v>
      </c>
      <c r="C9" s="42"/>
      <c r="D9" s="121"/>
      <c r="E9" s="121"/>
      <c r="F9" s="121"/>
      <c r="G9" s="121"/>
      <c r="H9" s="121"/>
    </row>
    <row r="10" spans="2:15" ht="15.95" customHeight="1">
      <c r="B10" s="119" t="s">
        <v>201</v>
      </c>
      <c r="C10" s="42"/>
      <c r="D10" s="121"/>
      <c r="E10" s="121"/>
      <c r="F10" s="121"/>
      <c r="G10" s="121"/>
      <c r="H10" s="121"/>
    </row>
    <row r="11" spans="2:15" ht="15.95" customHeight="1">
      <c r="B11" s="119" t="s">
        <v>203</v>
      </c>
      <c r="C11" s="42"/>
      <c r="D11" s="121"/>
      <c r="E11" s="121"/>
      <c r="F11" s="121"/>
      <c r="G11" s="121"/>
      <c r="H11" s="121"/>
    </row>
    <row r="12" spans="2:15" ht="15.95" customHeight="1">
      <c r="B12" s="119" t="s">
        <v>232</v>
      </c>
      <c r="C12" s="42"/>
      <c r="D12" s="121"/>
      <c r="E12" s="121"/>
      <c r="F12" s="121"/>
      <c r="G12" s="121"/>
      <c r="H12" s="174"/>
      <c r="I12" s="199"/>
      <c r="J12" s="199"/>
      <c r="K12" s="199"/>
      <c r="L12" s="199"/>
      <c r="M12" s="200"/>
      <c r="N12" s="201"/>
      <c r="O12" s="201"/>
    </row>
    <row r="13" spans="2:15" ht="15.95" customHeight="1">
      <c r="B13" s="119" t="s">
        <v>161</v>
      </c>
      <c r="C13" s="42"/>
      <c r="D13" s="121"/>
      <c r="E13" s="121"/>
      <c r="F13" s="121"/>
      <c r="G13" s="121"/>
      <c r="H13" s="121"/>
    </row>
    <row r="14" spans="2:15" ht="15.95" customHeight="1">
      <c r="B14" s="68"/>
      <c r="C14" s="68"/>
      <c r="D14" s="68"/>
      <c r="E14" s="68"/>
      <c r="F14" s="68"/>
      <c r="G14" s="68"/>
      <c r="H14" s="68"/>
      <c r="I14" s="1"/>
      <c r="J14" s="1"/>
      <c r="K14" s="1"/>
      <c r="L14" s="1"/>
      <c r="M14" s="2"/>
    </row>
    <row r="15" spans="2:15" ht="54.95" customHeight="1">
      <c r="B15" s="123" t="s">
        <v>46</v>
      </c>
      <c r="C15" s="124" t="s">
        <v>47</v>
      </c>
      <c r="D15" s="1"/>
      <c r="E15" s="1"/>
      <c r="F15" s="1"/>
      <c r="G15" s="1"/>
      <c r="H15" s="2"/>
    </row>
    <row r="16" spans="2:15" ht="39.950000000000003" customHeight="1">
      <c r="B16" s="102" t="s">
        <v>234</v>
      </c>
      <c r="C16" s="172"/>
      <c r="D16" s="199"/>
      <c r="E16" s="199"/>
      <c r="F16" s="199"/>
      <c r="G16" s="199"/>
      <c r="H16" s="200"/>
    </row>
    <row r="17" spans="2:8" ht="54.95" customHeight="1">
      <c r="B17" s="105" t="s">
        <v>52</v>
      </c>
      <c r="C17" s="119" t="s">
        <v>235</v>
      </c>
      <c r="D17" s="125" t="s">
        <v>236</v>
      </c>
      <c r="E17" s="154"/>
      <c r="F17" s="127" t="s">
        <v>237</v>
      </c>
      <c r="G17" s="128" t="s">
        <v>238</v>
      </c>
      <c r="H17" s="129" t="s">
        <v>239</v>
      </c>
    </row>
    <row r="18" spans="2:8" ht="54.95" customHeight="1">
      <c r="B18" s="130" t="s">
        <v>241</v>
      </c>
      <c r="C18" s="150" t="s">
        <v>330</v>
      </c>
      <c r="D18" s="1"/>
      <c r="E18" s="1"/>
      <c r="F18" s="1"/>
      <c r="G18" s="1"/>
      <c r="H18" s="2"/>
    </row>
    <row r="19" spans="2:8" ht="54.95" customHeight="1">
      <c r="B19" s="105" t="s">
        <v>56</v>
      </c>
      <c r="C19" s="119" t="s">
        <v>243</v>
      </c>
      <c r="D19" s="125" t="s">
        <v>244</v>
      </c>
      <c r="E19" s="154"/>
      <c r="F19" s="127" t="s">
        <v>245</v>
      </c>
      <c r="G19" s="128" t="s">
        <v>246</v>
      </c>
      <c r="H19" s="129" t="s">
        <v>247</v>
      </c>
    </row>
    <row r="20" spans="2:8" ht="18" customHeight="1">
      <c r="B20" s="105" t="s">
        <v>59</v>
      </c>
      <c r="C20" s="119" t="s">
        <v>248</v>
      </c>
      <c r="D20" s="125" t="s">
        <v>244</v>
      </c>
      <c r="E20" s="154"/>
      <c r="F20" s="127" t="s">
        <v>249</v>
      </c>
      <c r="G20" s="128" t="s">
        <v>250</v>
      </c>
      <c r="H20" s="129" t="s">
        <v>251</v>
      </c>
    </row>
    <row r="21" spans="2:8" ht="15.95" customHeight="1">
      <c r="B21" s="105" t="s">
        <v>62</v>
      </c>
      <c r="C21" s="119" t="s">
        <v>252</v>
      </c>
      <c r="D21" s="125" t="s">
        <v>244</v>
      </c>
      <c r="E21" s="154"/>
      <c r="F21" s="127" t="s">
        <v>253</v>
      </c>
      <c r="G21" s="128" t="s">
        <v>254</v>
      </c>
      <c r="H21" s="129" t="s">
        <v>255</v>
      </c>
    </row>
    <row r="22" spans="2:8" ht="54.95" customHeight="1">
      <c r="B22" s="102" t="s">
        <v>256</v>
      </c>
      <c r="C22" s="103"/>
      <c r="D22" s="103"/>
      <c r="E22" s="103"/>
      <c r="F22" s="103"/>
      <c r="G22" s="103"/>
      <c r="H22" s="103"/>
    </row>
    <row r="23" spans="2:8" ht="54.95" customHeight="1">
      <c r="B23" s="132" t="s">
        <v>46</v>
      </c>
      <c r="C23" s="133" t="s">
        <v>47</v>
      </c>
      <c r="D23" s="132" t="s">
        <v>257</v>
      </c>
      <c r="E23" s="134" t="s">
        <v>258</v>
      </c>
      <c r="F23" s="135" t="s">
        <v>259</v>
      </c>
      <c r="G23" s="136" t="s">
        <v>260</v>
      </c>
      <c r="H23" s="133" t="s">
        <v>261</v>
      </c>
    </row>
    <row r="24" spans="2:8" ht="54.95" customHeight="1">
      <c r="B24" s="105" t="s">
        <v>66</v>
      </c>
      <c r="C24" s="42" t="s">
        <v>262</v>
      </c>
      <c r="D24" s="137" t="s">
        <v>263</v>
      </c>
      <c r="E24" s="154"/>
      <c r="F24" s="127" t="s">
        <v>264</v>
      </c>
      <c r="G24" s="128" t="s">
        <v>265</v>
      </c>
      <c r="H24" s="129" t="s">
        <v>266</v>
      </c>
    </row>
    <row r="25" spans="2:8" ht="54.95" customHeight="1">
      <c r="B25" s="105" t="s">
        <v>69</v>
      </c>
      <c r="C25" s="42" t="s">
        <v>267</v>
      </c>
      <c r="D25" s="137" t="s">
        <v>263</v>
      </c>
      <c r="E25" s="154"/>
      <c r="F25" s="127" t="s">
        <v>268</v>
      </c>
      <c r="G25" s="128" t="s">
        <v>269</v>
      </c>
      <c r="H25" s="129" t="s">
        <v>270</v>
      </c>
    </row>
    <row r="26" spans="2:8" ht="54.95" customHeight="1">
      <c r="B26" s="105" t="s">
        <v>71</v>
      </c>
      <c r="C26" s="42" t="s">
        <v>271</v>
      </c>
      <c r="D26" s="137" t="s">
        <v>263</v>
      </c>
      <c r="E26" s="154"/>
      <c r="F26" s="127" t="s">
        <v>272</v>
      </c>
      <c r="G26" s="128" t="s">
        <v>273</v>
      </c>
      <c r="H26" s="129" t="s">
        <v>274</v>
      </c>
    </row>
    <row r="27" spans="2:8" ht="54.95" customHeight="1">
      <c r="B27" s="105" t="s">
        <v>73</v>
      </c>
      <c r="C27" s="42" t="s">
        <v>275</v>
      </c>
      <c r="D27" s="137" t="s">
        <v>263</v>
      </c>
      <c r="E27" s="154"/>
      <c r="F27" s="127" t="s">
        <v>276</v>
      </c>
      <c r="G27" s="128" t="s">
        <v>277</v>
      </c>
      <c r="H27" s="129" t="s">
        <v>278</v>
      </c>
    </row>
    <row r="28" spans="2:8" ht="54.95" customHeight="1">
      <c r="B28" s="105" t="s">
        <v>75</v>
      </c>
      <c r="C28" s="42" t="s">
        <v>279</v>
      </c>
      <c r="D28" s="137" t="s">
        <v>263</v>
      </c>
      <c r="E28" s="154"/>
      <c r="F28" s="127" t="s">
        <v>280</v>
      </c>
      <c r="G28" s="128" t="s">
        <v>281</v>
      </c>
      <c r="H28" s="129" t="s">
        <v>282</v>
      </c>
    </row>
    <row r="29" spans="2:8" ht="54.95" customHeight="1">
      <c r="B29" s="105" t="s">
        <v>77</v>
      </c>
      <c r="C29" s="42" t="s">
        <v>283</v>
      </c>
      <c r="D29" s="137" t="s">
        <v>263</v>
      </c>
      <c r="E29" s="154"/>
      <c r="F29" s="127" t="s">
        <v>284</v>
      </c>
      <c r="G29" s="128" t="s">
        <v>285</v>
      </c>
      <c r="H29" s="129" t="s">
        <v>286</v>
      </c>
    </row>
    <row r="30" spans="2:8" ht="54.95" customHeight="1">
      <c r="B30" s="105" t="s">
        <v>79</v>
      </c>
      <c r="C30" s="42" t="s">
        <v>287</v>
      </c>
      <c r="D30" s="137" t="s">
        <v>263</v>
      </c>
      <c r="E30" s="154"/>
      <c r="F30" s="127" t="s">
        <v>288</v>
      </c>
      <c r="G30" s="128" t="s">
        <v>289</v>
      </c>
      <c r="H30" s="129" t="s">
        <v>290</v>
      </c>
    </row>
    <row r="31" spans="2:8" ht="18" customHeight="1">
      <c r="B31" s="105" t="s">
        <v>81</v>
      </c>
      <c r="C31" s="42" t="s">
        <v>291</v>
      </c>
      <c r="D31" s="137" t="s">
        <v>263</v>
      </c>
      <c r="E31" s="154"/>
      <c r="F31" s="127" t="s">
        <v>327</v>
      </c>
      <c r="G31" s="128" t="s">
        <v>328</v>
      </c>
      <c r="H31" s="129" t="s">
        <v>329</v>
      </c>
    </row>
    <row r="32" spans="2:8" ht="30" customHeight="1">
      <c r="B32" s="105" t="s">
        <v>84</v>
      </c>
      <c r="C32" s="42" t="s">
        <v>292</v>
      </c>
      <c r="D32" s="138" t="s">
        <v>236</v>
      </c>
      <c r="E32" s="146"/>
      <c r="F32" s="139" t="s">
        <v>293</v>
      </c>
      <c r="G32" s="128" t="s">
        <v>294</v>
      </c>
      <c r="H32" s="140" t="s">
        <v>295</v>
      </c>
    </row>
    <row r="33" spans="2:8" ht="20.100000000000001" customHeight="1">
      <c r="B33" s="102" t="s">
        <v>296</v>
      </c>
      <c r="C33" s="103"/>
      <c r="D33" s="1"/>
      <c r="E33" s="1"/>
      <c r="F33" s="1"/>
      <c r="G33" s="1"/>
      <c r="H33" s="2"/>
    </row>
    <row r="34" spans="2:8" ht="39.950000000000003" customHeight="1">
      <c r="B34" s="141" t="s">
        <v>297</v>
      </c>
      <c r="C34" s="173" t="s">
        <v>298</v>
      </c>
      <c r="D34" s="199"/>
      <c r="E34" s="199"/>
      <c r="F34" s="199"/>
      <c r="G34" s="199"/>
      <c r="H34" s="200"/>
    </row>
    <row r="35" spans="2:8" ht="20.100000000000001" customHeight="1">
      <c r="B35" s="143" t="s">
        <v>88</v>
      </c>
      <c r="C35" s="42" t="s">
        <v>89</v>
      </c>
      <c r="D35" s="137" t="s">
        <v>244</v>
      </c>
      <c r="E35" s="157"/>
      <c r="F35" s="144" t="s">
        <v>299</v>
      </c>
      <c r="G35" s="145" t="s">
        <v>300</v>
      </c>
      <c r="H35" s="121"/>
    </row>
    <row r="36" spans="2:8" ht="20.100000000000001" customHeight="1">
      <c r="B36" s="130" t="s">
        <v>241</v>
      </c>
      <c r="C36" s="150" t="s">
        <v>381</v>
      </c>
      <c r="D36" s="1"/>
      <c r="E36" s="1"/>
      <c r="F36" s="1"/>
      <c r="G36" s="1"/>
      <c r="H36" s="2"/>
    </row>
    <row r="37" spans="2:8" ht="20.100000000000001" customHeight="1">
      <c r="B37" s="143" t="s">
        <v>91</v>
      </c>
      <c r="C37" s="42" t="s">
        <v>92</v>
      </c>
      <c r="D37" s="137" t="s">
        <v>244</v>
      </c>
      <c r="E37" s="157"/>
      <c r="F37" s="144" t="s">
        <v>299</v>
      </c>
      <c r="G37" s="145" t="s">
        <v>300</v>
      </c>
      <c r="H37" s="121"/>
    </row>
    <row r="38" spans="2:8" ht="20.100000000000001" customHeight="1">
      <c r="B38" s="143" t="s">
        <v>94</v>
      </c>
      <c r="C38" s="42" t="s">
        <v>302</v>
      </c>
      <c r="D38" s="137" t="s">
        <v>244</v>
      </c>
      <c r="E38" s="157"/>
      <c r="F38" s="144" t="s">
        <v>299</v>
      </c>
      <c r="G38" s="145" t="s">
        <v>300</v>
      </c>
      <c r="H38" s="121"/>
    </row>
    <row r="39" spans="2:8" ht="20.100000000000001" customHeight="1">
      <c r="B39" s="143" t="s">
        <v>97</v>
      </c>
      <c r="C39" s="42" t="s">
        <v>98</v>
      </c>
      <c r="D39" s="137" t="s">
        <v>244</v>
      </c>
      <c r="E39" s="157"/>
      <c r="F39" s="144" t="s">
        <v>299</v>
      </c>
      <c r="G39" s="145" t="s">
        <v>300</v>
      </c>
      <c r="H39" s="121"/>
    </row>
    <row r="40" spans="2:8" ht="20.100000000000001" customHeight="1">
      <c r="B40" s="143" t="s">
        <v>100</v>
      </c>
      <c r="C40" s="42" t="s">
        <v>101</v>
      </c>
      <c r="D40" s="137" t="s">
        <v>244</v>
      </c>
      <c r="E40" s="157"/>
      <c r="F40" s="144" t="s">
        <v>299</v>
      </c>
      <c r="G40" s="145" t="s">
        <v>300</v>
      </c>
      <c r="H40" s="121"/>
    </row>
    <row r="41" spans="2:8" ht="18" customHeight="1">
      <c r="B41" s="143" t="s">
        <v>103</v>
      </c>
      <c r="C41" s="42" t="s">
        <v>104</v>
      </c>
      <c r="D41" s="84" t="s">
        <v>244</v>
      </c>
      <c r="E41" s="146"/>
      <c r="F41" s="127" t="s">
        <v>299</v>
      </c>
      <c r="G41" s="128" t="s">
        <v>300</v>
      </c>
      <c r="H41" s="129" t="s">
        <v>298</v>
      </c>
    </row>
    <row r="42" spans="2:8" ht="30" customHeight="1">
      <c r="B42" s="143" t="s">
        <v>106</v>
      </c>
      <c r="C42" s="42" t="s">
        <v>303</v>
      </c>
      <c r="D42" s="84" t="s">
        <v>244</v>
      </c>
      <c r="E42" s="146"/>
      <c r="F42" s="127" t="s">
        <v>299</v>
      </c>
      <c r="G42" s="128" t="s">
        <v>300</v>
      </c>
      <c r="H42" s="129" t="s">
        <v>298</v>
      </c>
    </row>
    <row r="43" spans="2:8" ht="20.100000000000001" customHeight="1">
      <c r="B43" s="102" t="s">
        <v>304</v>
      </c>
      <c r="C43" s="103"/>
      <c r="D43" s="103"/>
      <c r="E43" s="103"/>
      <c r="F43" s="103"/>
      <c r="G43" s="103"/>
      <c r="H43" s="103"/>
    </row>
    <row r="44" spans="2:8" ht="20.100000000000001" customHeight="1">
      <c r="B44" s="141" t="s">
        <v>297</v>
      </c>
      <c r="C44" s="142" t="s">
        <v>298</v>
      </c>
      <c r="D44" s="1"/>
      <c r="E44" s="1"/>
      <c r="F44" s="1"/>
      <c r="G44" s="1"/>
      <c r="H44" s="2"/>
    </row>
    <row r="45" spans="2:8" ht="20.100000000000001" customHeight="1">
      <c r="B45" s="143" t="s">
        <v>110</v>
      </c>
      <c r="C45" s="42" t="s">
        <v>111</v>
      </c>
      <c r="D45" s="137" t="s">
        <v>244</v>
      </c>
      <c r="E45" s="157"/>
      <c r="F45" s="144" t="s">
        <v>299</v>
      </c>
      <c r="G45" s="145" t="s">
        <v>300</v>
      </c>
      <c r="H45" s="121"/>
    </row>
    <row r="46" spans="2:8" ht="20.100000000000001" customHeight="1">
      <c r="B46" s="143" t="s">
        <v>113</v>
      </c>
      <c r="C46" s="42" t="s">
        <v>114</v>
      </c>
      <c r="D46" s="137" t="s">
        <v>244</v>
      </c>
      <c r="E46" s="157"/>
      <c r="F46" s="144" t="s">
        <v>299</v>
      </c>
      <c r="G46" s="145" t="s">
        <v>300</v>
      </c>
      <c r="H46" s="121"/>
    </row>
    <row r="47" spans="2:8" ht="18" customHeight="1">
      <c r="B47" s="143" t="s">
        <v>116</v>
      </c>
      <c r="C47" s="42" t="s">
        <v>117</v>
      </c>
      <c r="D47" s="84" t="s">
        <v>244</v>
      </c>
      <c r="E47" s="146"/>
      <c r="F47" s="127" t="s">
        <v>299</v>
      </c>
      <c r="G47" s="128" t="s">
        <v>300</v>
      </c>
      <c r="H47" s="129" t="s">
        <v>298</v>
      </c>
    </row>
    <row r="48" spans="2:8" ht="30" customHeight="1">
      <c r="B48" s="143" t="s">
        <v>119</v>
      </c>
      <c r="C48" s="42" t="s">
        <v>120</v>
      </c>
      <c r="D48" s="84" t="s">
        <v>244</v>
      </c>
      <c r="E48" s="146"/>
      <c r="F48" s="127" t="s">
        <v>299</v>
      </c>
      <c r="G48" s="128" t="s">
        <v>300</v>
      </c>
      <c r="H48" s="129" t="s">
        <v>298</v>
      </c>
    </row>
    <row r="49" spans="2:8" ht="20.100000000000001" customHeight="1">
      <c r="B49" s="102" t="s">
        <v>306</v>
      </c>
      <c r="C49" s="103"/>
      <c r="D49" s="1"/>
      <c r="E49" s="1"/>
      <c r="F49" s="1"/>
      <c r="G49" s="1"/>
      <c r="H49" s="2"/>
    </row>
    <row r="50" spans="2:8" ht="39.950000000000003" customHeight="1">
      <c r="B50" s="141" t="s">
        <v>297</v>
      </c>
      <c r="C50" s="173" t="s">
        <v>298</v>
      </c>
      <c r="D50" s="199"/>
      <c r="E50" s="199"/>
      <c r="F50" s="199"/>
      <c r="G50" s="199"/>
      <c r="H50" s="200"/>
    </row>
    <row r="51" spans="2:8" ht="20.100000000000001" customHeight="1">
      <c r="B51" s="143" t="s">
        <v>123</v>
      </c>
      <c r="C51" s="42" t="s">
        <v>307</v>
      </c>
      <c r="D51" s="137" t="s">
        <v>244</v>
      </c>
      <c r="E51" s="157"/>
      <c r="F51" s="144" t="s">
        <v>299</v>
      </c>
      <c r="G51" s="145" t="s">
        <v>300</v>
      </c>
      <c r="H51" s="121"/>
    </row>
    <row r="52" spans="2:8" ht="20.100000000000001" customHeight="1">
      <c r="B52" s="130" t="s">
        <v>241</v>
      </c>
      <c r="C52" s="150" t="s">
        <v>392</v>
      </c>
      <c r="D52" s="1"/>
      <c r="E52" s="1"/>
      <c r="F52" s="1"/>
      <c r="G52" s="1"/>
      <c r="H52" s="2"/>
    </row>
    <row r="53" spans="2:8" ht="20.100000000000001" customHeight="1">
      <c r="B53" s="143" t="s">
        <v>126</v>
      </c>
      <c r="C53" s="42" t="s">
        <v>309</v>
      </c>
      <c r="D53" s="137" t="s">
        <v>244</v>
      </c>
      <c r="E53" s="157"/>
      <c r="F53" s="144" t="s">
        <v>299</v>
      </c>
      <c r="G53" s="145" t="s">
        <v>300</v>
      </c>
      <c r="H53" s="121"/>
    </row>
    <row r="54" spans="2:8" ht="20.100000000000001" customHeight="1">
      <c r="B54" s="143" t="s">
        <v>129</v>
      </c>
      <c r="C54" s="42" t="s">
        <v>130</v>
      </c>
      <c r="D54" s="137" t="s">
        <v>244</v>
      </c>
      <c r="E54" s="157"/>
      <c r="F54" s="144" t="s">
        <v>299</v>
      </c>
      <c r="G54" s="145" t="s">
        <v>300</v>
      </c>
      <c r="H54" s="121"/>
    </row>
    <row r="55" spans="2:8" ht="18" customHeight="1">
      <c r="B55" s="143" t="s">
        <v>132</v>
      </c>
      <c r="C55" s="42" t="s">
        <v>310</v>
      </c>
      <c r="D55" s="1"/>
      <c r="E55" s="1"/>
      <c r="F55" s="1"/>
      <c r="G55" s="1"/>
      <c r="H55" s="2"/>
    </row>
    <row r="56" spans="2:8" ht="30" customHeight="1">
      <c r="B56" s="143" t="s">
        <v>135</v>
      </c>
      <c r="C56" s="177" t="s">
        <v>311</v>
      </c>
      <c r="D56" s="199"/>
      <c r="E56" s="199"/>
      <c r="F56" s="199"/>
      <c r="G56" s="199"/>
      <c r="H56" s="200"/>
    </row>
    <row r="57" spans="2:8" ht="20.100000000000001" customHeight="1">
      <c r="B57" s="102" t="s">
        <v>313</v>
      </c>
      <c r="C57" s="103"/>
      <c r="D57" s="103"/>
      <c r="E57" s="103"/>
      <c r="F57" s="103"/>
      <c r="G57" s="103"/>
      <c r="H57" s="103"/>
    </row>
    <row r="58" spans="2:8" ht="20.100000000000001" customHeight="1">
      <c r="B58" s="141" t="s">
        <v>297</v>
      </c>
      <c r="C58" s="142" t="s">
        <v>298</v>
      </c>
      <c r="D58" s="1"/>
      <c r="E58" s="1"/>
      <c r="F58" s="1"/>
      <c r="G58" s="1"/>
      <c r="H58" s="2"/>
    </row>
    <row r="59" spans="2:8" ht="20.100000000000001" customHeight="1">
      <c r="B59" s="143" t="s">
        <v>139</v>
      </c>
      <c r="C59" s="42" t="s">
        <v>314</v>
      </c>
      <c r="D59" s="137" t="s">
        <v>244</v>
      </c>
      <c r="E59" s="157"/>
      <c r="F59" s="144" t="s">
        <v>299</v>
      </c>
      <c r="G59" s="145" t="s">
        <v>300</v>
      </c>
      <c r="H59" s="121"/>
    </row>
    <row r="60" spans="2:8" ht="20.100000000000001" customHeight="1">
      <c r="B60" s="143" t="s">
        <v>142</v>
      </c>
      <c r="C60" s="42" t="s">
        <v>143</v>
      </c>
      <c r="D60" s="137" t="s">
        <v>244</v>
      </c>
      <c r="E60" s="157"/>
      <c r="F60" s="144" t="s">
        <v>299</v>
      </c>
      <c r="G60" s="145" t="s">
        <v>300</v>
      </c>
      <c r="H60" s="121"/>
    </row>
    <row r="61" spans="2:8" ht="20.100000000000001" customHeight="1">
      <c r="B61" s="143" t="s">
        <v>145</v>
      </c>
      <c r="C61" s="42" t="s">
        <v>315</v>
      </c>
      <c r="D61" s="137" t="s">
        <v>244</v>
      </c>
      <c r="E61" s="157"/>
      <c r="F61" s="144" t="s">
        <v>299</v>
      </c>
      <c r="G61" s="145" t="s">
        <v>300</v>
      </c>
      <c r="H61" s="121"/>
    </row>
    <row r="62" spans="2:8" ht="20.100000000000001" customHeight="1">
      <c r="B62" s="143" t="s">
        <v>148</v>
      </c>
      <c r="C62" s="42" t="s">
        <v>316</v>
      </c>
      <c r="D62" s="137" t="s">
        <v>244</v>
      </c>
      <c r="E62" s="157"/>
      <c r="F62" s="144" t="s">
        <v>299</v>
      </c>
      <c r="G62" s="145" t="s">
        <v>300</v>
      </c>
      <c r="H62" s="121"/>
    </row>
    <row r="63" spans="2:8" ht="18" customHeight="1">
      <c r="B63" s="143" t="s">
        <v>151</v>
      </c>
      <c r="C63" s="42" t="s">
        <v>152</v>
      </c>
      <c r="D63" s="137" t="s">
        <v>244</v>
      </c>
      <c r="E63" s="157"/>
      <c r="F63" s="144" t="s">
        <v>299</v>
      </c>
      <c r="G63" s="145" t="s">
        <v>300</v>
      </c>
      <c r="H63" s="2"/>
    </row>
    <row r="64" spans="2:8" ht="30" customHeight="1">
      <c r="B64" s="143" t="s">
        <v>154</v>
      </c>
      <c r="C64" s="42" t="s">
        <v>155</v>
      </c>
      <c r="D64" s="137" t="s">
        <v>244</v>
      </c>
      <c r="E64" s="157"/>
      <c r="F64" s="144" t="s">
        <v>299</v>
      </c>
      <c r="G64" s="145" t="s">
        <v>300</v>
      </c>
      <c r="H64" s="2"/>
    </row>
    <row r="65" spans="2:8" ht="20.100000000000001" customHeight="1">
      <c r="B65" s="141" t="s">
        <v>297</v>
      </c>
      <c r="C65" s="142" t="s">
        <v>298</v>
      </c>
      <c r="D65" s="1"/>
      <c r="E65" s="1"/>
      <c r="F65" s="1"/>
      <c r="G65" s="1"/>
      <c r="H65" s="2"/>
    </row>
    <row r="67" spans="2:8" ht="30" customHeight="1">
      <c r="B67" s="147" t="s">
        <v>317</v>
      </c>
      <c r="C67" s="170" t="s">
        <v>318</v>
      </c>
      <c r="D67" s="199"/>
      <c r="E67" s="199"/>
      <c r="F67" s="199"/>
      <c r="G67" s="199"/>
      <c r="H67" s="200"/>
    </row>
  </sheetData>
  <mergeCells count="7">
    <mergeCell ref="C67:H67"/>
    <mergeCell ref="C16:H16"/>
    <mergeCell ref="C50:H50"/>
    <mergeCell ref="N12:O12"/>
    <mergeCell ref="C34:H34"/>
    <mergeCell ref="C56:H56"/>
    <mergeCell ref="H12:M12"/>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B1:O67"/>
  <sheetViews>
    <sheetView topLeftCell="A32" workbookViewId="0">
      <selection activeCell="G31" sqref="G31"/>
    </sheetView>
  </sheetViews>
  <sheetFormatPr defaultRowHeight="14.45"/>
  <cols>
    <col min="1" max="1" width="2" customWidth="1"/>
    <col min="2" max="2" width="28" customWidth="1"/>
    <col min="3" max="3" width="45" bestFit="1" customWidth="1"/>
    <col min="4" max="4" width="18" customWidth="1"/>
    <col min="5" max="7" width="14" customWidth="1"/>
    <col min="8" max="8" width="55" customWidth="1"/>
    <col min="9" max="13" width="30.140625" customWidth="1"/>
  </cols>
  <sheetData>
    <row r="1" spans="2:15" ht="27.95" customHeight="1">
      <c r="B1" s="118" t="s">
        <v>434</v>
      </c>
      <c r="C1" s="68"/>
      <c r="D1" s="68"/>
      <c r="E1" s="68"/>
      <c r="F1" s="68"/>
      <c r="G1" s="68"/>
      <c r="H1" s="68"/>
    </row>
    <row r="2" spans="2:15" ht="15.95" customHeight="1">
      <c r="B2" s="19" t="s">
        <v>216</v>
      </c>
      <c r="C2" s="43" t="s">
        <v>217</v>
      </c>
      <c r="D2" s="43" t="s">
        <v>218</v>
      </c>
      <c r="E2" s="103"/>
      <c r="F2" s="103"/>
      <c r="G2" s="103"/>
      <c r="H2" s="43" t="s">
        <v>219</v>
      </c>
    </row>
    <row r="3" spans="2:15" ht="15.95" customHeight="1">
      <c r="B3" s="119" t="s">
        <v>220</v>
      </c>
      <c r="C3" s="42"/>
      <c r="D3" s="121"/>
      <c r="E3" s="121"/>
      <c r="F3" s="121"/>
      <c r="G3" s="121"/>
      <c r="H3" s="121"/>
    </row>
    <row r="4" spans="2:15" ht="15.95" customHeight="1">
      <c r="B4" s="119" t="s">
        <v>199</v>
      </c>
      <c r="C4" s="42"/>
      <c r="D4" s="121"/>
      <c r="E4" s="121"/>
      <c r="F4" s="121"/>
      <c r="G4" s="121"/>
      <c r="H4" s="121"/>
    </row>
    <row r="5" spans="2:15" ht="15.95" customHeight="1">
      <c r="B5" s="119" t="s">
        <v>224</v>
      </c>
      <c r="C5" s="42"/>
      <c r="D5" s="121"/>
      <c r="E5" s="121"/>
      <c r="F5" s="121"/>
      <c r="G5" s="121"/>
      <c r="H5" s="121"/>
    </row>
    <row r="6" spans="2:15" ht="15.95" customHeight="1">
      <c r="B6" s="119" t="s">
        <v>226</v>
      </c>
      <c r="C6" s="42"/>
      <c r="D6" s="121"/>
      <c r="E6" s="121"/>
      <c r="F6" s="121"/>
      <c r="G6" s="121"/>
      <c r="H6" s="121"/>
    </row>
    <row r="7" spans="2:15" ht="15.95" customHeight="1">
      <c r="B7" s="119" t="s">
        <v>227</v>
      </c>
      <c r="C7" s="42"/>
      <c r="D7" s="121"/>
      <c r="E7" s="121"/>
      <c r="F7" s="121"/>
      <c r="G7" s="121"/>
      <c r="H7" s="121"/>
    </row>
    <row r="8" spans="2:15" ht="15.95" customHeight="1">
      <c r="B8" s="119" t="s">
        <v>229</v>
      </c>
      <c r="C8" s="42"/>
      <c r="D8" s="121"/>
      <c r="E8" s="121"/>
      <c r="F8" s="121"/>
      <c r="G8" s="121"/>
      <c r="H8" s="121"/>
    </row>
    <row r="9" spans="2:15" ht="15.95" customHeight="1">
      <c r="B9" s="119" t="s">
        <v>231</v>
      </c>
      <c r="C9" s="42"/>
      <c r="D9" s="121"/>
      <c r="E9" s="121"/>
      <c r="F9" s="121"/>
      <c r="G9" s="121"/>
      <c r="H9" s="121"/>
    </row>
    <row r="10" spans="2:15" ht="15.95" customHeight="1">
      <c r="B10" s="119" t="s">
        <v>201</v>
      </c>
      <c r="C10" s="42"/>
      <c r="D10" s="121"/>
      <c r="E10" s="121"/>
      <c r="F10" s="121"/>
      <c r="G10" s="121"/>
      <c r="H10" s="121"/>
    </row>
    <row r="11" spans="2:15" ht="15.95" customHeight="1">
      <c r="B11" s="119" t="s">
        <v>203</v>
      </c>
      <c r="C11" s="42"/>
      <c r="D11" s="121"/>
      <c r="E11" s="121"/>
      <c r="F11" s="121"/>
      <c r="G11" s="121"/>
      <c r="H11" s="121"/>
    </row>
    <row r="12" spans="2:15" ht="15.95" customHeight="1">
      <c r="B12" s="119" t="s">
        <v>232</v>
      </c>
      <c r="C12" s="42"/>
      <c r="D12" s="121"/>
      <c r="E12" s="121"/>
      <c r="F12" s="121"/>
      <c r="G12" s="121"/>
      <c r="H12" s="174"/>
      <c r="I12" s="199"/>
      <c r="J12" s="199"/>
      <c r="K12" s="199"/>
      <c r="L12" s="199"/>
      <c r="M12" s="200"/>
      <c r="N12" s="201"/>
      <c r="O12" s="201"/>
    </row>
    <row r="13" spans="2:15" ht="15.95" customHeight="1">
      <c r="B13" s="119" t="s">
        <v>161</v>
      </c>
      <c r="C13" s="42"/>
      <c r="D13" s="121"/>
      <c r="E13" s="121"/>
      <c r="F13" s="121"/>
      <c r="G13" s="121"/>
      <c r="H13" s="121"/>
    </row>
    <row r="14" spans="2:15" ht="15.95" customHeight="1">
      <c r="B14" s="68"/>
      <c r="C14" s="68"/>
      <c r="D14" s="68"/>
      <c r="E14" s="68"/>
      <c r="F14" s="68"/>
      <c r="G14" s="68"/>
      <c r="H14" s="68"/>
      <c r="I14" s="1"/>
      <c r="J14" s="1"/>
      <c r="K14" s="1"/>
      <c r="L14" s="1"/>
      <c r="M14" s="2"/>
    </row>
    <row r="15" spans="2:15" ht="54.95" customHeight="1">
      <c r="B15" s="123" t="s">
        <v>46</v>
      </c>
      <c r="C15" s="124" t="s">
        <v>47</v>
      </c>
      <c r="D15" s="1"/>
      <c r="E15" s="1"/>
      <c r="F15" s="1"/>
      <c r="G15" s="1"/>
      <c r="H15" s="2"/>
    </row>
    <row r="16" spans="2:15" ht="39.950000000000003" customHeight="1">
      <c r="B16" s="102" t="s">
        <v>234</v>
      </c>
      <c r="C16" s="172"/>
      <c r="D16" s="199"/>
      <c r="E16" s="199"/>
      <c r="F16" s="199"/>
      <c r="G16" s="199"/>
      <c r="H16" s="200"/>
    </row>
    <row r="17" spans="2:8" ht="54.95" customHeight="1">
      <c r="B17" s="105" t="s">
        <v>52</v>
      </c>
      <c r="C17" s="119" t="s">
        <v>235</v>
      </c>
      <c r="D17" s="125" t="s">
        <v>236</v>
      </c>
      <c r="E17" s="154"/>
      <c r="F17" s="127" t="s">
        <v>237</v>
      </c>
      <c r="G17" s="128" t="s">
        <v>238</v>
      </c>
      <c r="H17" s="129" t="s">
        <v>239</v>
      </c>
    </row>
    <row r="18" spans="2:8" ht="54.95" customHeight="1">
      <c r="B18" s="130" t="s">
        <v>241</v>
      </c>
      <c r="C18" s="150" t="s">
        <v>330</v>
      </c>
      <c r="D18" s="1"/>
      <c r="E18" s="1"/>
      <c r="F18" s="1"/>
      <c r="G18" s="1"/>
      <c r="H18" s="2"/>
    </row>
    <row r="19" spans="2:8" ht="54.95" customHeight="1">
      <c r="B19" s="105" t="s">
        <v>56</v>
      </c>
      <c r="C19" s="119" t="s">
        <v>243</v>
      </c>
      <c r="D19" s="125" t="s">
        <v>244</v>
      </c>
      <c r="E19" s="154"/>
      <c r="F19" s="127" t="s">
        <v>245</v>
      </c>
      <c r="G19" s="128" t="s">
        <v>246</v>
      </c>
      <c r="H19" s="129" t="s">
        <v>247</v>
      </c>
    </row>
    <row r="20" spans="2:8" ht="18" customHeight="1">
      <c r="B20" s="105" t="s">
        <v>59</v>
      </c>
      <c r="C20" s="119" t="s">
        <v>248</v>
      </c>
      <c r="D20" s="125" t="s">
        <v>244</v>
      </c>
      <c r="E20" s="154"/>
      <c r="F20" s="127" t="s">
        <v>249</v>
      </c>
      <c r="G20" s="128" t="s">
        <v>250</v>
      </c>
      <c r="H20" s="129" t="s">
        <v>251</v>
      </c>
    </row>
    <row r="21" spans="2:8" ht="15.95" customHeight="1">
      <c r="B21" s="105" t="s">
        <v>62</v>
      </c>
      <c r="C21" s="119" t="s">
        <v>252</v>
      </c>
      <c r="D21" s="125" t="s">
        <v>244</v>
      </c>
      <c r="E21" s="154"/>
      <c r="F21" s="127" t="s">
        <v>253</v>
      </c>
      <c r="G21" s="128" t="s">
        <v>254</v>
      </c>
      <c r="H21" s="129" t="s">
        <v>255</v>
      </c>
    </row>
    <row r="22" spans="2:8" ht="54.95" customHeight="1">
      <c r="B22" s="102" t="s">
        <v>256</v>
      </c>
      <c r="C22" s="103"/>
      <c r="D22" s="103"/>
      <c r="E22" s="103"/>
      <c r="F22" s="103"/>
      <c r="G22" s="103"/>
      <c r="H22" s="103"/>
    </row>
    <row r="23" spans="2:8" ht="54.95" customHeight="1">
      <c r="B23" s="132" t="s">
        <v>46</v>
      </c>
      <c r="C23" s="133" t="s">
        <v>47</v>
      </c>
      <c r="D23" s="132" t="s">
        <v>257</v>
      </c>
      <c r="E23" s="134" t="s">
        <v>258</v>
      </c>
      <c r="F23" s="135" t="s">
        <v>259</v>
      </c>
      <c r="G23" s="136" t="s">
        <v>260</v>
      </c>
      <c r="H23" s="133" t="s">
        <v>261</v>
      </c>
    </row>
    <row r="24" spans="2:8" ht="54.95" customHeight="1">
      <c r="B24" s="105" t="s">
        <v>66</v>
      </c>
      <c r="C24" s="42" t="s">
        <v>262</v>
      </c>
      <c r="D24" s="137" t="s">
        <v>263</v>
      </c>
      <c r="E24" s="154"/>
      <c r="F24" s="127" t="s">
        <v>264</v>
      </c>
      <c r="G24" s="128" t="s">
        <v>265</v>
      </c>
      <c r="H24" s="129" t="s">
        <v>266</v>
      </c>
    </row>
    <row r="25" spans="2:8" ht="54.95" customHeight="1">
      <c r="B25" s="105" t="s">
        <v>69</v>
      </c>
      <c r="C25" s="42" t="s">
        <v>267</v>
      </c>
      <c r="D25" s="137" t="s">
        <v>263</v>
      </c>
      <c r="E25" s="154"/>
      <c r="F25" s="127" t="s">
        <v>268</v>
      </c>
      <c r="G25" s="128" t="s">
        <v>269</v>
      </c>
      <c r="H25" s="129" t="s">
        <v>270</v>
      </c>
    </row>
    <row r="26" spans="2:8" ht="54.95" customHeight="1">
      <c r="B26" s="105" t="s">
        <v>71</v>
      </c>
      <c r="C26" s="42" t="s">
        <v>271</v>
      </c>
      <c r="D26" s="137" t="s">
        <v>263</v>
      </c>
      <c r="E26" s="154"/>
      <c r="F26" s="127" t="s">
        <v>272</v>
      </c>
      <c r="G26" s="128" t="s">
        <v>273</v>
      </c>
      <c r="H26" s="129" t="s">
        <v>274</v>
      </c>
    </row>
    <row r="27" spans="2:8" ht="54.95" customHeight="1">
      <c r="B27" s="105" t="s">
        <v>73</v>
      </c>
      <c r="C27" s="42" t="s">
        <v>275</v>
      </c>
      <c r="D27" s="137" t="s">
        <v>263</v>
      </c>
      <c r="E27" s="154"/>
      <c r="F27" s="127" t="s">
        <v>276</v>
      </c>
      <c r="G27" s="128" t="s">
        <v>277</v>
      </c>
      <c r="H27" s="129" t="s">
        <v>278</v>
      </c>
    </row>
    <row r="28" spans="2:8" ht="54.95" customHeight="1">
      <c r="B28" s="105" t="s">
        <v>75</v>
      </c>
      <c r="C28" s="42" t="s">
        <v>279</v>
      </c>
      <c r="D28" s="137" t="s">
        <v>263</v>
      </c>
      <c r="E28" s="154"/>
      <c r="F28" s="127" t="s">
        <v>280</v>
      </c>
      <c r="G28" s="128" t="s">
        <v>281</v>
      </c>
      <c r="H28" s="129" t="s">
        <v>282</v>
      </c>
    </row>
    <row r="29" spans="2:8" ht="54.95" customHeight="1">
      <c r="B29" s="105" t="s">
        <v>77</v>
      </c>
      <c r="C29" s="42" t="s">
        <v>283</v>
      </c>
      <c r="D29" s="137" t="s">
        <v>263</v>
      </c>
      <c r="E29" s="154"/>
      <c r="F29" s="127" t="s">
        <v>284</v>
      </c>
      <c r="G29" s="128" t="s">
        <v>285</v>
      </c>
      <c r="H29" s="129" t="s">
        <v>286</v>
      </c>
    </row>
    <row r="30" spans="2:8" ht="54.95" customHeight="1">
      <c r="B30" s="105" t="s">
        <v>79</v>
      </c>
      <c r="C30" s="42" t="s">
        <v>287</v>
      </c>
      <c r="D30" s="137" t="s">
        <v>263</v>
      </c>
      <c r="E30" s="154"/>
      <c r="F30" s="127" t="s">
        <v>288</v>
      </c>
      <c r="G30" s="128" t="s">
        <v>289</v>
      </c>
      <c r="H30" s="129" t="s">
        <v>290</v>
      </c>
    </row>
    <row r="31" spans="2:8" ht="18" customHeight="1">
      <c r="B31" s="105" t="s">
        <v>81</v>
      </c>
      <c r="C31" s="42" t="s">
        <v>291</v>
      </c>
      <c r="D31" s="137" t="s">
        <v>263</v>
      </c>
      <c r="E31" s="154"/>
      <c r="F31" s="127" t="s">
        <v>327</v>
      </c>
      <c r="G31" s="128" t="s">
        <v>328</v>
      </c>
      <c r="H31" s="129" t="s">
        <v>329</v>
      </c>
    </row>
    <row r="32" spans="2:8" ht="30" customHeight="1">
      <c r="B32" s="105" t="s">
        <v>84</v>
      </c>
      <c r="C32" s="42" t="s">
        <v>292</v>
      </c>
      <c r="D32" s="138" t="s">
        <v>236</v>
      </c>
      <c r="E32" s="146"/>
      <c r="F32" s="139" t="s">
        <v>293</v>
      </c>
      <c r="G32" s="128" t="s">
        <v>294</v>
      </c>
      <c r="H32" s="140" t="s">
        <v>295</v>
      </c>
    </row>
    <row r="33" spans="2:8" ht="20.100000000000001" customHeight="1">
      <c r="B33" s="102" t="s">
        <v>296</v>
      </c>
      <c r="C33" s="103"/>
      <c r="D33" s="1"/>
      <c r="E33" s="1"/>
      <c r="F33" s="1"/>
      <c r="G33" s="1"/>
      <c r="H33" s="2"/>
    </row>
    <row r="34" spans="2:8" ht="39.950000000000003" customHeight="1">
      <c r="B34" s="141" t="s">
        <v>297</v>
      </c>
      <c r="C34" s="173" t="s">
        <v>298</v>
      </c>
      <c r="D34" s="199"/>
      <c r="E34" s="199"/>
      <c r="F34" s="199"/>
      <c r="G34" s="199"/>
      <c r="H34" s="200"/>
    </row>
    <row r="35" spans="2:8" ht="20.100000000000001" customHeight="1">
      <c r="B35" s="143" t="s">
        <v>88</v>
      </c>
      <c r="C35" s="42" t="s">
        <v>89</v>
      </c>
      <c r="D35" s="137" t="s">
        <v>244</v>
      </c>
      <c r="E35" s="157"/>
      <c r="F35" s="144" t="s">
        <v>299</v>
      </c>
      <c r="G35" s="145" t="s">
        <v>300</v>
      </c>
      <c r="H35" s="121"/>
    </row>
    <row r="36" spans="2:8" ht="20.100000000000001" customHeight="1">
      <c r="B36" s="130" t="s">
        <v>241</v>
      </c>
      <c r="C36" s="150" t="s">
        <v>381</v>
      </c>
      <c r="D36" s="1"/>
      <c r="E36" s="1"/>
      <c r="F36" s="1"/>
      <c r="G36" s="1"/>
      <c r="H36" s="2"/>
    </row>
    <row r="37" spans="2:8" ht="20.100000000000001" customHeight="1">
      <c r="B37" s="143" t="s">
        <v>91</v>
      </c>
      <c r="C37" s="42" t="s">
        <v>92</v>
      </c>
      <c r="D37" s="137" t="s">
        <v>244</v>
      </c>
      <c r="E37" s="157"/>
      <c r="F37" s="144" t="s">
        <v>299</v>
      </c>
      <c r="G37" s="145" t="s">
        <v>300</v>
      </c>
      <c r="H37" s="121"/>
    </row>
    <row r="38" spans="2:8" ht="20.100000000000001" customHeight="1">
      <c r="B38" s="143" t="s">
        <v>94</v>
      </c>
      <c r="C38" s="42" t="s">
        <v>302</v>
      </c>
      <c r="D38" s="137" t="s">
        <v>244</v>
      </c>
      <c r="E38" s="157"/>
      <c r="F38" s="144" t="s">
        <v>299</v>
      </c>
      <c r="G38" s="145" t="s">
        <v>300</v>
      </c>
      <c r="H38" s="121"/>
    </row>
    <row r="39" spans="2:8" ht="20.100000000000001" customHeight="1">
      <c r="B39" s="143" t="s">
        <v>97</v>
      </c>
      <c r="C39" s="42" t="s">
        <v>98</v>
      </c>
      <c r="D39" s="137" t="s">
        <v>244</v>
      </c>
      <c r="E39" s="157"/>
      <c r="F39" s="144" t="s">
        <v>299</v>
      </c>
      <c r="G39" s="145" t="s">
        <v>300</v>
      </c>
      <c r="H39" s="121"/>
    </row>
    <row r="40" spans="2:8" ht="20.100000000000001" customHeight="1">
      <c r="B40" s="143" t="s">
        <v>100</v>
      </c>
      <c r="C40" s="42" t="s">
        <v>101</v>
      </c>
      <c r="D40" s="137" t="s">
        <v>244</v>
      </c>
      <c r="E40" s="157"/>
      <c r="F40" s="144" t="s">
        <v>299</v>
      </c>
      <c r="G40" s="145" t="s">
        <v>300</v>
      </c>
      <c r="H40" s="121"/>
    </row>
    <row r="41" spans="2:8" ht="18" customHeight="1">
      <c r="B41" s="143" t="s">
        <v>103</v>
      </c>
      <c r="C41" s="42" t="s">
        <v>104</v>
      </c>
      <c r="D41" s="84" t="s">
        <v>244</v>
      </c>
      <c r="E41" s="146"/>
      <c r="F41" s="127" t="s">
        <v>299</v>
      </c>
      <c r="G41" s="128" t="s">
        <v>300</v>
      </c>
      <c r="H41" s="129" t="s">
        <v>298</v>
      </c>
    </row>
    <row r="42" spans="2:8" ht="30" customHeight="1">
      <c r="B42" s="143" t="s">
        <v>106</v>
      </c>
      <c r="C42" s="42" t="s">
        <v>303</v>
      </c>
      <c r="D42" s="84" t="s">
        <v>244</v>
      </c>
      <c r="E42" s="146"/>
      <c r="F42" s="127" t="s">
        <v>299</v>
      </c>
      <c r="G42" s="128" t="s">
        <v>300</v>
      </c>
      <c r="H42" s="129" t="s">
        <v>298</v>
      </c>
    </row>
    <row r="43" spans="2:8" ht="20.100000000000001" customHeight="1">
      <c r="B43" s="102" t="s">
        <v>304</v>
      </c>
      <c r="C43" s="103"/>
      <c r="D43" s="103"/>
      <c r="E43" s="103"/>
      <c r="F43" s="103"/>
      <c r="G43" s="103"/>
      <c r="H43" s="103"/>
    </row>
    <row r="44" spans="2:8" ht="20.100000000000001" customHeight="1">
      <c r="B44" s="141" t="s">
        <v>297</v>
      </c>
      <c r="C44" s="142" t="s">
        <v>298</v>
      </c>
      <c r="D44" s="1"/>
      <c r="E44" s="1"/>
      <c r="F44" s="1"/>
      <c r="G44" s="1"/>
      <c r="H44" s="2"/>
    </row>
    <row r="45" spans="2:8" ht="20.100000000000001" customHeight="1">
      <c r="B45" s="143" t="s">
        <v>110</v>
      </c>
      <c r="C45" s="42" t="s">
        <v>111</v>
      </c>
      <c r="D45" s="137" t="s">
        <v>244</v>
      </c>
      <c r="E45" s="157"/>
      <c r="F45" s="144" t="s">
        <v>299</v>
      </c>
      <c r="G45" s="145" t="s">
        <v>300</v>
      </c>
      <c r="H45" s="121"/>
    </row>
    <row r="46" spans="2:8" ht="20.100000000000001" customHeight="1">
      <c r="B46" s="143" t="s">
        <v>113</v>
      </c>
      <c r="C46" s="42" t="s">
        <v>114</v>
      </c>
      <c r="D46" s="137" t="s">
        <v>244</v>
      </c>
      <c r="E46" s="157"/>
      <c r="F46" s="144" t="s">
        <v>299</v>
      </c>
      <c r="G46" s="145" t="s">
        <v>300</v>
      </c>
      <c r="H46" s="121"/>
    </row>
    <row r="47" spans="2:8" ht="18" customHeight="1">
      <c r="B47" s="143" t="s">
        <v>116</v>
      </c>
      <c r="C47" s="42" t="s">
        <v>117</v>
      </c>
      <c r="D47" s="84" t="s">
        <v>244</v>
      </c>
      <c r="E47" s="146"/>
      <c r="F47" s="127" t="s">
        <v>299</v>
      </c>
      <c r="G47" s="128" t="s">
        <v>300</v>
      </c>
      <c r="H47" s="129" t="s">
        <v>298</v>
      </c>
    </row>
    <row r="48" spans="2:8" ht="30" customHeight="1">
      <c r="B48" s="143" t="s">
        <v>119</v>
      </c>
      <c r="C48" s="42" t="s">
        <v>120</v>
      </c>
      <c r="D48" s="84" t="s">
        <v>244</v>
      </c>
      <c r="E48" s="146"/>
      <c r="F48" s="127" t="s">
        <v>299</v>
      </c>
      <c r="G48" s="128" t="s">
        <v>300</v>
      </c>
      <c r="H48" s="129" t="s">
        <v>298</v>
      </c>
    </row>
    <row r="49" spans="2:8" ht="20.100000000000001" customHeight="1">
      <c r="B49" s="102" t="s">
        <v>306</v>
      </c>
      <c r="C49" s="103"/>
      <c r="D49" s="1"/>
      <c r="E49" s="1"/>
      <c r="F49" s="1"/>
      <c r="G49" s="1"/>
      <c r="H49" s="2"/>
    </row>
    <row r="50" spans="2:8" ht="39.950000000000003" customHeight="1">
      <c r="B50" s="141" t="s">
        <v>297</v>
      </c>
      <c r="C50" s="173" t="s">
        <v>298</v>
      </c>
      <c r="D50" s="199"/>
      <c r="E50" s="199"/>
      <c r="F50" s="199"/>
      <c r="G50" s="199"/>
      <c r="H50" s="200"/>
    </row>
    <row r="51" spans="2:8" ht="20.100000000000001" customHeight="1">
      <c r="B51" s="143" t="s">
        <v>123</v>
      </c>
      <c r="C51" s="42" t="s">
        <v>307</v>
      </c>
      <c r="D51" s="137" t="s">
        <v>244</v>
      </c>
      <c r="E51" s="157"/>
      <c r="F51" s="144" t="s">
        <v>299</v>
      </c>
      <c r="G51" s="145" t="s">
        <v>300</v>
      </c>
      <c r="H51" s="121"/>
    </row>
    <row r="52" spans="2:8" ht="20.100000000000001" customHeight="1">
      <c r="B52" s="130" t="s">
        <v>241</v>
      </c>
      <c r="C52" s="150" t="s">
        <v>392</v>
      </c>
      <c r="D52" s="1"/>
      <c r="E52" s="1"/>
      <c r="F52" s="1"/>
      <c r="G52" s="1"/>
      <c r="H52" s="2"/>
    </row>
    <row r="53" spans="2:8" ht="20.100000000000001" customHeight="1">
      <c r="B53" s="143" t="s">
        <v>126</v>
      </c>
      <c r="C53" s="42" t="s">
        <v>309</v>
      </c>
      <c r="D53" s="137" t="s">
        <v>244</v>
      </c>
      <c r="E53" s="157"/>
      <c r="F53" s="144" t="s">
        <v>299</v>
      </c>
      <c r="G53" s="145" t="s">
        <v>300</v>
      </c>
      <c r="H53" s="121"/>
    </row>
    <row r="54" spans="2:8" ht="20.100000000000001" customHeight="1">
      <c r="B54" s="143" t="s">
        <v>129</v>
      </c>
      <c r="C54" s="42" t="s">
        <v>130</v>
      </c>
      <c r="D54" s="137" t="s">
        <v>244</v>
      </c>
      <c r="E54" s="157"/>
      <c r="F54" s="144" t="s">
        <v>299</v>
      </c>
      <c r="G54" s="145" t="s">
        <v>300</v>
      </c>
      <c r="H54" s="121"/>
    </row>
    <row r="55" spans="2:8" ht="18" customHeight="1">
      <c r="B55" s="143" t="s">
        <v>132</v>
      </c>
      <c r="C55" s="42" t="s">
        <v>310</v>
      </c>
      <c r="D55" s="1"/>
      <c r="E55" s="1"/>
      <c r="F55" s="1"/>
      <c r="G55" s="1"/>
      <c r="H55" s="2"/>
    </row>
    <row r="56" spans="2:8" ht="30" customHeight="1">
      <c r="B56" s="143" t="s">
        <v>135</v>
      </c>
      <c r="C56" s="177" t="s">
        <v>311</v>
      </c>
      <c r="D56" s="199"/>
      <c r="E56" s="199"/>
      <c r="F56" s="199"/>
      <c r="G56" s="199"/>
      <c r="H56" s="200"/>
    </row>
    <row r="57" spans="2:8" ht="20.100000000000001" customHeight="1">
      <c r="B57" s="102" t="s">
        <v>313</v>
      </c>
      <c r="C57" s="103"/>
      <c r="D57" s="103"/>
      <c r="E57" s="103"/>
      <c r="F57" s="103"/>
      <c r="G57" s="103"/>
      <c r="H57" s="103"/>
    </row>
    <row r="58" spans="2:8" ht="20.100000000000001" customHeight="1">
      <c r="B58" s="141" t="s">
        <v>297</v>
      </c>
      <c r="C58" s="142" t="s">
        <v>298</v>
      </c>
      <c r="D58" s="1"/>
      <c r="E58" s="1"/>
      <c r="F58" s="1"/>
      <c r="G58" s="1"/>
      <c r="H58" s="2"/>
    </row>
    <row r="59" spans="2:8" ht="20.100000000000001" customHeight="1">
      <c r="B59" s="143" t="s">
        <v>139</v>
      </c>
      <c r="C59" s="42" t="s">
        <v>314</v>
      </c>
      <c r="D59" s="137" t="s">
        <v>244</v>
      </c>
      <c r="E59" s="157"/>
      <c r="F59" s="144" t="s">
        <v>299</v>
      </c>
      <c r="G59" s="145" t="s">
        <v>300</v>
      </c>
      <c r="H59" s="121"/>
    </row>
    <row r="60" spans="2:8" ht="20.100000000000001" customHeight="1">
      <c r="B60" s="143" t="s">
        <v>142</v>
      </c>
      <c r="C60" s="42" t="s">
        <v>143</v>
      </c>
      <c r="D60" s="137" t="s">
        <v>244</v>
      </c>
      <c r="E60" s="157"/>
      <c r="F60" s="144" t="s">
        <v>299</v>
      </c>
      <c r="G60" s="145" t="s">
        <v>300</v>
      </c>
      <c r="H60" s="121"/>
    </row>
    <row r="61" spans="2:8" ht="20.100000000000001" customHeight="1">
      <c r="B61" s="143" t="s">
        <v>145</v>
      </c>
      <c r="C61" s="42" t="s">
        <v>315</v>
      </c>
      <c r="D61" s="137" t="s">
        <v>244</v>
      </c>
      <c r="E61" s="157"/>
      <c r="F61" s="144" t="s">
        <v>299</v>
      </c>
      <c r="G61" s="145" t="s">
        <v>300</v>
      </c>
      <c r="H61" s="121"/>
    </row>
    <row r="62" spans="2:8" ht="20.100000000000001" customHeight="1">
      <c r="B62" s="143" t="s">
        <v>148</v>
      </c>
      <c r="C62" s="42" t="s">
        <v>316</v>
      </c>
      <c r="D62" s="137" t="s">
        <v>244</v>
      </c>
      <c r="E62" s="157"/>
      <c r="F62" s="144" t="s">
        <v>299</v>
      </c>
      <c r="G62" s="145" t="s">
        <v>300</v>
      </c>
      <c r="H62" s="121"/>
    </row>
    <row r="63" spans="2:8" ht="18" customHeight="1">
      <c r="B63" s="143" t="s">
        <v>151</v>
      </c>
      <c r="C63" s="42" t="s">
        <v>152</v>
      </c>
      <c r="D63" s="137" t="s">
        <v>244</v>
      </c>
      <c r="E63" s="157"/>
      <c r="F63" s="144" t="s">
        <v>299</v>
      </c>
      <c r="G63" s="145" t="s">
        <v>300</v>
      </c>
      <c r="H63" s="2"/>
    </row>
    <row r="64" spans="2:8" ht="30" customHeight="1">
      <c r="B64" s="143" t="s">
        <v>154</v>
      </c>
      <c r="C64" s="42" t="s">
        <v>155</v>
      </c>
      <c r="D64" s="137" t="s">
        <v>244</v>
      </c>
      <c r="E64" s="157"/>
      <c r="F64" s="144" t="s">
        <v>299</v>
      </c>
      <c r="G64" s="145" t="s">
        <v>300</v>
      </c>
      <c r="H64" s="2"/>
    </row>
    <row r="65" spans="2:8" ht="20.100000000000001" customHeight="1">
      <c r="B65" s="141" t="s">
        <v>297</v>
      </c>
      <c r="C65" s="142" t="s">
        <v>298</v>
      </c>
      <c r="D65" s="1"/>
      <c r="E65" s="1"/>
      <c r="F65" s="1"/>
      <c r="G65" s="1"/>
      <c r="H65" s="2"/>
    </row>
    <row r="67" spans="2:8" ht="30" customHeight="1">
      <c r="B67" s="147" t="s">
        <v>317</v>
      </c>
      <c r="C67" s="170" t="s">
        <v>318</v>
      </c>
      <c r="D67" s="199"/>
      <c r="E67" s="199"/>
      <c r="F67" s="199"/>
      <c r="G67" s="199"/>
      <c r="H67" s="200"/>
    </row>
  </sheetData>
  <mergeCells count="7">
    <mergeCell ref="C67:H67"/>
    <mergeCell ref="C16:H16"/>
    <mergeCell ref="C50:H50"/>
    <mergeCell ref="N12:O12"/>
    <mergeCell ref="C34:H34"/>
    <mergeCell ref="C56:H56"/>
    <mergeCell ref="H12:M12"/>
  </mergeCell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B1:O67"/>
  <sheetViews>
    <sheetView topLeftCell="A29" workbookViewId="0">
      <selection activeCell="G31" sqref="G31"/>
    </sheetView>
  </sheetViews>
  <sheetFormatPr defaultRowHeight="14.45"/>
  <cols>
    <col min="1" max="1" width="2" customWidth="1"/>
    <col min="2" max="2" width="28" customWidth="1"/>
    <col min="3" max="3" width="45" bestFit="1" customWidth="1"/>
    <col min="4" max="4" width="18" customWidth="1"/>
    <col min="5" max="7" width="14" customWidth="1"/>
    <col min="8" max="8" width="55" customWidth="1"/>
    <col min="9" max="13" width="30.140625" customWidth="1"/>
  </cols>
  <sheetData>
    <row r="1" spans="2:15" ht="27.95" customHeight="1">
      <c r="B1" s="118" t="s">
        <v>435</v>
      </c>
      <c r="C1" s="68"/>
      <c r="D1" s="68"/>
      <c r="E1" s="68"/>
      <c r="F1" s="68"/>
      <c r="G1" s="68"/>
      <c r="H1" s="68"/>
    </row>
    <row r="2" spans="2:15" ht="15.95" customHeight="1">
      <c r="B2" s="19" t="s">
        <v>216</v>
      </c>
      <c r="C2" s="43" t="s">
        <v>217</v>
      </c>
      <c r="D2" s="43" t="s">
        <v>218</v>
      </c>
      <c r="E2" s="103"/>
      <c r="F2" s="103"/>
      <c r="G2" s="103"/>
      <c r="H2" s="43" t="s">
        <v>219</v>
      </c>
    </row>
    <row r="3" spans="2:15" ht="15.95" customHeight="1">
      <c r="B3" s="119" t="s">
        <v>220</v>
      </c>
      <c r="C3" s="42"/>
      <c r="D3" s="121"/>
      <c r="E3" s="121"/>
      <c r="F3" s="121"/>
      <c r="G3" s="121"/>
      <c r="H3" s="121"/>
    </row>
    <row r="4" spans="2:15" ht="15.95" customHeight="1">
      <c r="B4" s="119" t="s">
        <v>199</v>
      </c>
      <c r="C4" s="42"/>
      <c r="D4" s="121"/>
      <c r="E4" s="121"/>
      <c r="F4" s="121"/>
      <c r="G4" s="121"/>
      <c r="H4" s="121"/>
    </row>
    <row r="5" spans="2:15" ht="15.95" customHeight="1">
      <c r="B5" s="119" t="s">
        <v>224</v>
      </c>
      <c r="C5" s="42"/>
      <c r="D5" s="121"/>
      <c r="E5" s="121"/>
      <c r="F5" s="121"/>
      <c r="G5" s="121"/>
      <c r="H5" s="121"/>
    </row>
    <row r="6" spans="2:15" ht="15.95" customHeight="1">
      <c r="B6" s="119" t="s">
        <v>226</v>
      </c>
      <c r="C6" s="42"/>
      <c r="D6" s="121"/>
      <c r="E6" s="121"/>
      <c r="F6" s="121"/>
      <c r="G6" s="121"/>
      <c r="H6" s="121"/>
    </row>
    <row r="7" spans="2:15" ht="15.95" customHeight="1">
      <c r="B7" s="119" t="s">
        <v>227</v>
      </c>
      <c r="C7" s="42"/>
      <c r="D7" s="121"/>
      <c r="E7" s="121"/>
      <c r="F7" s="121"/>
      <c r="G7" s="121"/>
      <c r="H7" s="121"/>
    </row>
    <row r="8" spans="2:15" ht="15.95" customHeight="1">
      <c r="B8" s="119" t="s">
        <v>229</v>
      </c>
      <c r="C8" s="42"/>
      <c r="D8" s="121"/>
      <c r="E8" s="121"/>
      <c r="F8" s="121"/>
      <c r="G8" s="121"/>
      <c r="H8" s="121"/>
    </row>
    <row r="9" spans="2:15" ht="15.95" customHeight="1">
      <c r="B9" s="119" t="s">
        <v>231</v>
      </c>
      <c r="C9" s="42"/>
      <c r="D9" s="121"/>
      <c r="E9" s="121"/>
      <c r="F9" s="121"/>
      <c r="G9" s="121"/>
      <c r="H9" s="121"/>
    </row>
    <row r="10" spans="2:15" ht="15.95" customHeight="1">
      <c r="B10" s="119" t="s">
        <v>201</v>
      </c>
      <c r="C10" s="42"/>
      <c r="D10" s="121"/>
      <c r="E10" s="121"/>
      <c r="F10" s="121"/>
      <c r="G10" s="121"/>
      <c r="H10" s="121"/>
    </row>
    <row r="11" spans="2:15" ht="15.95" customHeight="1">
      <c r="B11" s="119" t="s">
        <v>203</v>
      </c>
      <c r="C11" s="42"/>
      <c r="D11" s="121"/>
      <c r="E11" s="121"/>
      <c r="F11" s="121"/>
      <c r="G11" s="121"/>
      <c r="H11" s="121"/>
    </row>
    <row r="12" spans="2:15" ht="15.95" customHeight="1">
      <c r="B12" s="119" t="s">
        <v>232</v>
      </c>
      <c r="C12" s="42"/>
      <c r="D12" s="121"/>
      <c r="E12" s="121"/>
      <c r="F12" s="121"/>
      <c r="G12" s="121"/>
      <c r="H12" s="174"/>
      <c r="I12" s="199"/>
      <c r="J12" s="199"/>
      <c r="K12" s="199"/>
      <c r="L12" s="199"/>
      <c r="M12" s="200"/>
      <c r="N12" s="201"/>
      <c r="O12" s="201"/>
    </row>
    <row r="13" spans="2:15" ht="15.95" customHeight="1">
      <c r="B13" s="119" t="s">
        <v>161</v>
      </c>
      <c r="C13" s="42"/>
      <c r="D13" s="121"/>
      <c r="E13" s="121"/>
      <c r="F13" s="121"/>
      <c r="G13" s="121"/>
      <c r="H13" s="121"/>
    </row>
    <row r="14" spans="2:15" ht="15.95" customHeight="1">
      <c r="B14" s="68"/>
      <c r="C14" s="68"/>
      <c r="D14" s="68"/>
      <c r="E14" s="68"/>
      <c r="F14" s="68"/>
      <c r="G14" s="68"/>
      <c r="H14" s="68"/>
      <c r="I14" s="1"/>
      <c r="J14" s="1"/>
      <c r="K14" s="1"/>
      <c r="L14" s="1"/>
      <c r="M14" s="2"/>
    </row>
    <row r="15" spans="2:15" ht="54.95" customHeight="1">
      <c r="B15" s="123" t="s">
        <v>46</v>
      </c>
      <c r="C15" s="124" t="s">
        <v>47</v>
      </c>
      <c r="D15" s="1"/>
      <c r="E15" s="1"/>
      <c r="F15" s="1"/>
      <c r="G15" s="1"/>
      <c r="H15" s="2"/>
    </row>
    <row r="16" spans="2:15" ht="39.950000000000003" customHeight="1">
      <c r="B16" s="102" t="s">
        <v>234</v>
      </c>
      <c r="C16" s="172"/>
      <c r="D16" s="199"/>
      <c r="E16" s="199"/>
      <c r="F16" s="199"/>
      <c r="G16" s="199"/>
      <c r="H16" s="200"/>
    </row>
    <row r="17" spans="2:8" ht="54.95" customHeight="1">
      <c r="B17" s="105" t="s">
        <v>52</v>
      </c>
      <c r="C17" s="119" t="s">
        <v>235</v>
      </c>
      <c r="D17" s="125" t="s">
        <v>236</v>
      </c>
      <c r="E17" s="154"/>
      <c r="F17" s="127" t="s">
        <v>237</v>
      </c>
      <c r="G17" s="128" t="s">
        <v>238</v>
      </c>
      <c r="H17" s="129" t="s">
        <v>239</v>
      </c>
    </row>
    <row r="18" spans="2:8" ht="54.95" customHeight="1">
      <c r="B18" s="130" t="s">
        <v>241</v>
      </c>
      <c r="C18" s="150" t="s">
        <v>330</v>
      </c>
      <c r="D18" s="1"/>
      <c r="E18" s="1"/>
      <c r="F18" s="1"/>
      <c r="G18" s="1"/>
      <c r="H18" s="2"/>
    </row>
    <row r="19" spans="2:8" ht="54.95" customHeight="1">
      <c r="B19" s="105" t="s">
        <v>56</v>
      </c>
      <c r="C19" s="119" t="s">
        <v>243</v>
      </c>
      <c r="D19" s="125" t="s">
        <v>244</v>
      </c>
      <c r="E19" s="154"/>
      <c r="F19" s="127" t="s">
        <v>245</v>
      </c>
      <c r="G19" s="128" t="s">
        <v>246</v>
      </c>
      <c r="H19" s="129" t="s">
        <v>247</v>
      </c>
    </row>
    <row r="20" spans="2:8" ht="18" customHeight="1">
      <c r="B20" s="105" t="s">
        <v>59</v>
      </c>
      <c r="C20" s="119" t="s">
        <v>248</v>
      </c>
      <c r="D20" s="125" t="s">
        <v>244</v>
      </c>
      <c r="E20" s="154"/>
      <c r="F20" s="127" t="s">
        <v>249</v>
      </c>
      <c r="G20" s="128" t="s">
        <v>250</v>
      </c>
      <c r="H20" s="129" t="s">
        <v>251</v>
      </c>
    </row>
    <row r="21" spans="2:8" ht="15.95" customHeight="1">
      <c r="B21" s="105" t="s">
        <v>62</v>
      </c>
      <c r="C21" s="119" t="s">
        <v>252</v>
      </c>
      <c r="D21" s="125" t="s">
        <v>244</v>
      </c>
      <c r="E21" s="154"/>
      <c r="F21" s="127" t="s">
        <v>253</v>
      </c>
      <c r="G21" s="128" t="s">
        <v>254</v>
      </c>
      <c r="H21" s="129" t="s">
        <v>255</v>
      </c>
    </row>
    <row r="22" spans="2:8" ht="54.95" customHeight="1">
      <c r="B22" s="102" t="s">
        <v>256</v>
      </c>
      <c r="C22" s="103"/>
      <c r="D22" s="103"/>
      <c r="E22" s="103"/>
      <c r="F22" s="103"/>
      <c r="G22" s="103"/>
      <c r="H22" s="103"/>
    </row>
    <row r="23" spans="2:8" ht="54.95" customHeight="1">
      <c r="B23" s="132" t="s">
        <v>46</v>
      </c>
      <c r="C23" s="133" t="s">
        <v>47</v>
      </c>
      <c r="D23" s="132" t="s">
        <v>257</v>
      </c>
      <c r="E23" s="134" t="s">
        <v>258</v>
      </c>
      <c r="F23" s="135" t="s">
        <v>259</v>
      </c>
      <c r="G23" s="136" t="s">
        <v>260</v>
      </c>
      <c r="H23" s="133" t="s">
        <v>261</v>
      </c>
    </row>
    <row r="24" spans="2:8" ht="54.95" customHeight="1">
      <c r="B24" s="105" t="s">
        <v>66</v>
      </c>
      <c r="C24" s="42" t="s">
        <v>262</v>
      </c>
      <c r="D24" s="137" t="s">
        <v>263</v>
      </c>
      <c r="E24" s="154"/>
      <c r="F24" s="127" t="s">
        <v>264</v>
      </c>
      <c r="G24" s="128" t="s">
        <v>265</v>
      </c>
      <c r="H24" s="129" t="s">
        <v>266</v>
      </c>
    </row>
    <row r="25" spans="2:8" ht="54.95" customHeight="1">
      <c r="B25" s="105" t="s">
        <v>69</v>
      </c>
      <c r="C25" s="42" t="s">
        <v>267</v>
      </c>
      <c r="D25" s="137" t="s">
        <v>263</v>
      </c>
      <c r="E25" s="154"/>
      <c r="F25" s="127" t="s">
        <v>268</v>
      </c>
      <c r="G25" s="128" t="s">
        <v>269</v>
      </c>
      <c r="H25" s="129" t="s">
        <v>270</v>
      </c>
    </row>
    <row r="26" spans="2:8" ht="54.95" customHeight="1">
      <c r="B26" s="105" t="s">
        <v>71</v>
      </c>
      <c r="C26" s="42" t="s">
        <v>271</v>
      </c>
      <c r="D26" s="137" t="s">
        <v>263</v>
      </c>
      <c r="E26" s="154"/>
      <c r="F26" s="127" t="s">
        <v>272</v>
      </c>
      <c r="G26" s="128" t="s">
        <v>273</v>
      </c>
      <c r="H26" s="129" t="s">
        <v>274</v>
      </c>
    </row>
    <row r="27" spans="2:8" ht="54.95" customHeight="1">
      <c r="B27" s="105" t="s">
        <v>73</v>
      </c>
      <c r="C27" s="42" t="s">
        <v>275</v>
      </c>
      <c r="D27" s="137" t="s">
        <v>263</v>
      </c>
      <c r="E27" s="154"/>
      <c r="F27" s="127" t="s">
        <v>276</v>
      </c>
      <c r="G27" s="128" t="s">
        <v>277</v>
      </c>
      <c r="H27" s="129" t="s">
        <v>278</v>
      </c>
    </row>
    <row r="28" spans="2:8" ht="54.95" customHeight="1">
      <c r="B28" s="105" t="s">
        <v>75</v>
      </c>
      <c r="C28" s="42" t="s">
        <v>279</v>
      </c>
      <c r="D28" s="137" t="s">
        <v>263</v>
      </c>
      <c r="E28" s="154"/>
      <c r="F28" s="127" t="s">
        <v>280</v>
      </c>
      <c r="G28" s="128" t="s">
        <v>281</v>
      </c>
      <c r="H28" s="129" t="s">
        <v>282</v>
      </c>
    </row>
    <row r="29" spans="2:8" ht="54.95" customHeight="1">
      <c r="B29" s="105" t="s">
        <v>77</v>
      </c>
      <c r="C29" s="42" t="s">
        <v>283</v>
      </c>
      <c r="D29" s="137" t="s">
        <v>263</v>
      </c>
      <c r="E29" s="154"/>
      <c r="F29" s="127" t="s">
        <v>284</v>
      </c>
      <c r="G29" s="128" t="s">
        <v>285</v>
      </c>
      <c r="H29" s="129" t="s">
        <v>286</v>
      </c>
    </row>
    <row r="30" spans="2:8" ht="54.95" customHeight="1">
      <c r="B30" s="105" t="s">
        <v>79</v>
      </c>
      <c r="C30" s="42" t="s">
        <v>287</v>
      </c>
      <c r="D30" s="137" t="s">
        <v>263</v>
      </c>
      <c r="E30" s="154"/>
      <c r="F30" s="127" t="s">
        <v>288</v>
      </c>
      <c r="G30" s="128" t="s">
        <v>289</v>
      </c>
      <c r="H30" s="129" t="s">
        <v>290</v>
      </c>
    </row>
    <row r="31" spans="2:8" ht="18" customHeight="1">
      <c r="B31" s="105" t="s">
        <v>81</v>
      </c>
      <c r="C31" s="42" t="s">
        <v>291</v>
      </c>
      <c r="D31" s="137" t="s">
        <v>263</v>
      </c>
      <c r="E31" s="154"/>
      <c r="F31" s="127" t="s">
        <v>327</v>
      </c>
      <c r="G31" s="128" t="s">
        <v>328</v>
      </c>
      <c r="H31" s="129" t="s">
        <v>329</v>
      </c>
    </row>
    <row r="32" spans="2:8" ht="30" customHeight="1">
      <c r="B32" s="105" t="s">
        <v>84</v>
      </c>
      <c r="C32" s="42" t="s">
        <v>292</v>
      </c>
      <c r="D32" s="138" t="s">
        <v>236</v>
      </c>
      <c r="E32" s="146"/>
      <c r="F32" s="139" t="s">
        <v>293</v>
      </c>
      <c r="G32" s="128" t="s">
        <v>294</v>
      </c>
      <c r="H32" s="140" t="s">
        <v>295</v>
      </c>
    </row>
    <row r="33" spans="2:8" ht="20.100000000000001" customHeight="1">
      <c r="B33" s="102" t="s">
        <v>296</v>
      </c>
      <c r="C33" s="103"/>
      <c r="D33" s="1"/>
      <c r="E33" s="1"/>
      <c r="F33" s="1"/>
      <c r="G33" s="1"/>
      <c r="H33" s="2"/>
    </row>
    <row r="34" spans="2:8" ht="39.950000000000003" customHeight="1">
      <c r="B34" s="141" t="s">
        <v>297</v>
      </c>
      <c r="C34" s="173" t="s">
        <v>298</v>
      </c>
      <c r="D34" s="199"/>
      <c r="E34" s="199"/>
      <c r="F34" s="199"/>
      <c r="G34" s="199"/>
      <c r="H34" s="200"/>
    </row>
    <row r="35" spans="2:8" ht="20.100000000000001" customHeight="1">
      <c r="B35" s="143" t="s">
        <v>88</v>
      </c>
      <c r="C35" s="42" t="s">
        <v>89</v>
      </c>
      <c r="D35" s="137" t="s">
        <v>244</v>
      </c>
      <c r="E35" s="157"/>
      <c r="F35" s="144" t="s">
        <v>299</v>
      </c>
      <c r="G35" s="145" t="s">
        <v>300</v>
      </c>
      <c r="H35" s="121"/>
    </row>
    <row r="36" spans="2:8" ht="20.100000000000001" customHeight="1">
      <c r="B36" s="130" t="s">
        <v>241</v>
      </c>
      <c r="C36" s="150" t="s">
        <v>381</v>
      </c>
      <c r="D36" s="1"/>
      <c r="E36" s="1"/>
      <c r="F36" s="1"/>
      <c r="G36" s="1"/>
      <c r="H36" s="2"/>
    </row>
    <row r="37" spans="2:8" ht="20.100000000000001" customHeight="1">
      <c r="B37" s="143" t="s">
        <v>91</v>
      </c>
      <c r="C37" s="42" t="s">
        <v>92</v>
      </c>
      <c r="D37" s="137" t="s">
        <v>244</v>
      </c>
      <c r="E37" s="157"/>
      <c r="F37" s="144" t="s">
        <v>299</v>
      </c>
      <c r="G37" s="145" t="s">
        <v>300</v>
      </c>
      <c r="H37" s="121"/>
    </row>
    <row r="38" spans="2:8" ht="20.100000000000001" customHeight="1">
      <c r="B38" s="143" t="s">
        <v>94</v>
      </c>
      <c r="C38" s="42" t="s">
        <v>302</v>
      </c>
      <c r="D38" s="137" t="s">
        <v>244</v>
      </c>
      <c r="E38" s="157"/>
      <c r="F38" s="144" t="s">
        <v>299</v>
      </c>
      <c r="G38" s="145" t="s">
        <v>300</v>
      </c>
      <c r="H38" s="121"/>
    </row>
    <row r="39" spans="2:8" ht="20.100000000000001" customHeight="1">
      <c r="B39" s="143" t="s">
        <v>97</v>
      </c>
      <c r="C39" s="42" t="s">
        <v>98</v>
      </c>
      <c r="D39" s="137" t="s">
        <v>244</v>
      </c>
      <c r="E39" s="157"/>
      <c r="F39" s="144" t="s">
        <v>299</v>
      </c>
      <c r="G39" s="145" t="s">
        <v>300</v>
      </c>
      <c r="H39" s="121"/>
    </row>
    <row r="40" spans="2:8" ht="20.100000000000001" customHeight="1">
      <c r="B40" s="143" t="s">
        <v>100</v>
      </c>
      <c r="C40" s="42" t="s">
        <v>101</v>
      </c>
      <c r="D40" s="137" t="s">
        <v>244</v>
      </c>
      <c r="E40" s="157"/>
      <c r="F40" s="144" t="s">
        <v>299</v>
      </c>
      <c r="G40" s="145" t="s">
        <v>300</v>
      </c>
      <c r="H40" s="121"/>
    </row>
    <row r="41" spans="2:8" ht="18" customHeight="1">
      <c r="B41" s="143" t="s">
        <v>103</v>
      </c>
      <c r="C41" s="42" t="s">
        <v>104</v>
      </c>
      <c r="D41" s="84" t="s">
        <v>244</v>
      </c>
      <c r="E41" s="146"/>
      <c r="F41" s="127" t="s">
        <v>299</v>
      </c>
      <c r="G41" s="128" t="s">
        <v>300</v>
      </c>
      <c r="H41" s="129" t="s">
        <v>298</v>
      </c>
    </row>
    <row r="42" spans="2:8" ht="30" customHeight="1">
      <c r="B42" s="143" t="s">
        <v>106</v>
      </c>
      <c r="C42" s="42" t="s">
        <v>303</v>
      </c>
      <c r="D42" s="84" t="s">
        <v>244</v>
      </c>
      <c r="E42" s="146"/>
      <c r="F42" s="127" t="s">
        <v>299</v>
      </c>
      <c r="G42" s="128" t="s">
        <v>300</v>
      </c>
      <c r="H42" s="129" t="s">
        <v>298</v>
      </c>
    </row>
    <row r="43" spans="2:8" ht="20.100000000000001" customHeight="1">
      <c r="B43" s="102" t="s">
        <v>304</v>
      </c>
      <c r="C43" s="103"/>
      <c r="D43" s="103"/>
      <c r="E43" s="103"/>
      <c r="F43" s="103"/>
      <c r="G43" s="103"/>
      <c r="H43" s="103"/>
    </row>
    <row r="44" spans="2:8" ht="20.100000000000001" customHeight="1">
      <c r="B44" s="141" t="s">
        <v>297</v>
      </c>
      <c r="C44" s="142" t="s">
        <v>298</v>
      </c>
      <c r="D44" s="1"/>
      <c r="E44" s="1"/>
      <c r="F44" s="1"/>
      <c r="G44" s="1"/>
      <c r="H44" s="2"/>
    </row>
    <row r="45" spans="2:8" ht="20.100000000000001" customHeight="1">
      <c r="B45" s="143" t="s">
        <v>110</v>
      </c>
      <c r="C45" s="42" t="s">
        <v>111</v>
      </c>
      <c r="D45" s="137" t="s">
        <v>244</v>
      </c>
      <c r="E45" s="157"/>
      <c r="F45" s="144" t="s">
        <v>299</v>
      </c>
      <c r="G45" s="145" t="s">
        <v>300</v>
      </c>
      <c r="H45" s="121"/>
    </row>
    <row r="46" spans="2:8" ht="20.100000000000001" customHeight="1">
      <c r="B46" s="143" t="s">
        <v>113</v>
      </c>
      <c r="C46" s="42" t="s">
        <v>114</v>
      </c>
      <c r="D46" s="137" t="s">
        <v>244</v>
      </c>
      <c r="E46" s="157"/>
      <c r="F46" s="144" t="s">
        <v>299</v>
      </c>
      <c r="G46" s="145" t="s">
        <v>300</v>
      </c>
      <c r="H46" s="121"/>
    </row>
    <row r="47" spans="2:8" ht="18" customHeight="1">
      <c r="B47" s="143" t="s">
        <v>116</v>
      </c>
      <c r="C47" s="42" t="s">
        <v>117</v>
      </c>
      <c r="D47" s="84" t="s">
        <v>244</v>
      </c>
      <c r="E47" s="146"/>
      <c r="F47" s="127" t="s">
        <v>299</v>
      </c>
      <c r="G47" s="128" t="s">
        <v>300</v>
      </c>
      <c r="H47" s="129" t="s">
        <v>298</v>
      </c>
    </row>
    <row r="48" spans="2:8" ht="30" customHeight="1">
      <c r="B48" s="143" t="s">
        <v>119</v>
      </c>
      <c r="C48" s="42" t="s">
        <v>120</v>
      </c>
      <c r="D48" s="84" t="s">
        <v>244</v>
      </c>
      <c r="E48" s="146"/>
      <c r="F48" s="127" t="s">
        <v>299</v>
      </c>
      <c r="G48" s="128" t="s">
        <v>300</v>
      </c>
      <c r="H48" s="129" t="s">
        <v>298</v>
      </c>
    </row>
    <row r="49" spans="2:8" ht="20.100000000000001" customHeight="1">
      <c r="B49" s="102" t="s">
        <v>306</v>
      </c>
      <c r="C49" s="103"/>
      <c r="D49" s="1"/>
      <c r="E49" s="1"/>
      <c r="F49" s="1"/>
      <c r="G49" s="1"/>
      <c r="H49" s="2"/>
    </row>
    <row r="50" spans="2:8" ht="39.950000000000003" customHeight="1">
      <c r="B50" s="141" t="s">
        <v>297</v>
      </c>
      <c r="C50" s="173" t="s">
        <v>298</v>
      </c>
      <c r="D50" s="199"/>
      <c r="E50" s="199"/>
      <c r="F50" s="199"/>
      <c r="G50" s="199"/>
      <c r="H50" s="200"/>
    </row>
    <row r="51" spans="2:8" ht="20.100000000000001" customHeight="1">
      <c r="B51" s="143" t="s">
        <v>123</v>
      </c>
      <c r="C51" s="42" t="s">
        <v>307</v>
      </c>
      <c r="D51" s="137" t="s">
        <v>244</v>
      </c>
      <c r="E51" s="157"/>
      <c r="F51" s="144" t="s">
        <v>299</v>
      </c>
      <c r="G51" s="145" t="s">
        <v>300</v>
      </c>
      <c r="H51" s="121"/>
    </row>
    <row r="52" spans="2:8" ht="20.100000000000001" customHeight="1">
      <c r="B52" s="130" t="s">
        <v>241</v>
      </c>
      <c r="C52" s="150" t="s">
        <v>392</v>
      </c>
      <c r="D52" s="1"/>
      <c r="E52" s="1"/>
      <c r="F52" s="1"/>
      <c r="G52" s="1"/>
      <c r="H52" s="2"/>
    </row>
    <row r="53" spans="2:8" ht="20.100000000000001" customHeight="1">
      <c r="B53" s="143" t="s">
        <v>126</v>
      </c>
      <c r="C53" s="42" t="s">
        <v>309</v>
      </c>
      <c r="D53" s="137" t="s">
        <v>244</v>
      </c>
      <c r="E53" s="157"/>
      <c r="F53" s="144" t="s">
        <v>299</v>
      </c>
      <c r="G53" s="145" t="s">
        <v>300</v>
      </c>
      <c r="H53" s="121"/>
    </row>
    <row r="54" spans="2:8" ht="20.100000000000001" customHeight="1">
      <c r="B54" s="143" t="s">
        <v>129</v>
      </c>
      <c r="C54" s="42" t="s">
        <v>130</v>
      </c>
      <c r="D54" s="137" t="s">
        <v>244</v>
      </c>
      <c r="E54" s="157"/>
      <c r="F54" s="144" t="s">
        <v>299</v>
      </c>
      <c r="G54" s="145" t="s">
        <v>300</v>
      </c>
      <c r="H54" s="121"/>
    </row>
    <row r="55" spans="2:8" ht="18" customHeight="1">
      <c r="B55" s="143" t="s">
        <v>132</v>
      </c>
      <c r="C55" s="42" t="s">
        <v>310</v>
      </c>
      <c r="D55" s="1"/>
      <c r="E55" s="1"/>
      <c r="F55" s="1"/>
      <c r="G55" s="1"/>
      <c r="H55" s="2"/>
    </row>
    <row r="56" spans="2:8" ht="30" customHeight="1">
      <c r="B56" s="143" t="s">
        <v>135</v>
      </c>
      <c r="C56" s="177" t="s">
        <v>311</v>
      </c>
      <c r="D56" s="199"/>
      <c r="E56" s="199"/>
      <c r="F56" s="199"/>
      <c r="G56" s="199"/>
      <c r="H56" s="200"/>
    </row>
    <row r="57" spans="2:8" ht="20.100000000000001" customHeight="1">
      <c r="B57" s="102" t="s">
        <v>313</v>
      </c>
      <c r="C57" s="103"/>
      <c r="D57" s="103"/>
      <c r="E57" s="103"/>
      <c r="F57" s="103"/>
      <c r="G57" s="103"/>
      <c r="H57" s="103"/>
    </row>
    <row r="58" spans="2:8" ht="20.100000000000001" customHeight="1">
      <c r="B58" s="141" t="s">
        <v>297</v>
      </c>
      <c r="C58" s="142" t="s">
        <v>298</v>
      </c>
      <c r="D58" s="1"/>
      <c r="E58" s="1"/>
      <c r="F58" s="1"/>
      <c r="G58" s="1"/>
      <c r="H58" s="2"/>
    </row>
    <row r="59" spans="2:8" ht="20.100000000000001" customHeight="1">
      <c r="B59" s="143" t="s">
        <v>139</v>
      </c>
      <c r="C59" s="42" t="s">
        <v>314</v>
      </c>
      <c r="D59" s="137" t="s">
        <v>244</v>
      </c>
      <c r="E59" s="157"/>
      <c r="F59" s="144" t="s">
        <v>299</v>
      </c>
      <c r="G59" s="145" t="s">
        <v>300</v>
      </c>
      <c r="H59" s="121"/>
    </row>
    <row r="60" spans="2:8" ht="20.100000000000001" customHeight="1">
      <c r="B60" s="143" t="s">
        <v>142</v>
      </c>
      <c r="C60" s="42" t="s">
        <v>143</v>
      </c>
      <c r="D60" s="137" t="s">
        <v>244</v>
      </c>
      <c r="E60" s="157"/>
      <c r="F60" s="144" t="s">
        <v>299</v>
      </c>
      <c r="G60" s="145" t="s">
        <v>300</v>
      </c>
      <c r="H60" s="121"/>
    </row>
    <row r="61" spans="2:8" ht="20.100000000000001" customHeight="1">
      <c r="B61" s="143" t="s">
        <v>145</v>
      </c>
      <c r="C61" s="42" t="s">
        <v>315</v>
      </c>
      <c r="D61" s="137" t="s">
        <v>244</v>
      </c>
      <c r="E61" s="157"/>
      <c r="F61" s="144" t="s">
        <v>299</v>
      </c>
      <c r="G61" s="145" t="s">
        <v>300</v>
      </c>
      <c r="H61" s="121"/>
    </row>
    <row r="62" spans="2:8" ht="20.100000000000001" customHeight="1">
      <c r="B62" s="143" t="s">
        <v>148</v>
      </c>
      <c r="C62" s="42" t="s">
        <v>316</v>
      </c>
      <c r="D62" s="137" t="s">
        <v>244</v>
      </c>
      <c r="E62" s="157"/>
      <c r="F62" s="144" t="s">
        <v>299</v>
      </c>
      <c r="G62" s="145" t="s">
        <v>300</v>
      </c>
      <c r="H62" s="121"/>
    </row>
    <row r="63" spans="2:8" ht="18" customHeight="1">
      <c r="B63" s="143" t="s">
        <v>151</v>
      </c>
      <c r="C63" s="42" t="s">
        <v>152</v>
      </c>
      <c r="D63" s="137" t="s">
        <v>244</v>
      </c>
      <c r="E63" s="157"/>
      <c r="F63" s="144" t="s">
        <v>299</v>
      </c>
      <c r="G63" s="145" t="s">
        <v>300</v>
      </c>
      <c r="H63" s="2"/>
    </row>
    <row r="64" spans="2:8" ht="30" customHeight="1">
      <c r="B64" s="143" t="s">
        <v>154</v>
      </c>
      <c r="C64" s="42" t="s">
        <v>155</v>
      </c>
      <c r="D64" s="137" t="s">
        <v>244</v>
      </c>
      <c r="E64" s="157"/>
      <c r="F64" s="144" t="s">
        <v>299</v>
      </c>
      <c r="G64" s="145" t="s">
        <v>300</v>
      </c>
      <c r="H64" s="2"/>
    </row>
    <row r="65" spans="2:8" ht="20.100000000000001" customHeight="1">
      <c r="B65" s="141" t="s">
        <v>297</v>
      </c>
      <c r="C65" s="142" t="s">
        <v>298</v>
      </c>
      <c r="D65" s="1"/>
      <c r="E65" s="1"/>
      <c r="F65" s="1"/>
      <c r="G65" s="1"/>
      <c r="H65" s="2"/>
    </row>
    <row r="67" spans="2:8" ht="30" customHeight="1">
      <c r="B67" s="147" t="s">
        <v>317</v>
      </c>
      <c r="C67" s="170" t="s">
        <v>318</v>
      </c>
      <c r="D67" s="199"/>
      <c r="E67" s="199"/>
      <c r="F67" s="199"/>
      <c r="G67" s="199"/>
      <c r="H67" s="200"/>
    </row>
  </sheetData>
  <mergeCells count="7">
    <mergeCell ref="C67:H67"/>
    <mergeCell ref="C16:H16"/>
    <mergeCell ref="C50:H50"/>
    <mergeCell ref="N12:O12"/>
    <mergeCell ref="C34:H34"/>
    <mergeCell ref="C56:H56"/>
    <mergeCell ref="H12:M12"/>
  </mergeCell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B1:O67"/>
  <sheetViews>
    <sheetView topLeftCell="A29" workbookViewId="0">
      <selection activeCell="G31" sqref="G31"/>
    </sheetView>
  </sheetViews>
  <sheetFormatPr defaultRowHeight="14.45"/>
  <cols>
    <col min="1" max="1" width="2" customWidth="1"/>
    <col min="2" max="2" width="28" customWidth="1"/>
    <col min="3" max="3" width="45" bestFit="1" customWidth="1"/>
    <col min="4" max="4" width="18" customWidth="1"/>
    <col min="5" max="7" width="14" customWidth="1"/>
    <col min="8" max="8" width="55" customWidth="1"/>
    <col min="9" max="13" width="30.140625" customWidth="1"/>
  </cols>
  <sheetData>
    <row r="1" spans="2:15" ht="27.95" customHeight="1">
      <c r="B1" s="118" t="s">
        <v>436</v>
      </c>
      <c r="C1" s="68"/>
      <c r="D1" s="68"/>
      <c r="E1" s="68"/>
      <c r="F1" s="68"/>
      <c r="G1" s="68"/>
      <c r="H1" s="68"/>
    </row>
    <row r="2" spans="2:15" ht="15.95" customHeight="1">
      <c r="B2" s="19" t="s">
        <v>216</v>
      </c>
      <c r="C2" s="43" t="s">
        <v>217</v>
      </c>
      <c r="D2" s="43" t="s">
        <v>218</v>
      </c>
      <c r="E2" s="103"/>
      <c r="F2" s="103"/>
      <c r="G2" s="103"/>
      <c r="H2" s="43" t="s">
        <v>219</v>
      </c>
    </row>
    <row r="3" spans="2:15" ht="15.95" customHeight="1">
      <c r="B3" s="119" t="s">
        <v>220</v>
      </c>
      <c r="C3" s="42"/>
      <c r="D3" s="121"/>
      <c r="E3" s="121"/>
      <c r="F3" s="121"/>
      <c r="G3" s="121"/>
      <c r="H3" s="121"/>
    </row>
    <row r="4" spans="2:15" ht="15.95" customHeight="1">
      <c r="B4" s="119" t="s">
        <v>199</v>
      </c>
      <c r="C4" s="42"/>
      <c r="D4" s="121"/>
      <c r="E4" s="121"/>
      <c r="F4" s="121"/>
      <c r="G4" s="121"/>
      <c r="H4" s="121"/>
    </row>
    <row r="5" spans="2:15" ht="15.95" customHeight="1">
      <c r="B5" s="119" t="s">
        <v>224</v>
      </c>
      <c r="C5" s="42"/>
      <c r="D5" s="121"/>
      <c r="E5" s="121"/>
      <c r="F5" s="121"/>
      <c r="G5" s="121"/>
      <c r="H5" s="121"/>
    </row>
    <row r="6" spans="2:15" ht="15.95" customHeight="1">
      <c r="B6" s="119" t="s">
        <v>226</v>
      </c>
      <c r="C6" s="42"/>
      <c r="D6" s="121"/>
      <c r="E6" s="121"/>
      <c r="F6" s="121"/>
      <c r="G6" s="121"/>
      <c r="H6" s="121"/>
    </row>
    <row r="7" spans="2:15" ht="15.95" customHeight="1">
      <c r="B7" s="119" t="s">
        <v>227</v>
      </c>
      <c r="C7" s="42"/>
      <c r="D7" s="121"/>
      <c r="E7" s="121"/>
      <c r="F7" s="121"/>
      <c r="G7" s="121"/>
      <c r="H7" s="121"/>
    </row>
    <row r="8" spans="2:15" ht="15.95" customHeight="1">
      <c r="B8" s="119" t="s">
        <v>229</v>
      </c>
      <c r="C8" s="42"/>
      <c r="D8" s="121"/>
      <c r="E8" s="121"/>
      <c r="F8" s="121"/>
      <c r="G8" s="121"/>
      <c r="H8" s="121"/>
    </row>
    <row r="9" spans="2:15" ht="15.95" customHeight="1">
      <c r="B9" s="119" t="s">
        <v>231</v>
      </c>
      <c r="C9" s="42"/>
      <c r="D9" s="121"/>
      <c r="E9" s="121"/>
      <c r="F9" s="121"/>
      <c r="G9" s="121"/>
      <c r="H9" s="121"/>
    </row>
    <row r="10" spans="2:15" ht="15.95" customHeight="1">
      <c r="B10" s="119" t="s">
        <v>201</v>
      </c>
      <c r="C10" s="42"/>
      <c r="D10" s="121"/>
      <c r="E10" s="121"/>
      <c r="F10" s="121"/>
      <c r="G10" s="121"/>
      <c r="H10" s="121"/>
    </row>
    <row r="11" spans="2:15" ht="15.95" customHeight="1">
      <c r="B11" s="119" t="s">
        <v>203</v>
      </c>
      <c r="C11" s="42"/>
      <c r="D11" s="121"/>
      <c r="E11" s="121"/>
      <c r="F11" s="121"/>
      <c r="G11" s="121"/>
      <c r="H11" s="121"/>
    </row>
    <row r="12" spans="2:15" ht="15.95" customHeight="1">
      <c r="B12" s="119" t="s">
        <v>232</v>
      </c>
      <c r="C12" s="42"/>
      <c r="D12" s="121"/>
      <c r="E12" s="121"/>
      <c r="F12" s="121"/>
      <c r="G12" s="121"/>
      <c r="H12" s="174"/>
      <c r="I12" s="199"/>
      <c r="J12" s="199"/>
      <c r="K12" s="199"/>
      <c r="L12" s="199"/>
      <c r="M12" s="200"/>
      <c r="N12" s="201"/>
      <c r="O12" s="201"/>
    </row>
    <row r="13" spans="2:15" ht="15.95" customHeight="1">
      <c r="B13" s="119" t="s">
        <v>161</v>
      </c>
      <c r="C13" s="42"/>
      <c r="D13" s="121"/>
      <c r="E13" s="121"/>
      <c r="F13" s="121"/>
      <c r="G13" s="121"/>
      <c r="H13" s="121"/>
    </row>
    <row r="14" spans="2:15" ht="15.95" customHeight="1">
      <c r="B14" s="68"/>
      <c r="C14" s="68"/>
      <c r="D14" s="68"/>
      <c r="E14" s="68"/>
      <c r="F14" s="68"/>
      <c r="G14" s="68"/>
      <c r="H14" s="68"/>
      <c r="I14" s="1"/>
      <c r="J14" s="1"/>
      <c r="K14" s="1"/>
      <c r="L14" s="1"/>
      <c r="M14" s="2"/>
    </row>
    <row r="15" spans="2:15" ht="54.95" customHeight="1">
      <c r="B15" s="123" t="s">
        <v>46</v>
      </c>
      <c r="C15" s="124" t="s">
        <v>47</v>
      </c>
      <c r="D15" s="1"/>
      <c r="E15" s="1"/>
      <c r="F15" s="1"/>
      <c r="G15" s="1"/>
      <c r="H15" s="2"/>
    </row>
    <row r="16" spans="2:15" ht="39.950000000000003" customHeight="1">
      <c r="B16" s="102" t="s">
        <v>234</v>
      </c>
      <c r="C16" s="172"/>
      <c r="D16" s="199"/>
      <c r="E16" s="199"/>
      <c r="F16" s="199"/>
      <c r="G16" s="199"/>
      <c r="H16" s="200"/>
    </row>
    <row r="17" spans="2:8" ht="54.95" customHeight="1">
      <c r="B17" s="105" t="s">
        <v>52</v>
      </c>
      <c r="C17" s="119" t="s">
        <v>235</v>
      </c>
      <c r="D17" s="125" t="s">
        <v>236</v>
      </c>
      <c r="E17" s="154"/>
      <c r="F17" s="127" t="s">
        <v>237</v>
      </c>
      <c r="G17" s="128" t="s">
        <v>238</v>
      </c>
      <c r="H17" s="129" t="s">
        <v>239</v>
      </c>
    </row>
    <row r="18" spans="2:8" ht="54.95" customHeight="1">
      <c r="B18" s="130" t="s">
        <v>241</v>
      </c>
      <c r="C18" s="150" t="s">
        <v>330</v>
      </c>
      <c r="D18" s="1"/>
      <c r="E18" s="1"/>
      <c r="F18" s="1"/>
      <c r="G18" s="1"/>
      <c r="H18" s="2"/>
    </row>
    <row r="19" spans="2:8" ht="54.95" customHeight="1">
      <c r="B19" s="105" t="s">
        <v>56</v>
      </c>
      <c r="C19" s="119" t="s">
        <v>243</v>
      </c>
      <c r="D19" s="125" t="s">
        <v>244</v>
      </c>
      <c r="E19" s="154"/>
      <c r="F19" s="127" t="s">
        <v>245</v>
      </c>
      <c r="G19" s="128" t="s">
        <v>246</v>
      </c>
      <c r="H19" s="129" t="s">
        <v>247</v>
      </c>
    </row>
    <row r="20" spans="2:8" ht="18" customHeight="1">
      <c r="B20" s="105" t="s">
        <v>59</v>
      </c>
      <c r="C20" s="119" t="s">
        <v>248</v>
      </c>
      <c r="D20" s="125" t="s">
        <v>244</v>
      </c>
      <c r="E20" s="154"/>
      <c r="F20" s="127" t="s">
        <v>249</v>
      </c>
      <c r="G20" s="128" t="s">
        <v>250</v>
      </c>
      <c r="H20" s="129" t="s">
        <v>251</v>
      </c>
    </row>
    <row r="21" spans="2:8" ht="15.95" customHeight="1">
      <c r="B21" s="105" t="s">
        <v>62</v>
      </c>
      <c r="C21" s="119" t="s">
        <v>252</v>
      </c>
      <c r="D21" s="125" t="s">
        <v>244</v>
      </c>
      <c r="E21" s="154"/>
      <c r="F21" s="127" t="s">
        <v>253</v>
      </c>
      <c r="G21" s="128" t="s">
        <v>254</v>
      </c>
      <c r="H21" s="129" t="s">
        <v>255</v>
      </c>
    </row>
    <row r="22" spans="2:8" ht="54.95" customHeight="1">
      <c r="B22" s="102" t="s">
        <v>256</v>
      </c>
      <c r="C22" s="103"/>
      <c r="D22" s="103"/>
      <c r="E22" s="103"/>
      <c r="F22" s="103"/>
      <c r="G22" s="103"/>
      <c r="H22" s="103"/>
    </row>
    <row r="23" spans="2:8" ht="54.95" customHeight="1">
      <c r="B23" s="132" t="s">
        <v>46</v>
      </c>
      <c r="C23" s="133" t="s">
        <v>47</v>
      </c>
      <c r="D23" s="132" t="s">
        <v>257</v>
      </c>
      <c r="E23" s="134" t="s">
        <v>258</v>
      </c>
      <c r="F23" s="135" t="s">
        <v>259</v>
      </c>
      <c r="G23" s="136" t="s">
        <v>260</v>
      </c>
      <c r="H23" s="133" t="s">
        <v>261</v>
      </c>
    </row>
    <row r="24" spans="2:8" ht="54.95" customHeight="1">
      <c r="B24" s="105" t="s">
        <v>66</v>
      </c>
      <c r="C24" s="42" t="s">
        <v>262</v>
      </c>
      <c r="D24" s="137" t="s">
        <v>263</v>
      </c>
      <c r="E24" s="154"/>
      <c r="F24" s="127" t="s">
        <v>264</v>
      </c>
      <c r="G24" s="128" t="s">
        <v>265</v>
      </c>
      <c r="H24" s="129" t="s">
        <v>266</v>
      </c>
    </row>
    <row r="25" spans="2:8" ht="54.95" customHeight="1">
      <c r="B25" s="105" t="s">
        <v>69</v>
      </c>
      <c r="C25" s="42" t="s">
        <v>267</v>
      </c>
      <c r="D25" s="137" t="s">
        <v>263</v>
      </c>
      <c r="E25" s="154"/>
      <c r="F25" s="127" t="s">
        <v>268</v>
      </c>
      <c r="G25" s="128" t="s">
        <v>269</v>
      </c>
      <c r="H25" s="129" t="s">
        <v>270</v>
      </c>
    </row>
    <row r="26" spans="2:8" ht="54.95" customHeight="1">
      <c r="B26" s="105" t="s">
        <v>71</v>
      </c>
      <c r="C26" s="42" t="s">
        <v>271</v>
      </c>
      <c r="D26" s="137" t="s">
        <v>263</v>
      </c>
      <c r="E26" s="154"/>
      <c r="F26" s="127" t="s">
        <v>272</v>
      </c>
      <c r="G26" s="128" t="s">
        <v>273</v>
      </c>
      <c r="H26" s="129" t="s">
        <v>274</v>
      </c>
    </row>
    <row r="27" spans="2:8" ht="54.95" customHeight="1">
      <c r="B27" s="105" t="s">
        <v>73</v>
      </c>
      <c r="C27" s="42" t="s">
        <v>275</v>
      </c>
      <c r="D27" s="137" t="s">
        <v>263</v>
      </c>
      <c r="E27" s="154"/>
      <c r="F27" s="127" t="s">
        <v>276</v>
      </c>
      <c r="G27" s="128" t="s">
        <v>277</v>
      </c>
      <c r="H27" s="129" t="s">
        <v>278</v>
      </c>
    </row>
    <row r="28" spans="2:8" ht="54.95" customHeight="1">
      <c r="B28" s="105" t="s">
        <v>75</v>
      </c>
      <c r="C28" s="42" t="s">
        <v>279</v>
      </c>
      <c r="D28" s="137" t="s">
        <v>263</v>
      </c>
      <c r="E28" s="154"/>
      <c r="F28" s="127" t="s">
        <v>280</v>
      </c>
      <c r="G28" s="128" t="s">
        <v>281</v>
      </c>
      <c r="H28" s="129" t="s">
        <v>282</v>
      </c>
    </row>
    <row r="29" spans="2:8" ht="54.95" customHeight="1">
      <c r="B29" s="105" t="s">
        <v>77</v>
      </c>
      <c r="C29" s="42" t="s">
        <v>283</v>
      </c>
      <c r="D29" s="137" t="s">
        <v>263</v>
      </c>
      <c r="E29" s="154"/>
      <c r="F29" s="127" t="s">
        <v>284</v>
      </c>
      <c r="G29" s="128" t="s">
        <v>285</v>
      </c>
      <c r="H29" s="129" t="s">
        <v>286</v>
      </c>
    </row>
    <row r="30" spans="2:8" ht="54.95" customHeight="1">
      <c r="B30" s="105" t="s">
        <v>79</v>
      </c>
      <c r="C30" s="42" t="s">
        <v>287</v>
      </c>
      <c r="D30" s="137" t="s">
        <v>263</v>
      </c>
      <c r="E30" s="154"/>
      <c r="F30" s="127" t="s">
        <v>288</v>
      </c>
      <c r="G30" s="128" t="s">
        <v>289</v>
      </c>
      <c r="H30" s="129" t="s">
        <v>290</v>
      </c>
    </row>
    <row r="31" spans="2:8" ht="18" customHeight="1">
      <c r="B31" s="105" t="s">
        <v>81</v>
      </c>
      <c r="C31" s="42" t="s">
        <v>291</v>
      </c>
      <c r="D31" s="137" t="s">
        <v>263</v>
      </c>
      <c r="E31" s="154"/>
      <c r="F31" s="127" t="s">
        <v>327</v>
      </c>
      <c r="G31" s="128" t="s">
        <v>328</v>
      </c>
      <c r="H31" s="129" t="s">
        <v>329</v>
      </c>
    </row>
    <row r="32" spans="2:8" ht="30" customHeight="1">
      <c r="B32" s="105" t="s">
        <v>84</v>
      </c>
      <c r="C32" s="42" t="s">
        <v>292</v>
      </c>
      <c r="D32" s="138" t="s">
        <v>236</v>
      </c>
      <c r="E32" s="146"/>
      <c r="F32" s="139" t="s">
        <v>293</v>
      </c>
      <c r="G32" s="128" t="s">
        <v>294</v>
      </c>
      <c r="H32" s="140" t="s">
        <v>295</v>
      </c>
    </row>
    <row r="33" spans="2:8" ht="20.100000000000001" customHeight="1">
      <c r="B33" s="102" t="s">
        <v>296</v>
      </c>
      <c r="C33" s="103"/>
      <c r="D33" s="1"/>
      <c r="E33" s="1"/>
      <c r="F33" s="1"/>
      <c r="G33" s="1"/>
      <c r="H33" s="2"/>
    </row>
    <row r="34" spans="2:8" ht="39.950000000000003" customHeight="1">
      <c r="B34" s="141" t="s">
        <v>297</v>
      </c>
      <c r="C34" s="173" t="s">
        <v>298</v>
      </c>
      <c r="D34" s="199"/>
      <c r="E34" s="199"/>
      <c r="F34" s="199"/>
      <c r="G34" s="199"/>
      <c r="H34" s="200"/>
    </row>
    <row r="35" spans="2:8" ht="20.100000000000001" customHeight="1">
      <c r="B35" s="143" t="s">
        <v>88</v>
      </c>
      <c r="C35" s="42" t="s">
        <v>89</v>
      </c>
      <c r="D35" s="137" t="s">
        <v>244</v>
      </c>
      <c r="E35" s="157"/>
      <c r="F35" s="144" t="s">
        <v>299</v>
      </c>
      <c r="G35" s="145" t="s">
        <v>300</v>
      </c>
      <c r="H35" s="121"/>
    </row>
    <row r="36" spans="2:8" ht="20.100000000000001" customHeight="1">
      <c r="B36" s="130" t="s">
        <v>241</v>
      </c>
      <c r="C36" s="150" t="s">
        <v>381</v>
      </c>
      <c r="D36" s="1"/>
      <c r="E36" s="1"/>
      <c r="F36" s="1"/>
      <c r="G36" s="1"/>
      <c r="H36" s="2"/>
    </row>
    <row r="37" spans="2:8" ht="20.100000000000001" customHeight="1">
      <c r="B37" s="143" t="s">
        <v>91</v>
      </c>
      <c r="C37" s="42" t="s">
        <v>92</v>
      </c>
      <c r="D37" s="137" t="s">
        <v>244</v>
      </c>
      <c r="E37" s="157"/>
      <c r="F37" s="144" t="s">
        <v>299</v>
      </c>
      <c r="G37" s="145" t="s">
        <v>300</v>
      </c>
      <c r="H37" s="121"/>
    </row>
    <row r="38" spans="2:8" ht="20.100000000000001" customHeight="1">
      <c r="B38" s="143" t="s">
        <v>94</v>
      </c>
      <c r="C38" s="42" t="s">
        <v>302</v>
      </c>
      <c r="D38" s="137" t="s">
        <v>244</v>
      </c>
      <c r="E38" s="157"/>
      <c r="F38" s="144" t="s">
        <v>299</v>
      </c>
      <c r="G38" s="145" t="s">
        <v>300</v>
      </c>
      <c r="H38" s="121"/>
    </row>
    <row r="39" spans="2:8" ht="20.100000000000001" customHeight="1">
      <c r="B39" s="143" t="s">
        <v>97</v>
      </c>
      <c r="C39" s="42" t="s">
        <v>98</v>
      </c>
      <c r="D39" s="137" t="s">
        <v>244</v>
      </c>
      <c r="E39" s="157"/>
      <c r="F39" s="144" t="s">
        <v>299</v>
      </c>
      <c r="G39" s="145" t="s">
        <v>300</v>
      </c>
      <c r="H39" s="121"/>
    </row>
    <row r="40" spans="2:8" ht="20.100000000000001" customHeight="1">
      <c r="B40" s="143" t="s">
        <v>100</v>
      </c>
      <c r="C40" s="42" t="s">
        <v>101</v>
      </c>
      <c r="D40" s="137" t="s">
        <v>244</v>
      </c>
      <c r="E40" s="157"/>
      <c r="F40" s="144" t="s">
        <v>299</v>
      </c>
      <c r="G40" s="145" t="s">
        <v>300</v>
      </c>
      <c r="H40" s="121"/>
    </row>
    <row r="41" spans="2:8" ht="18" customHeight="1">
      <c r="B41" s="143" t="s">
        <v>103</v>
      </c>
      <c r="C41" s="42" t="s">
        <v>104</v>
      </c>
      <c r="D41" s="84" t="s">
        <v>244</v>
      </c>
      <c r="E41" s="146"/>
      <c r="F41" s="127" t="s">
        <v>299</v>
      </c>
      <c r="G41" s="128" t="s">
        <v>300</v>
      </c>
      <c r="H41" s="129" t="s">
        <v>298</v>
      </c>
    </row>
    <row r="42" spans="2:8" ht="30" customHeight="1">
      <c r="B42" s="143" t="s">
        <v>106</v>
      </c>
      <c r="C42" s="42" t="s">
        <v>303</v>
      </c>
      <c r="D42" s="84" t="s">
        <v>244</v>
      </c>
      <c r="E42" s="146"/>
      <c r="F42" s="127" t="s">
        <v>299</v>
      </c>
      <c r="G42" s="128" t="s">
        <v>300</v>
      </c>
      <c r="H42" s="129" t="s">
        <v>298</v>
      </c>
    </row>
    <row r="43" spans="2:8" ht="20.100000000000001" customHeight="1">
      <c r="B43" s="102" t="s">
        <v>304</v>
      </c>
      <c r="C43" s="103"/>
      <c r="D43" s="103"/>
      <c r="E43" s="103"/>
      <c r="F43" s="103"/>
      <c r="G43" s="103"/>
      <c r="H43" s="103"/>
    </row>
    <row r="44" spans="2:8" ht="20.100000000000001" customHeight="1">
      <c r="B44" s="141" t="s">
        <v>297</v>
      </c>
      <c r="C44" s="142" t="s">
        <v>298</v>
      </c>
      <c r="D44" s="1"/>
      <c r="E44" s="1"/>
      <c r="F44" s="1"/>
      <c r="G44" s="1"/>
      <c r="H44" s="2"/>
    </row>
    <row r="45" spans="2:8" ht="20.100000000000001" customHeight="1">
      <c r="B45" s="143" t="s">
        <v>110</v>
      </c>
      <c r="C45" s="42" t="s">
        <v>111</v>
      </c>
      <c r="D45" s="137" t="s">
        <v>244</v>
      </c>
      <c r="E45" s="157"/>
      <c r="F45" s="144" t="s">
        <v>299</v>
      </c>
      <c r="G45" s="145" t="s">
        <v>300</v>
      </c>
      <c r="H45" s="121"/>
    </row>
    <row r="46" spans="2:8" ht="20.100000000000001" customHeight="1">
      <c r="B46" s="143" t="s">
        <v>113</v>
      </c>
      <c r="C46" s="42" t="s">
        <v>114</v>
      </c>
      <c r="D46" s="137" t="s">
        <v>244</v>
      </c>
      <c r="E46" s="157"/>
      <c r="F46" s="144" t="s">
        <v>299</v>
      </c>
      <c r="G46" s="145" t="s">
        <v>300</v>
      </c>
      <c r="H46" s="121"/>
    </row>
    <row r="47" spans="2:8" ht="18" customHeight="1">
      <c r="B47" s="143" t="s">
        <v>116</v>
      </c>
      <c r="C47" s="42" t="s">
        <v>117</v>
      </c>
      <c r="D47" s="84" t="s">
        <v>244</v>
      </c>
      <c r="E47" s="146"/>
      <c r="F47" s="127" t="s">
        <v>299</v>
      </c>
      <c r="G47" s="128" t="s">
        <v>300</v>
      </c>
      <c r="H47" s="129" t="s">
        <v>298</v>
      </c>
    </row>
    <row r="48" spans="2:8" ht="30" customHeight="1">
      <c r="B48" s="143" t="s">
        <v>119</v>
      </c>
      <c r="C48" s="42" t="s">
        <v>120</v>
      </c>
      <c r="D48" s="84" t="s">
        <v>244</v>
      </c>
      <c r="E48" s="146"/>
      <c r="F48" s="127" t="s">
        <v>299</v>
      </c>
      <c r="G48" s="128" t="s">
        <v>300</v>
      </c>
      <c r="H48" s="129" t="s">
        <v>298</v>
      </c>
    </row>
    <row r="49" spans="2:8" ht="20.100000000000001" customHeight="1">
      <c r="B49" s="102" t="s">
        <v>306</v>
      </c>
      <c r="C49" s="103"/>
      <c r="D49" s="1"/>
      <c r="E49" s="1"/>
      <c r="F49" s="1"/>
      <c r="G49" s="1"/>
      <c r="H49" s="2"/>
    </row>
    <row r="50" spans="2:8" ht="39.950000000000003" customHeight="1">
      <c r="B50" s="141" t="s">
        <v>297</v>
      </c>
      <c r="C50" s="173" t="s">
        <v>298</v>
      </c>
      <c r="D50" s="199"/>
      <c r="E50" s="199"/>
      <c r="F50" s="199"/>
      <c r="G50" s="199"/>
      <c r="H50" s="200"/>
    </row>
    <row r="51" spans="2:8" ht="20.100000000000001" customHeight="1">
      <c r="B51" s="143" t="s">
        <v>123</v>
      </c>
      <c r="C51" s="42" t="s">
        <v>307</v>
      </c>
      <c r="D51" s="137" t="s">
        <v>244</v>
      </c>
      <c r="E51" s="157"/>
      <c r="F51" s="144" t="s">
        <v>299</v>
      </c>
      <c r="G51" s="145" t="s">
        <v>300</v>
      </c>
      <c r="H51" s="121"/>
    </row>
    <row r="52" spans="2:8" ht="20.100000000000001" customHeight="1">
      <c r="B52" s="130" t="s">
        <v>241</v>
      </c>
      <c r="C52" s="150" t="s">
        <v>392</v>
      </c>
      <c r="D52" s="1"/>
      <c r="E52" s="1"/>
      <c r="F52" s="1"/>
      <c r="G52" s="1"/>
      <c r="H52" s="2"/>
    </row>
    <row r="53" spans="2:8" ht="20.100000000000001" customHeight="1">
      <c r="B53" s="143" t="s">
        <v>126</v>
      </c>
      <c r="C53" s="42" t="s">
        <v>309</v>
      </c>
      <c r="D53" s="137" t="s">
        <v>244</v>
      </c>
      <c r="E53" s="157"/>
      <c r="F53" s="144" t="s">
        <v>299</v>
      </c>
      <c r="G53" s="145" t="s">
        <v>300</v>
      </c>
      <c r="H53" s="121"/>
    </row>
    <row r="54" spans="2:8" ht="20.100000000000001" customHeight="1">
      <c r="B54" s="143" t="s">
        <v>129</v>
      </c>
      <c r="C54" s="42" t="s">
        <v>130</v>
      </c>
      <c r="D54" s="137" t="s">
        <v>244</v>
      </c>
      <c r="E54" s="157"/>
      <c r="F54" s="144" t="s">
        <v>299</v>
      </c>
      <c r="G54" s="145" t="s">
        <v>300</v>
      </c>
      <c r="H54" s="121"/>
    </row>
    <row r="55" spans="2:8" ht="18" customHeight="1">
      <c r="B55" s="143" t="s">
        <v>132</v>
      </c>
      <c r="C55" s="42" t="s">
        <v>310</v>
      </c>
      <c r="D55" s="1"/>
      <c r="E55" s="1"/>
      <c r="F55" s="1"/>
      <c r="G55" s="1"/>
      <c r="H55" s="2"/>
    </row>
    <row r="56" spans="2:8" ht="30" customHeight="1">
      <c r="B56" s="143" t="s">
        <v>135</v>
      </c>
      <c r="C56" s="177" t="s">
        <v>311</v>
      </c>
      <c r="D56" s="199"/>
      <c r="E56" s="199"/>
      <c r="F56" s="199"/>
      <c r="G56" s="199"/>
      <c r="H56" s="200"/>
    </row>
    <row r="57" spans="2:8" ht="20.100000000000001" customHeight="1">
      <c r="B57" s="102" t="s">
        <v>313</v>
      </c>
      <c r="C57" s="103"/>
      <c r="D57" s="103"/>
      <c r="E57" s="103"/>
      <c r="F57" s="103"/>
      <c r="G57" s="103"/>
      <c r="H57" s="103"/>
    </row>
    <row r="58" spans="2:8" ht="20.100000000000001" customHeight="1">
      <c r="B58" s="141" t="s">
        <v>297</v>
      </c>
      <c r="C58" s="142" t="s">
        <v>298</v>
      </c>
      <c r="D58" s="1"/>
      <c r="E58" s="1"/>
      <c r="F58" s="1"/>
      <c r="G58" s="1"/>
      <c r="H58" s="2"/>
    </row>
    <row r="59" spans="2:8" ht="20.100000000000001" customHeight="1">
      <c r="B59" s="143" t="s">
        <v>139</v>
      </c>
      <c r="C59" s="42" t="s">
        <v>314</v>
      </c>
      <c r="D59" s="137" t="s">
        <v>244</v>
      </c>
      <c r="E59" s="157"/>
      <c r="F59" s="144" t="s">
        <v>299</v>
      </c>
      <c r="G59" s="145" t="s">
        <v>300</v>
      </c>
      <c r="H59" s="121"/>
    </row>
    <row r="60" spans="2:8" ht="20.100000000000001" customHeight="1">
      <c r="B60" s="143" t="s">
        <v>142</v>
      </c>
      <c r="C60" s="42" t="s">
        <v>143</v>
      </c>
      <c r="D60" s="137" t="s">
        <v>244</v>
      </c>
      <c r="E60" s="157"/>
      <c r="F60" s="144" t="s">
        <v>299</v>
      </c>
      <c r="G60" s="145" t="s">
        <v>300</v>
      </c>
      <c r="H60" s="121"/>
    </row>
    <row r="61" spans="2:8" ht="20.100000000000001" customHeight="1">
      <c r="B61" s="143" t="s">
        <v>145</v>
      </c>
      <c r="C61" s="42" t="s">
        <v>315</v>
      </c>
      <c r="D61" s="137" t="s">
        <v>244</v>
      </c>
      <c r="E61" s="157"/>
      <c r="F61" s="144" t="s">
        <v>299</v>
      </c>
      <c r="G61" s="145" t="s">
        <v>300</v>
      </c>
      <c r="H61" s="121"/>
    </row>
    <row r="62" spans="2:8" ht="20.100000000000001" customHeight="1">
      <c r="B62" s="143" t="s">
        <v>148</v>
      </c>
      <c r="C62" s="42" t="s">
        <v>316</v>
      </c>
      <c r="D62" s="137" t="s">
        <v>244</v>
      </c>
      <c r="E62" s="157"/>
      <c r="F62" s="144" t="s">
        <v>299</v>
      </c>
      <c r="G62" s="145" t="s">
        <v>300</v>
      </c>
      <c r="H62" s="121"/>
    </row>
    <row r="63" spans="2:8" ht="18" customHeight="1">
      <c r="B63" s="143" t="s">
        <v>151</v>
      </c>
      <c r="C63" s="42" t="s">
        <v>152</v>
      </c>
      <c r="D63" s="137" t="s">
        <v>244</v>
      </c>
      <c r="E63" s="157"/>
      <c r="F63" s="144" t="s">
        <v>299</v>
      </c>
      <c r="G63" s="145" t="s">
        <v>300</v>
      </c>
      <c r="H63" s="2"/>
    </row>
    <row r="64" spans="2:8" ht="30" customHeight="1">
      <c r="B64" s="143" t="s">
        <v>154</v>
      </c>
      <c r="C64" s="42" t="s">
        <v>155</v>
      </c>
      <c r="D64" s="137" t="s">
        <v>244</v>
      </c>
      <c r="E64" s="157"/>
      <c r="F64" s="144" t="s">
        <v>299</v>
      </c>
      <c r="G64" s="145" t="s">
        <v>300</v>
      </c>
      <c r="H64" s="2"/>
    </row>
    <row r="65" spans="2:8" ht="20.100000000000001" customHeight="1">
      <c r="B65" s="141" t="s">
        <v>297</v>
      </c>
      <c r="C65" s="142" t="s">
        <v>298</v>
      </c>
      <c r="D65" s="1"/>
      <c r="E65" s="1"/>
      <c r="F65" s="1"/>
      <c r="G65" s="1"/>
      <c r="H65" s="2"/>
    </row>
    <row r="67" spans="2:8" ht="30" customHeight="1">
      <c r="B67" s="147" t="s">
        <v>317</v>
      </c>
      <c r="C67" s="170" t="s">
        <v>318</v>
      </c>
      <c r="D67" s="199"/>
      <c r="E67" s="199"/>
      <c r="F67" s="199"/>
      <c r="G67" s="199"/>
      <c r="H67" s="200"/>
    </row>
  </sheetData>
  <mergeCells count="7">
    <mergeCell ref="C67:H67"/>
    <mergeCell ref="C16:H16"/>
    <mergeCell ref="C50:H50"/>
    <mergeCell ref="N12:O12"/>
    <mergeCell ref="C34:H34"/>
    <mergeCell ref="C56:H56"/>
    <mergeCell ref="H12:M12"/>
  </mergeCell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B1:O67"/>
  <sheetViews>
    <sheetView topLeftCell="A29" workbookViewId="0">
      <selection activeCell="G31" sqref="G31"/>
    </sheetView>
  </sheetViews>
  <sheetFormatPr defaultRowHeight="14.45"/>
  <cols>
    <col min="1" max="1" width="2" customWidth="1"/>
    <col min="2" max="2" width="28" customWidth="1"/>
    <col min="3" max="3" width="45" bestFit="1" customWidth="1"/>
    <col min="4" max="4" width="18" customWidth="1"/>
    <col min="5" max="7" width="14" customWidth="1"/>
    <col min="8" max="8" width="55" customWidth="1"/>
    <col min="9" max="13" width="30.140625" customWidth="1"/>
  </cols>
  <sheetData>
    <row r="1" spans="2:15" ht="27.95" customHeight="1">
      <c r="B1" s="118" t="s">
        <v>437</v>
      </c>
      <c r="C1" s="68"/>
      <c r="D1" s="68"/>
      <c r="E1" s="68"/>
      <c r="F1" s="68"/>
      <c r="G1" s="68"/>
      <c r="H1" s="68"/>
    </row>
    <row r="2" spans="2:15" ht="15.95" customHeight="1">
      <c r="B2" s="19" t="s">
        <v>216</v>
      </c>
      <c r="C2" s="43" t="s">
        <v>217</v>
      </c>
      <c r="D2" s="43" t="s">
        <v>218</v>
      </c>
      <c r="E2" s="103"/>
      <c r="F2" s="103"/>
      <c r="G2" s="103"/>
      <c r="H2" s="43" t="s">
        <v>219</v>
      </c>
    </row>
    <row r="3" spans="2:15" ht="15.95" customHeight="1">
      <c r="B3" s="119" t="s">
        <v>220</v>
      </c>
      <c r="C3" s="42"/>
      <c r="D3" s="121"/>
      <c r="E3" s="121"/>
      <c r="F3" s="121"/>
      <c r="G3" s="121"/>
      <c r="H3" s="121"/>
    </row>
    <row r="4" spans="2:15" ht="15.95" customHeight="1">
      <c r="B4" s="119" t="s">
        <v>199</v>
      </c>
      <c r="C4" s="42"/>
      <c r="D4" s="121"/>
      <c r="E4" s="121"/>
      <c r="F4" s="121"/>
      <c r="G4" s="121"/>
      <c r="H4" s="121"/>
    </row>
    <row r="5" spans="2:15" ht="15.95" customHeight="1">
      <c r="B5" s="119" t="s">
        <v>224</v>
      </c>
      <c r="C5" s="42"/>
      <c r="D5" s="121"/>
      <c r="E5" s="121"/>
      <c r="F5" s="121"/>
      <c r="G5" s="121"/>
      <c r="H5" s="121"/>
    </row>
    <row r="6" spans="2:15" ht="15.95" customHeight="1">
      <c r="B6" s="119" t="s">
        <v>226</v>
      </c>
      <c r="C6" s="42"/>
      <c r="D6" s="121"/>
      <c r="E6" s="121"/>
      <c r="F6" s="121"/>
      <c r="G6" s="121"/>
      <c r="H6" s="121"/>
    </row>
    <row r="7" spans="2:15" ht="15.95" customHeight="1">
      <c r="B7" s="119" t="s">
        <v>227</v>
      </c>
      <c r="C7" s="42"/>
      <c r="D7" s="121"/>
      <c r="E7" s="121"/>
      <c r="F7" s="121"/>
      <c r="G7" s="121"/>
      <c r="H7" s="121"/>
    </row>
    <row r="8" spans="2:15" ht="15.95" customHeight="1">
      <c r="B8" s="119" t="s">
        <v>229</v>
      </c>
      <c r="C8" s="42"/>
      <c r="D8" s="121"/>
      <c r="E8" s="121"/>
      <c r="F8" s="121"/>
      <c r="G8" s="121"/>
      <c r="H8" s="121"/>
    </row>
    <row r="9" spans="2:15" ht="15.95" customHeight="1">
      <c r="B9" s="119" t="s">
        <v>231</v>
      </c>
      <c r="C9" s="42"/>
      <c r="D9" s="121"/>
      <c r="E9" s="121"/>
      <c r="F9" s="121"/>
      <c r="G9" s="121"/>
      <c r="H9" s="121"/>
    </row>
    <row r="10" spans="2:15" ht="15.95" customHeight="1">
      <c r="B10" s="119" t="s">
        <v>201</v>
      </c>
      <c r="C10" s="42"/>
      <c r="D10" s="121"/>
      <c r="E10" s="121"/>
      <c r="F10" s="121"/>
      <c r="G10" s="121"/>
      <c r="H10" s="121"/>
    </row>
    <row r="11" spans="2:15" ht="15.95" customHeight="1">
      <c r="B11" s="119" t="s">
        <v>203</v>
      </c>
      <c r="C11" s="42"/>
      <c r="D11" s="121"/>
      <c r="E11" s="121"/>
      <c r="F11" s="121"/>
      <c r="G11" s="121"/>
      <c r="H11" s="121"/>
    </row>
    <row r="12" spans="2:15" ht="15.95" customHeight="1">
      <c r="B12" s="119" t="s">
        <v>232</v>
      </c>
      <c r="C12" s="42"/>
      <c r="D12" s="121"/>
      <c r="E12" s="121"/>
      <c r="F12" s="121"/>
      <c r="G12" s="121"/>
      <c r="H12" s="174"/>
      <c r="I12" s="199"/>
      <c r="J12" s="199"/>
      <c r="K12" s="199"/>
      <c r="L12" s="199"/>
      <c r="M12" s="200"/>
      <c r="N12" s="201"/>
      <c r="O12" s="201"/>
    </row>
    <row r="13" spans="2:15" ht="15.95" customHeight="1">
      <c r="B13" s="119" t="s">
        <v>161</v>
      </c>
      <c r="C13" s="42"/>
      <c r="D13" s="121"/>
      <c r="E13" s="121"/>
      <c r="F13" s="121"/>
      <c r="G13" s="121"/>
      <c r="H13" s="121"/>
    </row>
    <row r="14" spans="2:15" ht="15.95" customHeight="1">
      <c r="B14" s="68"/>
      <c r="C14" s="68"/>
      <c r="D14" s="68"/>
      <c r="E14" s="68"/>
      <c r="F14" s="68"/>
      <c r="G14" s="68"/>
      <c r="H14" s="68"/>
      <c r="I14" s="1"/>
      <c r="J14" s="1"/>
      <c r="K14" s="1"/>
      <c r="L14" s="1"/>
      <c r="M14" s="2"/>
    </row>
    <row r="15" spans="2:15" ht="54.95" customHeight="1">
      <c r="B15" s="123" t="s">
        <v>46</v>
      </c>
      <c r="C15" s="124" t="s">
        <v>47</v>
      </c>
      <c r="D15" s="1"/>
      <c r="E15" s="1"/>
      <c r="F15" s="1"/>
      <c r="G15" s="1"/>
      <c r="H15" s="2"/>
    </row>
    <row r="16" spans="2:15" ht="39.950000000000003" customHeight="1">
      <c r="B16" s="102" t="s">
        <v>234</v>
      </c>
      <c r="C16" s="172"/>
      <c r="D16" s="199"/>
      <c r="E16" s="199"/>
      <c r="F16" s="199"/>
      <c r="G16" s="199"/>
      <c r="H16" s="200"/>
    </row>
    <row r="17" spans="2:8" ht="54.95" customHeight="1">
      <c r="B17" s="105" t="s">
        <v>52</v>
      </c>
      <c r="C17" s="119" t="s">
        <v>235</v>
      </c>
      <c r="D17" s="125" t="s">
        <v>236</v>
      </c>
      <c r="E17" s="154"/>
      <c r="F17" s="127" t="s">
        <v>237</v>
      </c>
      <c r="G17" s="128" t="s">
        <v>238</v>
      </c>
      <c r="H17" s="129" t="s">
        <v>239</v>
      </c>
    </row>
    <row r="18" spans="2:8" ht="54.95" customHeight="1">
      <c r="B18" s="130" t="s">
        <v>241</v>
      </c>
      <c r="C18" s="150" t="s">
        <v>330</v>
      </c>
      <c r="D18" s="1"/>
      <c r="E18" s="1"/>
      <c r="F18" s="1"/>
      <c r="G18" s="1"/>
      <c r="H18" s="2"/>
    </row>
    <row r="19" spans="2:8" ht="54.95" customHeight="1">
      <c r="B19" s="105" t="s">
        <v>56</v>
      </c>
      <c r="C19" s="119" t="s">
        <v>243</v>
      </c>
      <c r="D19" s="125" t="s">
        <v>244</v>
      </c>
      <c r="E19" s="154"/>
      <c r="F19" s="127" t="s">
        <v>245</v>
      </c>
      <c r="G19" s="128" t="s">
        <v>246</v>
      </c>
      <c r="H19" s="129" t="s">
        <v>247</v>
      </c>
    </row>
    <row r="20" spans="2:8" ht="18" customHeight="1">
      <c r="B20" s="105" t="s">
        <v>59</v>
      </c>
      <c r="C20" s="119" t="s">
        <v>248</v>
      </c>
      <c r="D20" s="125" t="s">
        <v>244</v>
      </c>
      <c r="E20" s="154"/>
      <c r="F20" s="127" t="s">
        <v>249</v>
      </c>
      <c r="G20" s="128" t="s">
        <v>250</v>
      </c>
      <c r="H20" s="129" t="s">
        <v>251</v>
      </c>
    </row>
    <row r="21" spans="2:8" ht="15.95" customHeight="1">
      <c r="B21" s="105" t="s">
        <v>62</v>
      </c>
      <c r="C21" s="119" t="s">
        <v>252</v>
      </c>
      <c r="D21" s="125" t="s">
        <v>244</v>
      </c>
      <c r="E21" s="154"/>
      <c r="F21" s="127" t="s">
        <v>253</v>
      </c>
      <c r="G21" s="128" t="s">
        <v>254</v>
      </c>
      <c r="H21" s="129" t="s">
        <v>255</v>
      </c>
    </row>
    <row r="22" spans="2:8" ht="54.95" customHeight="1">
      <c r="B22" s="102" t="s">
        <v>256</v>
      </c>
      <c r="C22" s="103"/>
      <c r="D22" s="103"/>
      <c r="E22" s="103"/>
      <c r="F22" s="103"/>
      <c r="G22" s="103"/>
      <c r="H22" s="103"/>
    </row>
    <row r="23" spans="2:8" ht="54.95" customHeight="1">
      <c r="B23" s="132" t="s">
        <v>46</v>
      </c>
      <c r="C23" s="133" t="s">
        <v>47</v>
      </c>
      <c r="D23" s="132" t="s">
        <v>257</v>
      </c>
      <c r="E23" s="134" t="s">
        <v>258</v>
      </c>
      <c r="F23" s="135" t="s">
        <v>259</v>
      </c>
      <c r="G23" s="136" t="s">
        <v>260</v>
      </c>
      <c r="H23" s="133" t="s">
        <v>261</v>
      </c>
    </row>
    <row r="24" spans="2:8" ht="54.95" customHeight="1">
      <c r="B24" s="105" t="s">
        <v>66</v>
      </c>
      <c r="C24" s="42" t="s">
        <v>262</v>
      </c>
      <c r="D24" s="137" t="s">
        <v>263</v>
      </c>
      <c r="E24" s="154"/>
      <c r="F24" s="127" t="s">
        <v>264</v>
      </c>
      <c r="G24" s="128" t="s">
        <v>265</v>
      </c>
      <c r="H24" s="129" t="s">
        <v>266</v>
      </c>
    </row>
    <row r="25" spans="2:8" ht="54.95" customHeight="1">
      <c r="B25" s="105" t="s">
        <v>69</v>
      </c>
      <c r="C25" s="42" t="s">
        <v>267</v>
      </c>
      <c r="D25" s="137" t="s">
        <v>263</v>
      </c>
      <c r="E25" s="154"/>
      <c r="F25" s="127" t="s">
        <v>268</v>
      </c>
      <c r="G25" s="128" t="s">
        <v>269</v>
      </c>
      <c r="H25" s="129" t="s">
        <v>270</v>
      </c>
    </row>
    <row r="26" spans="2:8" ht="54.95" customHeight="1">
      <c r="B26" s="105" t="s">
        <v>71</v>
      </c>
      <c r="C26" s="42" t="s">
        <v>271</v>
      </c>
      <c r="D26" s="137" t="s">
        <v>263</v>
      </c>
      <c r="E26" s="154"/>
      <c r="F26" s="127" t="s">
        <v>272</v>
      </c>
      <c r="G26" s="128" t="s">
        <v>273</v>
      </c>
      <c r="H26" s="129" t="s">
        <v>274</v>
      </c>
    </row>
    <row r="27" spans="2:8" ht="54.95" customHeight="1">
      <c r="B27" s="105" t="s">
        <v>73</v>
      </c>
      <c r="C27" s="42" t="s">
        <v>275</v>
      </c>
      <c r="D27" s="137" t="s">
        <v>263</v>
      </c>
      <c r="E27" s="154"/>
      <c r="F27" s="127" t="s">
        <v>276</v>
      </c>
      <c r="G27" s="128" t="s">
        <v>277</v>
      </c>
      <c r="H27" s="129" t="s">
        <v>278</v>
      </c>
    </row>
    <row r="28" spans="2:8" ht="54.95" customHeight="1">
      <c r="B28" s="105" t="s">
        <v>75</v>
      </c>
      <c r="C28" s="42" t="s">
        <v>279</v>
      </c>
      <c r="D28" s="137" t="s">
        <v>263</v>
      </c>
      <c r="E28" s="154"/>
      <c r="F28" s="127" t="s">
        <v>280</v>
      </c>
      <c r="G28" s="128" t="s">
        <v>281</v>
      </c>
      <c r="H28" s="129" t="s">
        <v>282</v>
      </c>
    </row>
    <row r="29" spans="2:8" ht="54.95" customHeight="1">
      <c r="B29" s="105" t="s">
        <v>77</v>
      </c>
      <c r="C29" s="42" t="s">
        <v>283</v>
      </c>
      <c r="D29" s="137" t="s">
        <v>263</v>
      </c>
      <c r="E29" s="154"/>
      <c r="F29" s="127" t="s">
        <v>284</v>
      </c>
      <c r="G29" s="128" t="s">
        <v>285</v>
      </c>
      <c r="H29" s="129" t="s">
        <v>286</v>
      </c>
    </row>
    <row r="30" spans="2:8" ht="54.95" customHeight="1">
      <c r="B30" s="105" t="s">
        <v>79</v>
      </c>
      <c r="C30" s="42" t="s">
        <v>287</v>
      </c>
      <c r="D30" s="137" t="s">
        <v>263</v>
      </c>
      <c r="E30" s="154"/>
      <c r="F30" s="127" t="s">
        <v>288</v>
      </c>
      <c r="G30" s="128" t="s">
        <v>289</v>
      </c>
      <c r="H30" s="129" t="s">
        <v>290</v>
      </c>
    </row>
    <row r="31" spans="2:8" ht="18" customHeight="1">
      <c r="B31" s="105" t="s">
        <v>81</v>
      </c>
      <c r="C31" s="42" t="s">
        <v>291</v>
      </c>
      <c r="D31" s="137" t="s">
        <v>263</v>
      </c>
      <c r="E31" s="154"/>
      <c r="F31" s="127" t="s">
        <v>327</v>
      </c>
      <c r="G31" s="128" t="s">
        <v>328</v>
      </c>
      <c r="H31" s="129" t="s">
        <v>329</v>
      </c>
    </row>
    <row r="32" spans="2:8" ht="30" customHeight="1">
      <c r="B32" s="105" t="s">
        <v>84</v>
      </c>
      <c r="C32" s="42" t="s">
        <v>292</v>
      </c>
      <c r="D32" s="138" t="s">
        <v>236</v>
      </c>
      <c r="E32" s="146"/>
      <c r="F32" s="139" t="s">
        <v>293</v>
      </c>
      <c r="G32" s="128" t="s">
        <v>294</v>
      </c>
      <c r="H32" s="140" t="s">
        <v>295</v>
      </c>
    </row>
    <row r="33" spans="2:8" ht="20.100000000000001" customHeight="1">
      <c r="B33" s="102" t="s">
        <v>296</v>
      </c>
      <c r="C33" s="103"/>
      <c r="D33" s="1"/>
      <c r="E33" s="1"/>
      <c r="F33" s="1"/>
      <c r="G33" s="1"/>
      <c r="H33" s="2"/>
    </row>
    <row r="34" spans="2:8" ht="39.950000000000003" customHeight="1">
      <c r="B34" s="141" t="s">
        <v>297</v>
      </c>
      <c r="C34" s="173" t="s">
        <v>298</v>
      </c>
      <c r="D34" s="199"/>
      <c r="E34" s="199"/>
      <c r="F34" s="199"/>
      <c r="G34" s="199"/>
      <c r="H34" s="200"/>
    </row>
    <row r="35" spans="2:8" ht="20.100000000000001" customHeight="1">
      <c r="B35" s="143" t="s">
        <v>88</v>
      </c>
      <c r="C35" s="42" t="s">
        <v>89</v>
      </c>
      <c r="D35" s="137" t="s">
        <v>244</v>
      </c>
      <c r="E35" s="157"/>
      <c r="F35" s="144" t="s">
        <v>299</v>
      </c>
      <c r="G35" s="145" t="s">
        <v>300</v>
      </c>
      <c r="H35" s="121"/>
    </row>
    <row r="36" spans="2:8" ht="20.100000000000001" customHeight="1">
      <c r="B36" s="130" t="s">
        <v>241</v>
      </c>
      <c r="C36" s="150" t="s">
        <v>381</v>
      </c>
      <c r="D36" s="1"/>
      <c r="E36" s="1"/>
      <c r="F36" s="1"/>
      <c r="G36" s="1"/>
      <c r="H36" s="2"/>
    </row>
    <row r="37" spans="2:8" ht="20.100000000000001" customHeight="1">
      <c r="B37" s="143" t="s">
        <v>91</v>
      </c>
      <c r="C37" s="42" t="s">
        <v>92</v>
      </c>
      <c r="D37" s="137" t="s">
        <v>244</v>
      </c>
      <c r="E37" s="157"/>
      <c r="F37" s="144" t="s">
        <v>299</v>
      </c>
      <c r="G37" s="145" t="s">
        <v>300</v>
      </c>
      <c r="H37" s="121"/>
    </row>
    <row r="38" spans="2:8" ht="20.100000000000001" customHeight="1">
      <c r="B38" s="143" t="s">
        <v>94</v>
      </c>
      <c r="C38" s="42" t="s">
        <v>302</v>
      </c>
      <c r="D38" s="137" t="s">
        <v>244</v>
      </c>
      <c r="E38" s="157"/>
      <c r="F38" s="144" t="s">
        <v>299</v>
      </c>
      <c r="G38" s="145" t="s">
        <v>300</v>
      </c>
      <c r="H38" s="121"/>
    </row>
    <row r="39" spans="2:8" ht="20.100000000000001" customHeight="1">
      <c r="B39" s="143" t="s">
        <v>97</v>
      </c>
      <c r="C39" s="42" t="s">
        <v>98</v>
      </c>
      <c r="D39" s="137" t="s">
        <v>244</v>
      </c>
      <c r="E39" s="157"/>
      <c r="F39" s="144" t="s">
        <v>299</v>
      </c>
      <c r="G39" s="145" t="s">
        <v>300</v>
      </c>
      <c r="H39" s="121"/>
    </row>
    <row r="40" spans="2:8" ht="20.100000000000001" customHeight="1">
      <c r="B40" s="143" t="s">
        <v>100</v>
      </c>
      <c r="C40" s="42" t="s">
        <v>101</v>
      </c>
      <c r="D40" s="137" t="s">
        <v>244</v>
      </c>
      <c r="E40" s="157"/>
      <c r="F40" s="144" t="s">
        <v>299</v>
      </c>
      <c r="G40" s="145" t="s">
        <v>300</v>
      </c>
      <c r="H40" s="121"/>
    </row>
    <row r="41" spans="2:8" ht="18" customHeight="1">
      <c r="B41" s="143" t="s">
        <v>103</v>
      </c>
      <c r="C41" s="42" t="s">
        <v>104</v>
      </c>
      <c r="D41" s="84" t="s">
        <v>244</v>
      </c>
      <c r="E41" s="146"/>
      <c r="F41" s="127" t="s">
        <v>299</v>
      </c>
      <c r="G41" s="128" t="s">
        <v>300</v>
      </c>
      <c r="H41" s="129" t="s">
        <v>298</v>
      </c>
    </row>
    <row r="42" spans="2:8" ht="30" customHeight="1">
      <c r="B42" s="143" t="s">
        <v>106</v>
      </c>
      <c r="C42" s="42" t="s">
        <v>303</v>
      </c>
      <c r="D42" s="84" t="s">
        <v>244</v>
      </c>
      <c r="E42" s="146"/>
      <c r="F42" s="127" t="s">
        <v>299</v>
      </c>
      <c r="G42" s="128" t="s">
        <v>300</v>
      </c>
      <c r="H42" s="129" t="s">
        <v>298</v>
      </c>
    </row>
    <row r="43" spans="2:8" ht="20.100000000000001" customHeight="1">
      <c r="B43" s="102" t="s">
        <v>304</v>
      </c>
      <c r="C43" s="103"/>
      <c r="D43" s="103"/>
      <c r="E43" s="103"/>
      <c r="F43" s="103"/>
      <c r="G43" s="103"/>
      <c r="H43" s="103"/>
    </row>
    <row r="44" spans="2:8" ht="20.100000000000001" customHeight="1">
      <c r="B44" s="141" t="s">
        <v>297</v>
      </c>
      <c r="C44" s="142" t="s">
        <v>298</v>
      </c>
      <c r="D44" s="1"/>
      <c r="E44" s="1"/>
      <c r="F44" s="1"/>
      <c r="G44" s="1"/>
      <c r="H44" s="2"/>
    </row>
    <row r="45" spans="2:8" ht="20.100000000000001" customHeight="1">
      <c r="B45" s="143" t="s">
        <v>110</v>
      </c>
      <c r="C45" s="42" t="s">
        <v>111</v>
      </c>
      <c r="D45" s="137" t="s">
        <v>244</v>
      </c>
      <c r="E45" s="157"/>
      <c r="F45" s="144" t="s">
        <v>299</v>
      </c>
      <c r="G45" s="145" t="s">
        <v>300</v>
      </c>
      <c r="H45" s="121"/>
    </row>
    <row r="46" spans="2:8" ht="20.100000000000001" customHeight="1">
      <c r="B46" s="143" t="s">
        <v>113</v>
      </c>
      <c r="C46" s="42" t="s">
        <v>114</v>
      </c>
      <c r="D46" s="137" t="s">
        <v>244</v>
      </c>
      <c r="E46" s="157"/>
      <c r="F46" s="144" t="s">
        <v>299</v>
      </c>
      <c r="G46" s="145" t="s">
        <v>300</v>
      </c>
      <c r="H46" s="121"/>
    </row>
    <row r="47" spans="2:8" ht="18" customHeight="1">
      <c r="B47" s="143" t="s">
        <v>116</v>
      </c>
      <c r="C47" s="42" t="s">
        <v>117</v>
      </c>
      <c r="D47" s="84" t="s">
        <v>244</v>
      </c>
      <c r="E47" s="146"/>
      <c r="F47" s="127" t="s">
        <v>299</v>
      </c>
      <c r="G47" s="128" t="s">
        <v>300</v>
      </c>
      <c r="H47" s="129" t="s">
        <v>298</v>
      </c>
    </row>
    <row r="48" spans="2:8" ht="30" customHeight="1">
      <c r="B48" s="143" t="s">
        <v>119</v>
      </c>
      <c r="C48" s="42" t="s">
        <v>120</v>
      </c>
      <c r="D48" s="84" t="s">
        <v>244</v>
      </c>
      <c r="E48" s="146"/>
      <c r="F48" s="127" t="s">
        <v>299</v>
      </c>
      <c r="G48" s="128" t="s">
        <v>300</v>
      </c>
      <c r="H48" s="129" t="s">
        <v>298</v>
      </c>
    </row>
    <row r="49" spans="2:8" ht="20.100000000000001" customHeight="1">
      <c r="B49" s="102" t="s">
        <v>306</v>
      </c>
      <c r="C49" s="103"/>
      <c r="D49" s="1"/>
      <c r="E49" s="1"/>
      <c r="F49" s="1"/>
      <c r="G49" s="1"/>
      <c r="H49" s="2"/>
    </row>
    <row r="50" spans="2:8" ht="39.950000000000003" customHeight="1">
      <c r="B50" s="141" t="s">
        <v>297</v>
      </c>
      <c r="C50" s="173" t="s">
        <v>298</v>
      </c>
      <c r="D50" s="199"/>
      <c r="E50" s="199"/>
      <c r="F50" s="199"/>
      <c r="G50" s="199"/>
      <c r="H50" s="200"/>
    </row>
    <row r="51" spans="2:8" ht="20.100000000000001" customHeight="1">
      <c r="B51" s="143" t="s">
        <v>123</v>
      </c>
      <c r="C51" s="42" t="s">
        <v>307</v>
      </c>
      <c r="D51" s="137" t="s">
        <v>244</v>
      </c>
      <c r="E51" s="157"/>
      <c r="F51" s="144" t="s">
        <v>299</v>
      </c>
      <c r="G51" s="145" t="s">
        <v>300</v>
      </c>
      <c r="H51" s="121"/>
    </row>
    <row r="52" spans="2:8" ht="20.100000000000001" customHeight="1">
      <c r="B52" s="130" t="s">
        <v>241</v>
      </c>
      <c r="C52" s="150" t="s">
        <v>392</v>
      </c>
      <c r="D52" s="1"/>
      <c r="E52" s="1"/>
      <c r="F52" s="1"/>
      <c r="G52" s="1"/>
      <c r="H52" s="2"/>
    </row>
    <row r="53" spans="2:8" ht="20.100000000000001" customHeight="1">
      <c r="B53" s="143" t="s">
        <v>126</v>
      </c>
      <c r="C53" s="42" t="s">
        <v>309</v>
      </c>
      <c r="D53" s="137" t="s">
        <v>244</v>
      </c>
      <c r="E53" s="157"/>
      <c r="F53" s="144" t="s">
        <v>299</v>
      </c>
      <c r="G53" s="145" t="s">
        <v>300</v>
      </c>
      <c r="H53" s="121"/>
    </row>
    <row r="54" spans="2:8" ht="20.100000000000001" customHeight="1">
      <c r="B54" s="143" t="s">
        <v>129</v>
      </c>
      <c r="C54" s="42" t="s">
        <v>130</v>
      </c>
      <c r="D54" s="137" t="s">
        <v>244</v>
      </c>
      <c r="E54" s="157"/>
      <c r="F54" s="144" t="s">
        <v>299</v>
      </c>
      <c r="G54" s="145" t="s">
        <v>300</v>
      </c>
      <c r="H54" s="121"/>
    </row>
    <row r="55" spans="2:8" ht="18" customHeight="1">
      <c r="B55" s="143" t="s">
        <v>132</v>
      </c>
      <c r="C55" s="42" t="s">
        <v>310</v>
      </c>
      <c r="D55" s="1"/>
      <c r="E55" s="1"/>
      <c r="F55" s="1"/>
      <c r="G55" s="1"/>
      <c r="H55" s="2"/>
    </row>
    <row r="56" spans="2:8" ht="30" customHeight="1">
      <c r="B56" s="143" t="s">
        <v>135</v>
      </c>
      <c r="C56" s="177" t="s">
        <v>311</v>
      </c>
      <c r="D56" s="199"/>
      <c r="E56" s="199"/>
      <c r="F56" s="199"/>
      <c r="G56" s="199"/>
      <c r="H56" s="200"/>
    </row>
    <row r="57" spans="2:8" ht="20.100000000000001" customHeight="1">
      <c r="B57" s="102" t="s">
        <v>313</v>
      </c>
      <c r="C57" s="103"/>
      <c r="D57" s="103"/>
      <c r="E57" s="103"/>
      <c r="F57" s="103"/>
      <c r="G57" s="103"/>
      <c r="H57" s="103"/>
    </row>
    <row r="58" spans="2:8" ht="20.100000000000001" customHeight="1">
      <c r="B58" s="141" t="s">
        <v>297</v>
      </c>
      <c r="C58" s="142" t="s">
        <v>298</v>
      </c>
      <c r="D58" s="1"/>
      <c r="E58" s="1"/>
      <c r="F58" s="1"/>
      <c r="G58" s="1"/>
      <c r="H58" s="2"/>
    </row>
    <row r="59" spans="2:8" ht="20.100000000000001" customHeight="1">
      <c r="B59" s="143" t="s">
        <v>139</v>
      </c>
      <c r="C59" s="42" t="s">
        <v>314</v>
      </c>
      <c r="D59" s="137" t="s">
        <v>244</v>
      </c>
      <c r="E59" s="157"/>
      <c r="F59" s="144" t="s">
        <v>299</v>
      </c>
      <c r="G59" s="145" t="s">
        <v>300</v>
      </c>
      <c r="H59" s="121"/>
    </row>
    <row r="60" spans="2:8" ht="20.100000000000001" customHeight="1">
      <c r="B60" s="143" t="s">
        <v>142</v>
      </c>
      <c r="C60" s="42" t="s">
        <v>143</v>
      </c>
      <c r="D60" s="137" t="s">
        <v>244</v>
      </c>
      <c r="E60" s="157"/>
      <c r="F60" s="144" t="s">
        <v>299</v>
      </c>
      <c r="G60" s="145" t="s">
        <v>300</v>
      </c>
      <c r="H60" s="121"/>
    </row>
    <row r="61" spans="2:8" ht="20.100000000000001" customHeight="1">
      <c r="B61" s="143" t="s">
        <v>145</v>
      </c>
      <c r="C61" s="42" t="s">
        <v>315</v>
      </c>
      <c r="D61" s="137" t="s">
        <v>244</v>
      </c>
      <c r="E61" s="157"/>
      <c r="F61" s="144" t="s">
        <v>299</v>
      </c>
      <c r="G61" s="145" t="s">
        <v>300</v>
      </c>
      <c r="H61" s="121"/>
    </row>
    <row r="62" spans="2:8" ht="20.100000000000001" customHeight="1">
      <c r="B62" s="143" t="s">
        <v>148</v>
      </c>
      <c r="C62" s="42" t="s">
        <v>316</v>
      </c>
      <c r="D62" s="137" t="s">
        <v>244</v>
      </c>
      <c r="E62" s="157"/>
      <c r="F62" s="144" t="s">
        <v>299</v>
      </c>
      <c r="G62" s="145" t="s">
        <v>300</v>
      </c>
      <c r="H62" s="121"/>
    </row>
    <row r="63" spans="2:8" ht="18" customHeight="1">
      <c r="B63" s="143" t="s">
        <v>151</v>
      </c>
      <c r="C63" s="42" t="s">
        <v>152</v>
      </c>
      <c r="D63" s="137" t="s">
        <v>244</v>
      </c>
      <c r="E63" s="157"/>
      <c r="F63" s="144" t="s">
        <v>299</v>
      </c>
      <c r="G63" s="145" t="s">
        <v>300</v>
      </c>
      <c r="H63" s="2"/>
    </row>
    <row r="64" spans="2:8" ht="30" customHeight="1">
      <c r="B64" s="143" t="s">
        <v>154</v>
      </c>
      <c r="C64" s="42" t="s">
        <v>155</v>
      </c>
      <c r="D64" s="137" t="s">
        <v>244</v>
      </c>
      <c r="E64" s="157"/>
      <c r="F64" s="144" t="s">
        <v>299</v>
      </c>
      <c r="G64" s="145" t="s">
        <v>300</v>
      </c>
      <c r="H64" s="2"/>
    </row>
    <row r="65" spans="2:8" ht="20.100000000000001" customHeight="1">
      <c r="B65" s="141" t="s">
        <v>297</v>
      </c>
      <c r="C65" s="142" t="s">
        <v>298</v>
      </c>
      <c r="D65" s="1"/>
      <c r="E65" s="1"/>
      <c r="F65" s="1"/>
      <c r="G65" s="1"/>
      <c r="H65" s="2"/>
    </row>
    <row r="67" spans="2:8" ht="30" customHeight="1">
      <c r="B67" s="147" t="s">
        <v>317</v>
      </c>
      <c r="C67" s="170" t="s">
        <v>318</v>
      </c>
      <c r="D67" s="199"/>
      <c r="E67" s="199"/>
      <c r="F67" s="199"/>
      <c r="G67" s="199"/>
      <c r="H67" s="200"/>
    </row>
  </sheetData>
  <mergeCells count="7">
    <mergeCell ref="C67:H67"/>
    <mergeCell ref="C16:H16"/>
    <mergeCell ref="C50:H50"/>
    <mergeCell ref="N12:O12"/>
    <mergeCell ref="C34:H34"/>
    <mergeCell ref="C56:H56"/>
    <mergeCell ref="H12:M12"/>
  </mergeCell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B1:O67"/>
  <sheetViews>
    <sheetView topLeftCell="A29" workbookViewId="0">
      <selection activeCell="G31" sqref="G31"/>
    </sheetView>
  </sheetViews>
  <sheetFormatPr defaultRowHeight="14.45"/>
  <cols>
    <col min="1" max="1" width="2" customWidth="1"/>
    <col min="2" max="2" width="28" customWidth="1"/>
    <col min="3" max="3" width="45" bestFit="1" customWidth="1"/>
    <col min="4" max="4" width="18" customWidth="1"/>
    <col min="5" max="7" width="14" customWidth="1"/>
    <col min="8" max="8" width="55" customWidth="1"/>
    <col min="9" max="13" width="30.140625" customWidth="1"/>
  </cols>
  <sheetData>
    <row r="1" spans="2:15" ht="27.95" customHeight="1">
      <c r="B1" s="118" t="s">
        <v>438</v>
      </c>
      <c r="C1" s="68"/>
      <c r="D1" s="68"/>
      <c r="E1" s="68"/>
      <c r="F1" s="68"/>
      <c r="G1" s="68"/>
      <c r="H1" s="68"/>
    </row>
    <row r="2" spans="2:15" ht="15.95" customHeight="1">
      <c r="B2" s="19" t="s">
        <v>216</v>
      </c>
      <c r="C2" s="43" t="s">
        <v>217</v>
      </c>
      <c r="D2" s="43" t="s">
        <v>218</v>
      </c>
      <c r="E2" s="103"/>
      <c r="F2" s="103"/>
      <c r="G2" s="103"/>
      <c r="H2" s="43" t="s">
        <v>219</v>
      </c>
    </row>
    <row r="3" spans="2:15" ht="15.95" customHeight="1">
      <c r="B3" s="119" t="s">
        <v>220</v>
      </c>
      <c r="C3" s="42"/>
      <c r="D3" s="121"/>
      <c r="E3" s="121"/>
      <c r="F3" s="121"/>
      <c r="G3" s="121"/>
      <c r="H3" s="121"/>
    </row>
    <row r="4" spans="2:15" ht="15.95" customHeight="1">
      <c r="B4" s="119" t="s">
        <v>199</v>
      </c>
      <c r="C4" s="42"/>
      <c r="D4" s="121"/>
      <c r="E4" s="121"/>
      <c r="F4" s="121"/>
      <c r="G4" s="121"/>
      <c r="H4" s="121"/>
    </row>
    <row r="5" spans="2:15" ht="15.95" customHeight="1">
      <c r="B5" s="119" t="s">
        <v>224</v>
      </c>
      <c r="C5" s="42"/>
      <c r="D5" s="121"/>
      <c r="E5" s="121"/>
      <c r="F5" s="121"/>
      <c r="G5" s="121"/>
      <c r="H5" s="121"/>
    </row>
    <row r="6" spans="2:15" ht="15.95" customHeight="1">
      <c r="B6" s="119" t="s">
        <v>226</v>
      </c>
      <c r="C6" s="42"/>
      <c r="D6" s="121"/>
      <c r="E6" s="121"/>
      <c r="F6" s="121"/>
      <c r="G6" s="121"/>
      <c r="H6" s="121"/>
    </row>
    <row r="7" spans="2:15" ht="15.95" customHeight="1">
      <c r="B7" s="119" t="s">
        <v>227</v>
      </c>
      <c r="C7" s="42"/>
      <c r="D7" s="121"/>
      <c r="E7" s="121"/>
      <c r="F7" s="121"/>
      <c r="G7" s="121"/>
      <c r="H7" s="121"/>
    </row>
    <row r="8" spans="2:15" ht="15.95" customHeight="1">
      <c r="B8" s="119" t="s">
        <v>229</v>
      </c>
      <c r="C8" s="42"/>
      <c r="D8" s="121"/>
      <c r="E8" s="121"/>
      <c r="F8" s="121"/>
      <c r="G8" s="121"/>
      <c r="H8" s="121"/>
    </row>
    <row r="9" spans="2:15" ht="15.95" customHeight="1">
      <c r="B9" s="119" t="s">
        <v>231</v>
      </c>
      <c r="C9" s="42"/>
      <c r="D9" s="121"/>
      <c r="E9" s="121"/>
      <c r="F9" s="121"/>
      <c r="G9" s="121"/>
      <c r="H9" s="121"/>
    </row>
    <row r="10" spans="2:15" ht="15.95" customHeight="1">
      <c r="B10" s="119" t="s">
        <v>201</v>
      </c>
      <c r="C10" s="42"/>
      <c r="D10" s="121"/>
      <c r="E10" s="121"/>
      <c r="F10" s="121"/>
      <c r="G10" s="121"/>
      <c r="H10" s="121"/>
    </row>
    <row r="11" spans="2:15" ht="15.95" customHeight="1">
      <c r="B11" s="119" t="s">
        <v>203</v>
      </c>
      <c r="C11" s="42"/>
      <c r="D11" s="121"/>
      <c r="E11" s="121"/>
      <c r="F11" s="121"/>
      <c r="G11" s="121"/>
      <c r="H11" s="121"/>
    </row>
    <row r="12" spans="2:15" ht="15.95" customHeight="1">
      <c r="B12" s="119" t="s">
        <v>232</v>
      </c>
      <c r="C12" s="42"/>
      <c r="D12" s="121"/>
      <c r="E12" s="121"/>
      <c r="F12" s="121"/>
      <c r="G12" s="121"/>
      <c r="H12" s="174"/>
      <c r="I12" s="199"/>
      <c r="J12" s="199"/>
      <c r="K12" s="199"/>
      <c r="L12" s="199"/>
      <c r="M12" s="200"/>
      <c r="N12" s="201"/>
      <c r="O12" s="201"/>
    </row>
    <row r="13" spans="2:15" ht="15.95" customHeight="1">
      <c r="B13" s="119" t="s">
        <v>161</v>
      </c>
      <c r="C13" s="42"/>
      <c r="D13" s="121"/>
      <c r="E13" s="121"/>
      <c r="F13" s="121"/>
      <c r="G13" s="121"/>
      <c r="H13" s="121"/>
    </row>
    <row r="14" spans="2:15" ht="15.95" customHeight="1">
      <c r="B14" s="68"/>
      <c r="C14" s="68"/>
      <c r="D14" s="68"/>
      <c r="E14" s="68"/>
      <c r="F14" s="68"/>
      <c r="G14" s="68"/>
      <c r="H14" s="68"/>
      <c r="I14" s="1"/>
      <c r="J14" s="1"/>
      <c r="K14" s="1"/>
      <c r="L14" s="1"/>
      <c r="M14" s="2"/>
    </row>
    <row r="15" spans="2:15" ht="54.95" customHeight="1">
      <c r="B15" s="123" t="s">
        <v>46</v>
      </c>
      <c r="C15" s="124" t="s">
        <v>47</v>
      </c>
      <c r="D15" s="1"/>
      <c r="E15" s="1"/>
      <c r="F15" s="1"/>
      <c r="G15" s="1"/>
      <c r="H15" s="2"/>
    </row>
    <row r="16" spans="2:15" ht="39.950000000000003" customHeight="1">
      <c r="B16" s="102" t="s">
        <v>234</v>
      </c>
      <c r="C16" s="172"/>
      <c r="D16" s="199"/>
      <c r="E16" s="199"/>
      <c r="F16" s="199"/>
      <c r="G16" s="199"/>
      <c r="H16" s="200"/>
    </row>
    <row r="17" spans="2:8" ht="54.95" customHeight="1">
      <c r="B17" s="105" t="s">
        <v>52</v>
      </c>
      <c r="C17" s="119" t="s">
        <v>235</v>
      </c>
      <c r="D17" s="125" t="s">
        <v>236</v>
      </c>
      <c r="E17" s="154"/>
      <c r="F17" s="127" t="s">
        <v>237</v>
      </c>
      <c r="G17" s="128" t="s">
        <v>238</v>
      </c>
      <c r="H17" s="129" t="s">
        <v>239</v>
      </c>
    </row>
    <row r="18" spans="2:8" ht="54.95" customHeight="1">
      <c r="B18" s="130" t="s">
        <v>241</v>
      </c>
      <c r="C18" s="150" t="s">
        <v>330</v>
      </c>
      <c r="D18" s="1"/>
      <c r="E18" s="1"/>
      <c r="F18" s="1"/>
      <c r="G18" s="1"/>
      <c r="H18" s="2"/>
    </row>
    <row r="19" spans="2:8" ht="54.95" customHeight="1">
      <c r="B19" s="105" t="s">
        <v>56</v>
      </c>
      <c r="C19" s="119" t="s">
        <v>243</v>
      </c>
      <c r="D19" s="125" t="s">
        <v>244</v>
      </c>
      <c r="E19" s="154"/>
      <c r="F19" s="127" t="s">
        <v>245</v>
      </c>
      <c r="G19" s="128" t="s">
        <v>246</v>
      </c>
      <c r="H19" s="129" t="s">
        <v>247</v>
      </c>
    </row>
    <row r="20" spans="2:8" ht="18" customHeight="1">
      <c r="B20" s="105" t="s">
        <v>59</v>
      </c>
      <c r="C20" s="119" t="s">
        <v>248</v>
      </c>
      <c r="D20" s="125" t="s">
        <v>244</v>
      </c>
      <c r="E20" s="154"/>
      <c r="F20" s="127" t="s">
        <v>249</v>
      </c>
      <c r="G20" s="128" t="s">
        <v>250</v>
      </c>
      <c r="H20" s="129" t="s">
        <v>251</v>
      </c>
    </row>
    <row r="21" spans="2:8" ht="15.95" customHeight="1">
      <c r="B21" s="105" t="s">
        <v>62</v>
      </c>
      <c r="C21" s="119" t="s">
        <v>252</v>
      </c>
      <c r="D21" s="125" t="s">
        <v>244</v>
      </c>
      <c r="E21" s="154"/>
      <c r="F21" s="127" t="s">
        <v>253</v>
      </c>
      <c r="G21" s="128" t="s">
        <v>254</v>
      </c>
      <c r="H21" s="129" t="s">
        <v>255</v>
      </c>
    </row>
    <row r="22" spans="2:8" ht="54.95" customHeight="1">
      <c r="B22" s="102" t="s">
        <v>256</v>
      </c>
      <c r="C22" s="103"/>
      <c r="D22" s="103"/>
      <c r="E22" s="103"/>
      <c r="F22" s="103"/>
      <c r="G22" s="103"/>
      <c r="H22" s="103"/>
    </row>
    <row r="23" spans="2:8" ht="54.95" customHeight="1">
      <c r="B23" s="132" t="s">
        <v>46</v>
      </c>
      <c r="C23" s="133" t="s">
        <v>47</v>
      </c>
      <c r="D23" s="132" t="s">
        <v>257</v>
      </c>
      <c r="E23" s="134" t="s">
        <v>258</v>
      </c>
      <c r="F23" s="135" t="s">
        <v>259</v>
      </c>
      <c r="G23" s="136" t="s">
        <v>260</v>
      </c>
      <c r="H23" s="133" t="s">
        <v>261</v>
      </c>
    </row>
    <row r="24" spans="2:8" ht="54.95" customHeight="1">
      <c r="B24" s="105" t="s">
        <v>66</v>
      </c>
      <c r="C24" s="42" t="s">
        <v>262</v>
      </c>
      <c r="D24" s="137" t="s">
        <v>263</v>
      </c>
      <c r="E24" s="154"/>
      <c r="F24" s="127" t="s">
        <v>264</v>
      </c>
      <c r="G24" s="128" t="s">
        <v>265</v>
      </c>
      <c r="H24" s="129" t="s">
        <v>266</v>
      </c>
    </row>
    <row r="25" spans="2:8" ht="54.95" customHeight="1">
      <c r="B25" s="105" t="s">
        <v>69</v>
      </c>
      <c r="C25" s="42" t="s">
        <v>267</v>
      </c>
      <c r="D25" s="137" t="s">
        <v>263</v>
      </c>
      <c r="E25" s="154"/>
      <c r="F25" s="127" t="s">
        <v>268</v>
      </c>
      <c r="G25" s="128" t="s">
        <v>269</v>
      </c>
      <c r="H25" s="129" t="s">
        <v>270</v>
      </c>
    </row>
    <row r="26" spans="2:8" ht="54.95" customHeight="1">
      <c r="B26" s="105" t="s">
        <v>71</v>
      </c>
      <c r="C26" s="42" t="s">
        <v>271</v>
      </c>
      <c r="D26" s="137" t="s">
        <v>263</v>
      </c>
      <c r="E26" s="154"/>
      <c r="F26" s="127" t="s">
        <v>272</v>
      </c>
      <c r="G26" s="128" t="s">
        <v>273</v>
      </c>
      <c r="H26" s="129" t="s">
        <v>274</v>
      </c>
    </row>
    <row r="27" spans="2:8" ht="54.95" customHeight="1">
      <c r="B27" s="105" t="s">
        <v>73</v>
      </c>
      <c r="C27" s="42" t="s">
        <v>275</v>
      </c>
      <c r="D27" s="137" t="s">
        <v>263</v>
      </c>
      <c r="E27" s="154"/>
      <c r="F27" s="127" t="s">
        <v>276</v>
      </c>
      <c r="G27" s="128" t="s">
        <v>277</v>
      </c>
      <c r="H27" s="129" t="s">
        <v>278</v>
      </c>
    </row>
    <row r="28" spans="2:8" ht="54.95" customHeight="1">
      <c r="B28" s="105" t="s">
        <v>75</v>
      </c>
      <c r="C28" s="42" t="s">
        <v>279</v>
      </c>
      <c r="D28" s="137" t="s">
        <v>263</v>
      </c>
      <c r="E28" s="154"/>
      <c r="F28" s="127" t="s">
        <v>280</v>
      </c>
      <c r="G28" s="128" t="s">
        <v>281</v>
      </c>
      <c r="H28" s="129" t="s">
        <v>282</v>
      </c>
    </row>
    <row r="29" spans="2:8" ht="54.95" customHeight="1">
      <c r="B29" s="105" t="s">
        <v>77</v>
      </c>
      <c r="C29" s="42" t="s">
        <v>283</v>
      </c>
      <c r="D29" s="137" t="s">
        <v>263</v>
      </c>
      <c r="E29" s="154"/>
      <c r="F29" s="127" t="s">
        <v>284</v>
      </c>
      <c r="G29" s="128" t="s">
        <v>285</v>
      </c>
      <c r="H29" s="129" t="s">
        <v>286</v>
      </c>
    </row>
    <row r="30" spans="2:8" ht="54.95" customHeight="1">
      <c r="B30" s="105" t="s">
        <v>79</v>
      </c>
      <c r="C30" s="42" t="s">
        <v>287</v>
      </c>
      <c r="D30" s="137" t="s">
        <v>263</v>
      </c>
      <c r="E30" s="154"/>
      <c r="F30" s="127" t="s">
        <v>288</v>
      </c>
      <c r="G30" s="128" t="s">
        <v>289</v>
      </c>
      <c r="H30" s="129" t="s">
        <v>290</v>
      </c>
    </row>
    <row r="31" spans="2:8" ht="18" customHeight="1">
      <c r="B31" s="105" t="s">
        <v>81</v>
      </c>
      <c r="C31" s="42" t="s">
        <v>291</v>
      </c>
      <c r="D31" s="137" t="s">
        <v>263</v>
      </c>
      <c r="E31" s="154"/>
      <c r="F31" s="127" t="s">
        <v>327</v>
      </c>
      <c r="G31" s="128" t="s">
        <v>328</v>
      </c>
      <c r="H31" s="129" t="s">
        <v>329</v>
      </c>
    </row>
    <row r="32" spans="2:8" ht="30" customHeight="1">
      <c r="B32" s="105" t="s">
        <v>84</v>
      </c>
      <c r="C32" s="42" t="s">
        <v>292</v>
      </c>
      <c r="D32" s="138" t="s">
        <v>236</v>
      </c>
      <c r="E32" s="146"/>
      <c r="F32" s="139" t="s">
        <v>293</v>
      </c>
      <c r="G32" s="128" t="s">
        <v>294</v>
      </c>
      <c r="H32" s="140" t="s">
        <v>295</v>
      </c>
    </row>
    <row r="33" spans="2:8" ht="20.100000000000001" customHeight="1">
      <c r="B33" s="102" t="s">
        <v>296</v>
      </c>
      <c r="C33" s="103"/>
      <c r="D33" s="1"/>
      <c r="E33" s="1"/>
      <c r="F33" s="1"/>
      <c r="G33" s="1"/>
      <c r="H33" s="2"/>
    </row>
    <row r="34" spans="2:8" ht="39.950000000000003" customHeight="1">
      <c r="B34" s="141" t="s">
        <v>297</v>
      </c>
      <c r="C34" s="173" t="s">
        <v>298</v>
      </c>
      <c r="D34" s="199"/>
      <c r="E34" s="199"/>
      <c r="F34" s="199"/>
      <c r="G34" s="199"/>
      <c r="H34" s="200"/>
    </row>
    <row r="35" spans="2:8" ht="20.100000000000001" customHeight="1">
      <c r="B35" s="143" t="s">
        <v>88</v>
      </c>
      <c r="C35" s="42" t="s">
        <v>89</v>
      </c>
      <c r="D35" s="137" t="s">
        <v>244</v>
      </c>
      <c r="E35" s="157"/>
      <c r="F35" s="144" t="s">
        <v>299</v>
      </c>
      <c r="G35" s="145" t="s">
        <v>300</v>
      </c>
      <c r="H35" s="121"/>
    </row>
    <row r="36" spans="2:8" ht="20.100000000000001" customHeight="1">
      <c r="B36" s="130" t="s">
        <v>241</v>
      </c>
      <c r="C36" s="150" t="s">
        <v>381</v>
      </c>
      <c r="D36" s="1"/>
      <c r="E36" s="1"/>
      <c r="F36" s="1"/>
      <c r="G36" s="1"/>
      <c r="H36" s="2"/>
    </row>
    <row r="37" spans="2:8" ht="20.100000000000001" customHeight="1">
      <c r="B37" s="143" t="s">
        <v>91</v>
      </c>
      <c r="C37" s="42" t="s">
        <v>92</v>
      </c>
      <c r="D37" s="137" t="s">
        <v>244</v>
      </c>
      <c r="E37" s="157"/>
      <c r="F37" s="144" t="s">
        <v>299</v>
      </c>
      <c r="G37" s="145" t="s">
        <v>300</v>
      </c>
      <c r="H37" s="121"/>
    </row>
    <row r="38" spans="2:8" ht="20.100000000000001" customHeight="1">
      <c r="B38" s="143" t="s">
        <v>94</v>
      </c>
      <c r="C38" s="42" t="s">
        <v>302</v>
      </c>
      <c r="D38" s="137" t="s">
        <v>244</v>
      </c>
      <c r="E38" s="157"/>
      <c r="F38" s="144" t="s">
        <v>299</v>
      </c>
      <c r="G38" s="145" t="s">
        <v>300</v>
      </c>
      <c r="H38" s="121"/>
    </row>
    <row r="39" spans="2:8" ht="20.100000000000001" customHeight="1">
      <c r="B39" s="143" t="s">
        <v>97</v>
      </c>
      <c r="C39" s="42" t="s">
        <v>98</v>
      </c>
      <c r="D39" s="137" t="s">
        <v>244</v>
      </c>
      <c r="E39" s="157"/>
      <c r="F39" s="144" t="s">
        <v>299</v>
      </c>
      <c r="G39" s="145" t="s">
        <v>300</v>
      </c>
      <c r="H39" s="121"/>
    </row>
    <row r="40" spans="2:8" ht="20.100000000000001" customHeight="1">
      <c r="B40" s="143" t="s">
        <v>100</v>
      </c>
      <c r="C40" s="42" t="s">
        <v>101</v>
      </c>
      <c r="D40" s="137" t="s">
        <v>244</v>
      </c>
      <c r="E40" s="157"/>
      <c r="F40" s="144" t="s">
        <v>299</v>
      </c>
      <c r="G40" s="145" t="s">
        <v>300</v>
      </c>
      <c r="H40" s="121"/>
    </row>
    <row r="41" spans="2:8" ht="18" customHeight="1">
      <c r="B41" s="143" t="s">
        <v>103</v>
      </c>
      <c r="C41" s="42" t="s">
        <v>104</v>
      </c>
      <c r="D41" s="84" t="s">
        <v>244</v>
      </c>
      <c r="E41" s="146"/>
      <c r="F41" s="127" t="s">
        <v>299</v>
      </c>
      <c r="G41" s="128" t="s">
        <v>300</v>
      </c>
      <c r="H41" s="129" t="s">
        <v>298</v>
      </c>
    </row>
    <row r="42" spans="2:8" ht="30" customHeight="1">
      <c r="B42" s="143" t="s">
        <v>106</v>
      </c>
      <c r="C42" s="42" t="s">
        <v>303</v>
      </c>
      <c r="D42" s="84" t="s">
        <v>244</v>
      </c>
      <c r="E42" s="146"/>
      <c r="F42" s="127" t="s">
        <v>299</v>
      </c>
      <c r="G42" s="128" t="s">
        <v>300</v>
      </c>
      <c r="H42" s="129" t="s">
        <v>298</v>
      </c>
    </row>
    <row r="43" spans="2:8" ht="20.100000000000001" customHeight="1">
      <c r="B43" s="102" t="s">
        <v>304</v>
      </c>
      <c r="C43" s="103"/>
      <c r="D43" s="103"/>
      <c r="E43" s="103"/>
      <c r="F43" s="103"/>
      <c r="G43" s="103"/>
      <c r="H43" s="103"/>
    </row>
    <row r="44" spans="2:8" ht="20.100000000000001" customHeight="1">
      <c r="B44" s="141" t="s">
        <v>297</v>
      </c>
      <c r="C44" s="142" t="s">
        <v>298</v>
      </c>
      <c r="D44" s="1"/>
      <c r="E44" s="1"/>
      <c r="F44" s="1"/>
      <c r="G44" s="1"/>
      <c r="H44" s="2"/>
    </row>
    <row r="45" spans="2:8" ht="20.100000000000001" customHeight="1">
      <c r="B45" s="143" t="s">
        <v>110</v>
      </c>
      <c r="C45" s="42" t="s">
        <v>111</v>
      </c>
      <c r="D45" s="137" t="s">
        <v>244</v>
      </c>
      <c r="E45" s="157"/>
      <c r="F45" s="144" t="s">
        <v>299</v>
      </c>
      <c r="G45" s="145" t="s">
        <v>300</v>
      </c>
      <c r="H45" s="121"/>
    </row>
    <row r="46" spans="2:8" ht="20.100000000000001" customHeight="1">
      <c r="B46" s="143" t="s">
        <v>113</v>
      </c>
      <c r="C46" s="42" t="s">
        <v>114</v>
      </c>
      <c r="D46" s="137" t="s">
        <v>244</v>
      </c>
      <c r="E46" s="157"/>
      <c r="F46" s="144" t="s">
        <v>299</v>
      </c>
      <c r="G46" s="145" t="s">
        <v>300</v>
      </c>
      <c r="H46" s="121"/>
    </row>
    <row r="47" spans="2:8" ht="18" customHeight="1">
      <c r="B47" s="143" t="s">
        <v>116</v>
      </c>
      <c r="C47" s="42" t="s">
        <v>117</v>
      </c>
      <c r="D47" s="84" t="s">
        <v>244</v>
      </c>
      <c r="E47" s="146"/>
      <c r="F47" s="127" t="s">
        <v>299</v>
      </c>
      <c r="G47" s="128" t="s">
        <v>300</v>
      </c>
      <c r="H47" s="129" t="s">
        <v>298</v>
      </c>
    </row>
    <row r="48" spans="2:8" ht="30" customHeight="1">
      <c r="B48" s="143" t="s">
        <v>119</v>
      </c>
      <c r="C48" s="42" t="s">
        <v>120</v>
      </c>
      <c r="D48" s="84" t="s">
        <v>244</v>
      </c>
      <c r="E48" s="146"/>
      <c r="F48" s="127" t="s">
        <v>299</v>
      </c>
      <c r="G48" s="128" t="s">
        <v>300</v>
      </c>
      <c r="H48" s="129" t="s">
        <v>298</v>
      </c>
    </row>
    <row r="49" spans="2:8" ht="20.100000000000001" customHeight="1">
      <c r="B49" s="102" t="s">
        <v>306</v>
      </c>
      <c r="C49" s="103"/>
      <c r="D49" s="1"/>
      <c r="E49" s="1"/>
      <c r="F49" s="1"/>
      <c r="G49" s="1"/>
      <c r="H49" s="2"/>
    </row>
    <row r="50" spans="2:8" ht="39.950000000000003" customHeight="1">
      <c r="B50" s="141" t="s">
        <v>297</v>
      </c>
      <c r="C50" s="173" t="s">
        <v>298</v>
      </c>
      <c r="D50" s="199"/>
      <c r="E50" s="199"/>
      <c r="F50" s="199"/>
      <c r="G50" s="199"/>
      <c r="H50" s="200"/>
    </row>
    <row r="51" spans="2:8" ht="20.100000000000001" customHeight="1">
      <c r="B51" s="143" t="s">
        <v>123</v>
      </c>
      <c r="C51" s="42" t="s">
        <v>307</v>
      </c>
      <c r="D51" s="137" t="s">
        <v>244</v>
      </c>
      <c r="E51" s="157"/>
      <c r="F51" s="144" t="s">
        <v>299</v>
      </c>
      <c r="G51" s="145" t="s">
        <v>300</v>
      </c>
      <c r="H51" s="121"/>
    </row>
    <row r="52" spans="2:8" ht="20.100000000000001" customHeight="1">
      <c r="B52" s="130" t="s">
        <v>241</v>
      </c>
      <c r="C52" s="150" t="s">
        <v>392</v>
      </c>
      <c r="D52" s="1"/>
      <c r="E52" s="1"/>
      <c r="F52" s="1"/>
      <c r="G52" s="1"/>
      <c r="H52" s="2"/>
    </row>
    <row r="53" spans="2:8" ht="20.100000000000001" customHeight="1">
      <c r="B53" s="143" t="s">
        <v>126</v>
      </c>
      <c r="C53" s="42" t="s">
        <v>309</v>
      </c>
      <c r="D53" s="137" t="s">
        <v>244</v>
      </c>
      <c r="E53" s="157"/>
      <c r="F53" s="144" t="s">
        <v>299</v>
      </c>
      <c r="G53" s="145" t="s">
        <v>300</v>
      </c>
      <c r="H53" s="121"/>
    </row>
    <row r="54" spans="2:8" ht="20.100000000000001" customHeight="1">
      <c r="B54" s="143" t="s">
        <v>129</v>
      </c>
      <c r="C54" s="42" t="s">
        <v>130</v>
      </c>
      <c r="D54" s="137" t="s">
        <v>244</v>
      </c>
      <c r="E54" s="157"/>
      <c r="F54" s="144" t="s">
        <v>299</v>
      </c>
      <c r="G54" s="145" t="s">
        <v>300</v>
      </c>
      <c r="H54" s="121"/>
    </row>
    <row r="55" spans="2:8" ht="18" customHeight="1">
      <c r="B55" s="143" t="s">
        <v>132</v>
      </c>
      <c r="C55" s="42" t="s">
        <v>310</v>
      </c>
      <c r="D55" s="1"/>
      <c r="E55" s="1"/>
      <c r="F55" s="1"/>
      <c r="G55" s="1"/>
      <c r="H55" s="2"/>
    </row>
    <row r="56" spans="2:8" ht="30" customHeight="1">
      <c r="B56" s="143" t="s">
        <v>135</v>
      </c>
      <c r="C56" s="177" t="s">
        <v>311</v>
      </c>
      <c r="D56" s="199"/>
      <c r="E56" s="199"/>
      <c r="F56" s="199"/>
      <c r="G56" s="199"/>
      <c r="H56" s="200"/>
    </row>
    <row r="57" spans="2:8" ht="20.100000000000001" customHeight="1">
      <c r="B57" s="102" t="s">
        <v>313</v>
      </c>
      <c r="C57" s="103"/>
      <c r="D57" s="103"/>
      <c r="E57" s="103"/>
      <c r="F57" s="103"/>
      <c r="G57" s="103"/>
      <c r="H57" s="103"/>
    </row>
    <row r="58" spans="2:8" ht="20.100000000000001" customHeight="1">
      <c r="B58" s="141" t="s">
        <v>297</v>
      </c>
      <c r="C58" s="142" t="s">
        <v>298</v>
      </c>
      <c r="D58" s="1"/>
      <c r="E58" s="1"/>
      <c r="F58" s="1"/>
      <c r="G58" s="1"/>
      <c r="H58" s="2"/>
    </row>
    <row r="59" spans="2:8" ht="20.100000000000001" customHeight="1">
      <c r="B59" s="143" t="s">
        <v>139</v>
      </c>
      <c r="C59" s="42" t="s">
        <v>314</v>
      </c>
      <c r="D59" s="137" t="s">
        <v>244</v>
      </c>
      <c r="E59" s="157"/>
      <c r="F59" s="144" t="s">
        <v>299</v>
      </c>
      <c r="G59" s="145" t="s">
        <v>300</v>
      </c>
      <c r="H59" s="121"/>
    </row>
    <row r="60" spans="2:8" ht="20.100000000000001" customHeight="1">
      <c r="B60" s="143" t="s">
        <v>142</v>
      </c>
      <c r="C60" s="42" t="s">
        <v>143</v>
      </c>
      <c r="D60" s="137" t="s">
        <v>244</v>
      </c>
      <c r="E60" s="157"/>
      <c r="F60" s="144" t="s">
        <v>299</v>
      </c>
      <c r="G60" s="145" t="s">
        <v>300</v>
      </c>
      <c r="H60" s="121"/>
    </row>
    <row r="61" spans="2:8" ht="20.100000000000001" customHeight="1">
      <c r="B61" s="143" t="s">
        <v>145</v>
      </c>
      <c r="C61" s="42" t="s">
        <v>315</v>
      </c>
      <c r="D61" s="137" t="s">
        <v>244</v>
      </c>
      <c r="E61" s="157"/>
      <c r="F61" s="144" t="s">
        <v>299</v>
      </c>
      <c r="G61" s="145" t="s">
        <v>300</v>
      </c>
      <c r="H61" s="121"/>
    </row>
    <row r="62" spans="2:8" ht="20.100000000000001" customHeight="1">
      <c r="B62" s="143" t="s">
        <v>148</v>
      </c>
      <c r="C62" s="42" t="s">
        <v>316</v>
      </c>
      <c r="D62" s="137" t="s">
        <v>244</v>
      </c>
      <c r="E62" s="157"/>
      <c r="F62" s="144" t="s">
        <v>299</v>
      </c>
      <c r="G62" s="145" t="s">
        <v>300</v>
      </c>
      <c r="H62" s="121"/>
    </row>
    <row r="63" spans="2:8" ht="18" customHeight="1">
      <c r="B63" s="143" t="s">
        <v>151</v>
      </c>
      <c r="C63" s="42" t="s">
        <v>152</v>
      </c>
      <c r="D63" s="137" t="s">
        <v>244</v>
      </c>
      <c r="E63" s="157"/>
      <c r="F63" s="144" t="s">
        <v>299</v>
      </c>
      <c r="G63" s="145" t="s">
        <v>300</v>
      </c>
      <c r="H63" s="2"/>
    </row>
    <row r="64" spans="2:8" ht="30" customHeight="1">
      <c r="B64" s="143" t="s">
        <v>154</v>
      </c>
      <c r="C64" s="42" t="s">
        <v>155</v>
      </c>
      <c r="D64" s="137" t="s">
        <v>244</v>
      </c>
      <c r="E64" s="157"/>
      <c r="F64" s="144" t="s">
        <v>299</v>
      </c>
      <c r="G64" s="145" t="s">
        <v>300</v>
      </c>
      <c r="H64" s="2"/>
    </row>
    <row r="65" spans="2:8" ht="20.100000000000001" customHeight="1">
      <c r="B65" s="141" t="s">
        <v>297</v>
      </c>
      <c r="C65" s="142" t="s">
        <v>298</v>
      </c>
      <c r="D65" s="1"/>
      <c r="E65" s="1"/>
      <c r="F65" s="1"/>
      <c r="G65" s="1"/>
      <c r="H65" s="2"/>
    </row>
    <row r="67" spans="2:8" ht="30" customHeight="1">
      <c r="B67" s="147" t="s">
        <v>317</v>
      </c>
      <c r="C67" s="170" t="s">
        <v>318</v>
      </c>
      <c r="D67" s="199"/>
      <c r="E67" s="199"/>
      <c r="F67" s="199"/>
      <c r="G67" s="199"/>
      <c r="H67" s="200"/>
    </row>
  </sheetData>
  <mergeCells count="7">
    <mergeCell ref="C67:H67"/>
    <mergeCell ref="C16:H16"/>
    <mergeCell ref="C50:H50"/>
    <mergeCell ref="N12:O12"/>
    <mergeCell ref="C34:H34"/>
    <mergeCell ref="C56:H56"/>
    <mergeCell ref="H12:M12"/>
  </mergeCells>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B1:O67"/>
  <sheetViews>
    <sheetView topLeftCell="A28" workbookViewId="0">
      <selection activeCell="G31" sqref="G31"/>
    </sheetView>
  </sheetViews>
  <sheetFormatPr defaultRowHeight="14.45"/>
  <cols>
    <col min="1" max="1" width="2" customWidth="1"/>
    <col min="2" max="2" width="28" customWidth="1"/>
    <col min="3" max="3" width="45" bestFit="1" customWidth="1"/>
    <col min="4" max="4" width="18" customWidth="1"/>
    <col min="5" max="7" width="14" customWidth="1"/>
    <col min="8" max="8" width="55" customWidth="1"/>
    <col min="9" max="13" width="30.140625" customWidth="1"/>
  </cols>
  <sheetData>
    <row r="1" spans="2:15" ht="27.95" customHeight="1">
      <c r="B1" s="118" t="s">
        <v>439</v>
      </c>
      <c r="C1" s="68"/>
      <c r="D1" s="68"/>
      <c r="E1" s="68"/>
      <c r="F1" s="68"/>
      <c r="G1" s="68"/>
      <c r="H1" s="68"/>
    </row>
    <row r="2" spans="2:15" ht="15.95" customHeight="1">
      <c r="B2" s="19" t="s">
        <v>216</v>
      </c>
      <c r="C2" s="43" t="s">
        <v>217</v>
      </c>
      <c r="D2" s="43" t="s">
        <v>218</v>
      </c>
      <c r="E2" s="103"/>
      <c r="F2" s="103"/>
      <c r="G2" s="103"/>
      <c r="H2" s="43" t="s">
        <v>219</v>
      </c>
    </row>
    <row r="3" spans="2:15" ht="15.95" customHeight="1">
      <c r="B3" s="119" t="s">
        <v>220</v>
      </c>
      <c r="C3" s="42"/>
      <c r="D3" s="121"/>
      <c r="E3" s="121"/>
      <c r="F3" s="121"/>
      <c r="G3" s="121"/>
      <c r="H3" s="121"/>
    </row>
    <row r="4" spans="2:15" ht="15.95" customHeight="1">
      <c r="B4" s="119" t="s">
        <v>199</v>
      </c>
      <c r="C4" s="42"/>
      <c r="D4" s="121"/>
      <c r="E4" s="121"/>
      <c r="F4" s="121"/>
      <c r="G4" s="121"/>
      <c r="H4" s="121"/>
    </row>
    <row r="5" spans="2:15" ht="15.95" customHeight="1">
      <c r="B5" s="119" t="s">
        <v>224</v>
      </c>
      <c r="C5" s="42"/>
      <c r="D5" s="121"/>
      <c r="E5" s="121"/>
      <c r="F5" s="121"/>
      <c r="G5" s="121"/>
      <c r="H5" s="121"/>
    </row>
    <row r="6" spans="2:15" ht="15.95" customHeight="1">
      <c r="B6" s="119" t="s">
        <v>226</v>
      </c>
      <c r="C6" s="42"/>
      <c r="D6" s="121"/>
      <c r="E6" s="121"/>
      <c r="F6" s="121"/>
      <c r="G6" s="121"/>
      <c r="H6" s="121"/>
    </row>
    <row r="7" spans="2:15" ht="15.95" customHeight="1">
      <c r="B7" s="119" t="s">
        <v>227</v>
      </c>
      <c r="C7" s="42"/>
      <c r="D7" s="121"/>
      <c r="E7" s="121"/>
      <c r="F7" s="121"/>
      <c r="G7" s="121"/>
      <c r="H7" s="121"/>
    </row>
    <row r="8" spans="2:15" ht="15.95" customHeight="1">
      <c r="B8" s="119" t="s">
        <v>229</v>
      </c>
      <c r="C8" s="42"/>
      <c r="D8" s="121"/>
      <c r="E8" s="121"/>
      <c r="F8" s="121"/>
      <c r="G8" s="121"/>
      <c r="H8" s="121"/>
    </row>
    <row r="9" spans="2:15" ht="15.95" customHeight="1">
      <c r="B9" s="119" t="s">
        <v>231</v>
      </c>
      <c r="C9" s="42"/>
      <c r="D9" s="121"/>
      <c r="E9" s="121"/>
      <c r="F9" s="121"/>
      <c r="G9" s="121"/>
      <c r="H9" s="121"/>
    </row>
    <row r="10" spans="2:15" ht="15.95" customHeight="1">
      <c r="B10" s="119" t="s">
        <v>201</v>
      </c>
      <c r="C10" s="42"/>
      <c r="D10" s="121"/>
      <c r="E10" s="121"/>
      <c r="F10" s="121"/>
      <c r="G10" s="121"/>
      <c r="H10" s="121"/>
    </row>
    <row r="11" spans="2:15" ht="15.95" customHeight="1">
      <c r="B11" s="119" t="s">
        <v>203</v>
      </c>
      <c r="C11" s="42"/>
      <c r="D11" s="121"/>
      <c r="E11" s="121"/>
      <c r="F11" s="121"/>
      <c r="G11" s="121"/>
      <c r="H11" s="121"/>
    </row>
    <row r="12" spans="2:15" ht="15.95" customHeight="1">
      <c r="B12" s="119" t="s">
        <v>232</v>
      </c>
      <c r="C12" s="42"/>
      <c r="D12" s="121"/>
      <c r="E12" s="121"/>
      <c r="F12" s="121"/>
      <c r="G12" s="121"/>
      <c r="H12" s="174"/>
      <c r="I12" s="199"/>
      <c r="J12" s="199"/>
      <c r="K12" s="199"/>
      <c r="L12" s="199"/>
      <c r="M12" s="200"/>
      <c r="N12" s="201"/>
      <c r="O12" s="201"/>
    </row>
    <row r="13" spans="2:15" ht="15.95" customHeight="1">
      <c r="B13" s="119" t="s">
        <v>161</v>
      </c>
      <c r="C13" s="42"/>
      <c r="D13" s="121"/>
      <c r="E13" s="121"/>
      <c r="F13" s="121"/>
      <c r="G13" s="121"/>
      <c r="H13" s="121"/>
    </row>
    <row r="14" spans="2:15" ht="15.95" customHeight="1">
      <c r="B14" s="68"/>
      <c r="C14" s="68"/>
      <c r="D14" s="68"/>
      <c r="E14" s="68"/>
      <c r="F14" s="68"/>
      <c r="G14" s="68"/>
      <c r="H14" s="68"/>
      <c r="I14" s="1"/>
      <c r="J14" s="1"/>
      <c r="K14" s="1"/>
      <c r="L14" s="1"/>
      <c r="M14" s="2"/>
    </row>
    <row r="15" spans="2:15" ht="54.95" customHeight="1">
      <c r="B15" s="123" t="s">
        <v>46</v>
      </c>
      <c r="C15" s="124" t="s">
        <v>47</v>
      </c>
      <c r="D15" s="1"/>
      <c r="E15" s="1"/>
      <c r="F15" s="1"/>
      <c r="G15" s="1"/>
      <c r="H15" s="2"/>
    </row>
    <row r="16" spans="2:15" ht="39.950000000000003" customHeight="1">
      <c r="B16" s="102" t="s">
        <v>234</v>
      </c>
      <c r="C16" s="172"/>
      <c r="D16" s="199"/>
      <c r="E16" s="199"/>
      <c r="F16" s="199"/>
      <c r="G16" s="199"/>
      <c r="H16" s="200"/>
    </row>
    <row r="17" spans="2:8" ht="54.95" customHeight="1">
      <c r="B17" s="105" t="s">
        <v>52</v>
      </c>
      <c r="C17" s="119" t="s">
        <v>235</v>
      </c>
      <c r="D17" s="125" t="s">
        <v>236</v>
      </c>
      <c r="E17" s="154"/>
      <c r="F17" s="127" t="s">
        <v>237</v>
      </c>
      <c r="G17" s="128" t="s">
        <v>238</v>
      </c>
      <c r="H17" s="129" t="s">
        <v>239</v>
      </c>
    </row>
    <row r="18" spans="2:8" ht="54.95" customHeight="1">
      <c r="B18" s="130" t="s">
        <v>241</v>
      </c>
      <c r="C18" s="150" t="s">
        <v>330</v>
      </c>
      <c r="D18" s="1"/>
      <c r="E18" s="1"/>
      <c r="F18" s="1"/>
      <c r="G18" s="1"/>
      <c r="H18" s="2"/>
    </row>
    <row r="19" spans="2:8" ht="54.95" customHeight="1">
      <c r="B19" s="105" t="s">
        <v>56</v>
      </c>
      <c r="C19" s="119" t="s">
        <v>243</v>
      </c>
      <c r="D19" s="125" t="s">
        <v>244</v>
      </c>
      <c r="E19" s="154"/>
      <c r="F19" s="127" t="s">
        <v>245</v>
      </c>
      <c r="G19" s="128" t="s">
        <v>246</v>
      </c>
      <c r="H19" s="129" t="s">
        <v>247</v>
      </c>
    </row>
    <row r="20" spans="2:8" ht="18" customHeight="1">
      <c r="B20" s="105" t="s">
        <v>59</v>
      </c>
      <c r="C20" s="119" t="s">
        <v>248</v>
      </c>
      <c r="D20" s="125" t="s">
        <v>244</v>
      </c>
      <c r="E20" s="154"/>
      <c r="F20" s="127" t="s">
        <v>249</v>
      </c>
      <c r="G20" s="128" t="s">
        <v>250</v>
      </c>
      <c r="H20" s="129" t="s">
        <v>251</v>
      </c>
    </row>
    <row r="21" spans="2:8" ht="15.95" customHeight="1">
      <c r="B21" s="105" t="s">
        <v>62</v>
      </c>
      <c r="C21" s="119" t="s">
        <v>252</v>
      </c>
      <c r="D21" s="125" t="s">
        <v>244</v>
      </c>
      <c r="E21" s="154"/>
      <c r="F21" s="127" t="s">
        <v>253</v>
      </c>
      <c r="G21" s="128" t="s">
        <v>254</v>
      </c>
      <c r="H21" s="129" t="s">
        <v>255</v>
      </c>
    </row>
    <row r="22" spans="2:8" ht="54.95" customHeight="1">
      <c r="B22" s="102" t="s">
        <v>256</v>
      </c>
      <c r="C22" s="103"/>
      <c r="D22" s="103"/>
      <c r="E22" s="103"/>
      <c r="F22" s="103"/>
      <c r="G22" s="103"/>
      <c r="H22" s="103"/>
    </row>
    <row r="23" spans="2:8" ht="54.95" customHeight="1">
      <c r="B23" s="132" t="s">
        <v>46</v>
      </c>
      <c r="C23" s="133" t="s">
        <v>47</v>
      </c>
      <c r="D23" s="132" t="s">
        <v>257</v>
      </c>
      <c r="E23" s="134" t="s">
        <v>258</v>
      </c>
      <c r="F23" s="135" t="s">
        <v>259</v>
      </c>
      <c r="G23" s="136" t="s">
        <v>260</v>
      </c>
      <c r="H23" s="133" t="s">
        <v>261</v>
      </c>
    </row>
    <row r="24" spans="2:8" ht="54.95" customHeight="1">
      <c r="B24" s="105" t="s">
        <v>66</v>
      </c>
      <c r="C24" s="42" t="s">
        <v>262</v>
      </c>
      <c r="D24" s="137" t="s">
        <v>263</v>
      </c>
      <c r="E24" s="154"/>
      <c r="F24" s="127" t="s">
        <v>264</v>
      </c>
      <c r="G24" s="128" t="s">
        <v>265</v>
      </c>
      <c r="H24" s="129" t="s">
        <v>266</v>
      </c>
    </row>
    <row r="25" spans="2:8" ht="54.95" customHeight="1">
      <c r="B25" s="105" t="s">
        <v>69</v>
      </c>
      <c r="C25" s="42" t="s">
        <v>267</v>
      </c>
      <c r="D25" s="137" t="s">
        <v>263</v>
      </c>
      <c r="E25" s="154"/>
      <c r="F25" s="127" t="s">
        <v>268</v>
      </c>
      <c r="G25" s="128" t="s">
        <v>269</v>
      </c>
      <c r="H25" s="129" t="s">
        <v>270</v>
      </c>
    </row>
    <row r="26" spans="2:8" ht="54.95" customHeight="1">
      <c r="B26" s="105" t="s">
        <v>71</v>
      </c>
      <c r="C26" s="42" t="s">
        <v>271</v>
      </c>
      <c r="D26" s="137" t="s">
        <v>263</v>
      </c>
      <c r="E26" s="154"/>
      <c r="F26" s="127" t="s">
        <v>272</v>
      </c>
      <c r="G26" s="128" t="s">
        <v>273</v>
      </c>
      <c r="H26" s="129" t="s">
        <v>274</v>
      </c>
    </row>
    <row r="27" spans="2:8" ht="54.95" customHeight="1">
      <c r="B27" s="105" t="s">
        <v>73</v>
      </c>
      <c r="C27" s="42" t="s">
        <v>275</v>
      </c>
      <c r="D27" s="137" t="s">
        <v>263</v>
      </c>
      <c r="E27" s="154"/>
      <c r="F27" s="127" t="s">
        <v>276</v>
      </c>
      <c r="G27" s="128" t="s">
        <v>277</v>
      </c>
      <c r="H27" s="129" t="s">
        <v>278</v>
      </c>
    </row>
    <row r="28" spans="2:8" ht="54.95" customHeight="1">
      <c r="B28" s="105" t="s">
        <v>75</v>
      </c>
      <c r="C28" s="42" t="s">
        <v>279</v>
      </c>
      <c r="D28" s="137" t="s">
        <v>263</v>
      </c>
      <c r="E28" s="154"/>
      <c r="F28" s="127" t="s">
        <v>280</v>
      </c>
      <c r="G28" s="128" t="s">
        <v>281</v>
      </c>
      <c r="H28" s="129" t="s">
        <v>282</v>
      </c>
    </row>
    <row r="29" spans="2:8" ht="54.95" customHeight="1">
      <c r="B29" s="105" t="s">
        <v>77</v>
      </c>
      <c r="C29" s="42" t="s">
        <v>283</v>
      </c>
      <c r="D29" s="137" t="s">
        <v>263</v>
      </c>
      <c r="E29" s="154"/>
      <c r="F29" s="127" t="s">
        <v>284</v>
      </c>
      <c r="G29" s="128" t="s">
        <v>285</v>
      </c>
      <c r="H29" s="129" t="s">
        <v>286</v>
      </c>
    </row>
    <row r="30" spans="2:8" ht="54.95" customHeight="1">
      <c r="B30" s="105" t="s">
        <v>79</v>
      </c>
      <c r="C30" s="42" t="s">
        <v>287</v>
      </c>
      <c r="D30" s="137" t="s">
        <v>263</v>
      </c>
      <c r="E30" s="154"/>
      <c r="F30" s="127" t="s">
        <v>288</v>
      </c>
      <c r="G30" s="128" t="s">
        <v>289</v>
      </c>
      <c r="H30" s="129" t="s">
        <v>290</v>
      </c>
    </row>
    <row r="31" spans="2:8" ht="18" customHeight="1">
      <c r="B31" s="105" t="s">
        <v>81</v>
      </c>
      <c r="C31" s="42" t="s">
        <v>291</v>
      </c>
      <c r="D31" s="137" t="s">
        <v>263</v>
      </c>
      <c r="E31" s="154"/>
      <c r="F31" s="127" t="s">
        <v>327</v>
      </c>
      <c r="G31" s="128" t="s">
        <v>328</v>
      </c>
      <c r="H31" s="129" t="s">
        <v>329</v>
      </c>
    </row>
    <row r="32" spans="2:8" ht="30" customHeight="1">
      <c r="B32" s="105" t="s">
        <v>84</v>
      </c>
      <c r="C32" s="42" t="s">
        <v>292</v>
      </c>
      <c r="D32" s="138" t="s">
        <v>236</v>
      </c>
      <c r="E32" s="146"/>
      <c r="F32" s="139" t="s">
        <v>293</v>
      </c>
      <c r="G32" s="128" t="s">
        <v>294</v>
      </c>
      <c r="H32" s="140" t="s">
        <v>295</v>
      </c>
    </row>
    <row r="33" spans="2:8" ht="20.100000000000001" customHeight="1">
      <c r="B33" s="102" t="s">
        <v>296</v>
      </c>
      <c r="C33" s="103"/>
      <c r="D33" s="1"/>
      <c r="E33" s="1"/>
      <c r="F33" s="1"/>
      <c r="G33" s="1"/>
      <c r="H33" s="2"/>
    </row>
    <row r="34" spans="2:8" ht="39.950000000000003" customHeight="1">
      <c r="B34" s="141" t="s">
        <v>297</v>
      </c>
      <c r="C34" s="173" t="s">
        <v>298</v>
      </c>
      <c r="D34" s="199"/>
      <c r="E34" s="199"/>
      <c r="F34" s="199"/>
      <c r="G34" s="199"/>
      <c r="H34" s="200"/>
    </row>
    <row r="35" spans="2:8" ht="20.100000000000001" customHeight="1">
      <c r="B35" s="143" t="s">
        <v>88</v>
      </c>
      <c r="C35" s="42" t="s">
        <v>89</v>
      </c>
      <c r="D35" s="137" t="s">
        <v>244</v>
      </c>
      <c r="E35" s="157"/>
      <c r="F35" s="144" t="s">
        <v>299</v>
      </c>
      <c r="G35" s="145" t="s">
        <v>300</v>
      </c>
      <c r="H35" s="121"/>
    </row>
    <row r="36" spans="2:8" ht="20.100000000000001" customHeight="1">
      <c r="B36" s="130" t="s">
        <v>241</v>
      </c>
      <c r="C36" s="150" t="s">
        <v>381</v>
      </c>
      <c r="D36" s="1"/>
      <c r="E36" s="1"/>
      <c r="F36" s="1"/>
      <c r="G36" s="1"/>
      <c r="H36" s="2"/>
    </row>
    <row r="37" spans="2:8" ht="20.100000000000001" customHeight="1">
      <c r="B37" s="143" t="s">
        <v>91</v>
      </c>
      <c r="C37" s="42" t="s">
        <v>92</v>
      </c>
      <c r="D37" s="137" t="s">
        <v>244</v>
      </c>
      <c r="E37" s="157"/>
      <c r="F37" s="144" t="s">
        <v>299</v>
      </c>
      <c r="G37" s="145" t="s">
        <v>300</v>
      </c>
      <c r="H37" s="121"/>
    </row>
    <row r="38" spans="2:8" ht="20.100000000000001" customHeight="1">
      <c r="B38" s="143" t="s">
        <v>94</v>
      </c>
      <c r="C38" s="42" t="s">
        <v>302</v>
      </c>
      <c r="D38" s="137" t="s">
        <v>244</v>
      </c>
      <c r="E38" s="157"/>
      <c r="F38" s="144" t="s">
        <v>299</v>
      </c>
      <c r="G38" s="145" t="s">
        <v>300</v>
      </c>
      <c r="H38" s="121"/>
    </row>
    <row r="39" spans="2:8" ht="20.100000000000001" customHeight="1">
      <c r="B39" s="143" t="s">
        <v>97</v>
      </c>
      <c r="C39" s="42" t="s">
        <v>98</v>
      </c>
      <c r="D39" s="137" t="s">
        <v>244</v>
      </c>
      <c r="E39" s="157"/>
      <c r="F39" s="144" t="s">
        <v>299</v>
      </c>
      <c r="G39" s="145" t="s">
        <v>300</v>
      </c>
      <c r="H39" s="121"/>
    </row>
    <row r="40" spans="2:8" ht="20.100000000000001" customHeight="1">
      <c r="B40" s="143" t="s">
        <v>100</v>
      </c>
      <c r="C40" s="42" t="s">
        <v>101</v>
      </c>
      <c r="D40" s="137" t="s">
        <v>244</v>
      </c>
      <c r="E40" s="157"/>
      <c r="F40" s="144" t="s">
        <v>299</v>
      </c>
      <c r="G40" s="145" t="s">
        <v>300</v>
      </c>
      <c r="H40" s="121"/>
    </row>
    <row r="41" spans="2:8" ht="18" customHeight="1">
      <c r="B41" s="143" t="s">
        <v>103</v>
      </c>
      <c r="C41" s="42" t="s">
        <v>104</v>
      </c>
      <c r="D41" s="84" t="s">
        <v>244</v>
      </c>
      <c r="E41" s="146"/>
      <c r="F41" s="127" t="s">
        <v>299</v>
      </c>
      <c r="G41" s="128" t="s">
        <v>300</v>
      </c>
      <c r="H41" s="129" t="s">
        <v>298</v>
      </c>
    </row>
    <row r="42" spans="2:8" ht="30" customHeight="1">
      <c r="B42" s="143" t="s">
        <v>106</v>
      </c>
      <c r="C42" s="42" t="s">
        <v>303</v>
      </c>
      <c r="D42" s="84" t="s">
        <v>244</v>
      </c>
      <c r="E42" s="146"/>
      <c r="F42" s="127" t="s">
        <v>299</v>
      </c>
      <c r="G42" s="128" t="s">
        <v>300</v>
      </c>
      <c r="H42" s="129" t="s">
        <v>298</v>
      </c>
    </row>
    <row r="43" spans="2:8" ht="20.100000000000001" customHeight="1">
      <c r="B43" s="102" t="s">
        <v>304</v>
      </c>
      <c r="C43" s="103"/>
      <c r="D43" s="103"/>
      <c r="E43" s="103"/>
      <c r="F43" s="103"/>
      <c r="G43" s="103"/>
      <c r="H43" s="103"/>
    </row>
    <row r="44" spans="2:8" ht="20.100000000000001" customHeight="1">
      <c r="B44" s="141" t="s">
        <v>297</v>
      </c>
      <c r="C44" s="142" t="s">
        <v>298</v>
      </c>
      <c r="D44" s="1"/>
      <c r="E44" s="1"/>
      <c r="F44" s="1"/>
      <c r="G44" s="1"/>
      <c r="H44" s="2"/>
    </row>
    <row r="45" spans="2:8" ht="20.100000000000001" customHeight="1">
      <c r="B45" s="143" t="s">
        <v>110</v>
      </c>
      <c r="C45" s="42" t="s">
        <v>111</v>
      </c>
      <c r="D45" s="137" t="s">
        <v>244</v>
      </c>
      <c r="E45" s="157"/>
      <c r="F45" s="144" t="s">
        <v>299</v>
      </c>
      <c r="G45" s="145" t="s">
        <v>300</v>
      </c>
      <c r="H45" s="121"/>
    </row>
    <row r="46" spans="2:8" ht="20.100000000000001" customHeight="1">
      <c r="B46" s="143" t="s">
        <v>113</v>
      </c>
      <c r="C46" s="42" t="s">
        <v>114</v>
      </c>
      <c r="D46" s="137" t="s">
        <v>244</v>
      </c>
      <c r="E46" s="157"/>
      <c r="F46" s="144" t="s">
        <v>299</v>
      </c>
      <c r="G46" s="145" t="s">
        <v>300</v>
      </c>
      <c r="H46" s="121"/>
    </row>
    <row r="47" spans="2:8" ht="18" customHeight="1">
      <c r="B47" s="143" t="s">
        <v>116</v>
      </c>
      <c r="C47" s="42" t="s">
        <v>117</v>
      </c>
      <c r="D47" s="84" t="s">
        <v>244</v>
      </c>
      <c r="E47" s="146"/>
      <c r="F47" s="127" t="s">
        <v>299</v>
      </c>
      <c r="G47" s="128" t="s">
        <v>300</v>
      </c>
      <c r="H47" s="129" t="s">
        <v>298</v>
      </c>
    </row>
    <row r="48" spans="2:8" ht="30" customHeight="1">
      <c r="B48" s="143" t="s">
        <v>119</v>
      </c>
      <c r="C48" s="42" t="s">
        <v>120</v>
      </c>
      <c r="D48" s="84" t="s">
        <v>244</v>
      </c>
      <c r="E48" s="146"/>
      <c r="F48" s="127" t="s">
        <v>299</v>
      </c>
      <c r="G48" s="128" t="s">
        <v>300</v>
      </c>
      <c r="H48" s="129" t="s">
        <v>298</v>
      </c>
    </row>
    <row r="49" spans="2:8" ht="20.100000000000001" customHeight="1">
      <c r="B49" s="102" t="s">
        <v>306</v>
      </c>
      <c r="C49" s="103"/>
      <c r="D49" s="1"/>
      <c r="E49" s="1"/>
      <c r="F49" s="1"/>
      <c r="G49" s="1"/>
      <c r="H49" s="2"/>
    </row>
    <row r="50" spans="2:8" ht="39.950000000000003" customHeight="1">
      <c r="B50" s="141" t="s">
        <v>297</v>
      </c>
      <c r="C50" s="173" t="s">
        <v>298</v>
      </c>
      <c r="D50" s="199"/>
      <c r="E50" s="199"/>
      <c r="F50" s="199"/>
      <c r="G50" s="199"/>
      <c r="H50" s="200"/>
    </row>
    <row r="51" spans="2:8" ht="20.100000000000001" customHeight="1">
      <c r="B51" s="143" t="s">
        <v>123</v>
      </c>
      <c r="C51" s="42" t="s">
        <v>307</v>
      </c>
      <c r="D51" s="137" t="s">
        <v>244</v>
      </c>
      <c r="E51" s="157"/>
      <c r="F51" s="144" t="s">
        <v>299</v>
      </c>
      <c r="G51" s="145" t="s">
        <v>300</v>
      </c>
      <c r="H51" s="121"/>
    </row>
    <row r="52" spans="2:8" ht="20.100000000000001" customHeight="1">
      <c r="B52" s="130" t="s">
        <v>241</v>
      </c>
      <c r="C52" s="150" t="s">
        <v>392</v>
      </c>
      <c r="D52" s="1"/>
      <c r="E52" s="1"/>
      <c r="F52" s="1"/>
      <c r="G52" s="1"/>
      <c r="H52" s="2"/>
    </row>
    <row r="53" spans="2:8" ht="20.100000000000001" customHeight="1">
      <c r="B53" s="143" t="s">
        <v>126</v>
      </c>
      <c r="C53" s="42" t="s">
        <v>309</v>
      </c>
      <c r="D53" s="137" t="s">
        <v>244</v>
      </c>
      <c r="E53" s="157"/>
      <c r="F53" s="144" t="s">
        <v>299</v>
      </c>
      <c r="G53" s="145" t="s">
        <v>300</v>
      </c>
      <c r="H53" s="121"/>
    </row>
    <row r="54" spans="2:8" ht="20.100000000000001" customHeight="1">
      <c r="B54" s="143" t="s">
        <v>129</v>
      </c>
      <c r="C54" s="42" t="s">
        <v>130</v>
      </c>
      <c r="D54" s="137" t="s">
        <v>244</v>
      </c>
      <c r="E54" s="157"/>
      <c r="F54" s="144" t="s">
        <v>299</v>
      </c>
      <c r="G54" s="145" t="s">
        <v>300</v>
      </c>
      <c r="H54" s="121"/>
    </row>
    <row r="55" spans="2:8" ht="18" customHeight="1">
      <c r="B55" s="143" t="s">
        <v>132</v>
      </c>
      <c r="C55" s="42" t="s">
        <v>310</v>
      </c>
      <c r="D55" s="1"/>
      <c r="E55" s="1"/>
      <c r="F55" s="1"/>
      <c r="G55" s="1"/>
      <c r="H55" s="2"/>
    </row>
    <row r="56" spans="2:8" ht="30" customHeight="1">
      <c r="B56" s="143" t="s">
        <v>135</v>
      </c>
      <c r="C56" s="177" t="s">
        <v>311</v>
      </c>
      <c r="D56" s="199"/>
      <c r="E56" s="199"/>
      <c r="F56" s="199"/>
      <c r="G56" s="199"/>
      <c r="H56" s="200"/>
    </row>
    <row r="57" spans="2:8" ht="20.100000000000001" customHeight="1">
      <c r="B57" s="102" t="s">
        <v>313</v>
      </c>
      <c r="C57" s="103"/>
      <c r="D57" s="103"/>
      <c r="E57" s="103"/>
      <c r="F57" s="103"/>
      <c r="G57" s="103"/>
      <c r="H57" s="103"/>
    </row>
    <row r="58" spans="2:8" ht="20.100000000000001" customHeight="1">
      <c r="B58" s="141" t="s">
        <v>297</v>
      </c>
      <c r="C58" s="142" t="s">
        <v>298</v>
      </c>
      <c r="D58" s="1"/>
      <c r="E58" s="1"/>
      <c r="F58" s="1"/>
      <c r="G58" s="1"/>
      <c r="H58" s="2"/>
    </row>
    <row r="59" spans="2:8" ht="20.100000000000001" customHeight="1">
      <c r="B59" s="143" t="s">
        <v>139</v>
      </c>
      <c r="C59" s="42" t="s">
        <v>314</v>
      </c>
      <c r="D59" s="137" t="s">
        <v>244</v>
      </c>
      <c r="E59" s="157"/>
      <c r="F59" s="144" t="s">
        <v>299</v>
      </c>
      <c r="G59" s="145" t="s">
        <v>300</v>
      </c>
      <c r="H59" s="121"/>
    </row>
    <row r="60" spans="2:8" ht="20.100000000000001" customHeight="1">
      <c r="B60" s="143" t="s">
        <v>142</v>
      </c>
      <c r="C60" s="42" t="s">
        <v>143</v>
      </c>
      <c r="D60" s="137" t="s">
        <v>244</v>
      </c>
      <c r="E60" s="157"/>
      <c r="F60" s="144" t="s">
        <v>299</v>
      </c>
      <c r="G60" s="145" t="s">
        <v>300</v>
      </c>
      <c r="H60" s="121"/>
    </row>
    <row r="61" spans="2:8" ht="20.100000000000001" customHeight="1">
      <c r="B61" s="143" t="s">
        <v>145</v>
      </c>
      <c r="C61" s="42" t="s">
        <v>315</v>
      </c>
      <c r="D61" s="137" t="s">
        <v>244</v>
      </c>
      <c r="E61" s="157"/>
      <c r="F61" s="144" t="s">
        <v>299</v>
      </c>
      <c r="G61" s="145" t="s">
        <v>300</v>
      </c>
      <c r="H61" s="121"/>
    </row>
    <row r="62" spans="2:8" ht="20.100000000000001" customHeight="1">
      <c r="B62" s="143" t="s">
        <v>148</v>
      </c>
      <c r="C62" s="42" t="s">
        <v>316</v>
      </c>
      <c r="D62" s="137" t="s">
        <v>244</v>
      </c>
      <c r="E62" s="157"/>
      <c r="F62" s="144" t="s">
        <v>299</v>
      </c>
      <c r="G62" s="145" t="s">
        <v>300</v>
      </c>
      <c r="H62" s="121"/>
    </row>
    <row r="63" spans="2:8" ht="18" customHeight="1">
      <c r="B63" s="143" t="s">
        <v>151</v>
      </c>
      <c r="C63" s="42" t="s">
        <v>152</v>
      </c>
      <c r="D63" s="137" t="s">
        <v>244</v>
      </c>
      <c r="E63" s="157"/>
      <c r="F63" s="144" t="s">
        <v>299</v>
      </c>
      <c r="G63" s="145" t="s">
        <v>300</v>
      </c>
      <c r="H63" s="2"/>
    </row>
    <row r="64" spans="2:8" ht="30" customHeight="1">
      <c r="B64" s="143" t="s">
        <v>154</v>
      </c>
      <c r="C64" s="42" t="s">
        <v>155</v>
      </c>
      <c r="D64" s="137" t="s">
        <v>244</v>
      </c>
      <c r="E64" s="157"/>
      <c r="F64" s="144" t="s">
        <v>299</v>
      </c>
      <c r="G64" s="145" t="s">
        <v>300</v>
      </c>
      <c r="H64" s="2"/>
    </row>
    <row r="65" spans="2:8" ht="20.100000000000001" customHeight="1">
      <c r="B65" s="141" t="s">
        <v>297</v>
      </c>
      <c r="C65" s="142" t="s">
        <v>298</v>
      </c>
      <c r="D65" s="1"/>
      <c r="E65" s="1"/>
      <c r="F65" s="1"/>
      <c r="G65" s="1"/>
      <c r="H65" s="2"/>
    </row>
    <row r="67" spans="2:8" ht="30" customHeight="1">
      <c r="B67" s="147" t="s">
        <v>317</v>
      </c>
      <c r="C67" s="170" t="s">
        <v>318</v>
      </c>
      <c r="D67" s="199"/>
      <c r="E67" s="199"/>
      <c r="F67" s="199"/>
      <c r="G67" s="199"/>
      <c r="H67" s="200"/>
    </row>
  </sheetData>
  <mergeCells count="7">
    <mergeCell ref="C67:H67"/>
    <mergeCell ref="C16:H16"/>
    <mergeCell ref="C50:H50"/>
    <mergeCell ref="N12:O12"/>
    <mergeCell ref="C34:H34"/>
    <mergeCell ref="C56:H56"/>
    <mergeCell ref="H12:M12"/>
  </mergeCells>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B1:O67"/>
  <sheetViews>
    <sheetView topLeftCell="A28" workbookViewId="0">
      <selection activeCell="G31" sqref="G31"/>
    </sheetView>
  </sheetViews>
  <sheetFormatPr defaultRowHeight="14.45"/>
  <cols>
    <col min="1" max="1" width="2" customWidth="1"/>
    <col min="2" max="2" width="28" customWidth="1"/>
    <col min="3" max="3" width="45" bestFit="1" customWidth="1"/>
    <col min="4" max="4" width="18" customWidth="1"/>
    <col min="5" max="7" width="14" customWidth="1"/>
    <col min="8" max="8" width="55" customWidth="1"/>
    <col min="9" max="13" width="30.140625" customWidth="1"/>
  </cols>
  <sheetData>
    <row r="1" spans="2:15" ht="27.95" customHeight="1">
      <c r="B1" s="118" t="s">
        <v>440</v>
      </c>
      <c r="C1" s="68"/>
      <c r="D1" s="68"/>
      <c r="E1" s="68"/>
      <c r="F1" s="68"/>
      <c r="G1" s="68"/>
      <c r="H1" s="68"/>
    </row>
    <row r="2" spans="2:15" ht="15.95" customHeight="1">
      <c r="B2" s="19" t="s">
        <v>216</v>
      </c>
      <c r="C2" s="43" t="s">
        <v>217</v>
      </c>
      <c r="D2" s="43" t="s">
        <v>218</v>
      </c>
      <c r="E2" s="103"/>
      <c r="F2" s="103"/>
      <c r="G2" s="103"/>
      <c r="H2" s="43" t="s">
        <v>219</v>
      </c>
    </row>
    <row r="3" spans="2:15" ht="15.95" customHeight="1">
      <c r="B3" s="119" t="s">
        <v>220</v>
      </c>
      <c r="C3" s="42"/>
      <c r="D3" s="121"/>
      <c r="E3" s="121"/>
      <c r="F3" s="121"/>
      <c r="G3" s="121"/>
      <c r="H3" s="121"/>
    </row>
    <row r="4" spans="2:15" ht="15.95" customHeight="1">
      <c r="B4" s="119" t="s">
        <v>199</v>
      </c>
      <c r="C4" s="42"/>
      <c r="D4" s="121"/>
      <c r="E4" s="121"/>
      <c r="F4" s="121"/>
      <c r="G4" s="121"/>
      <c r="H4" s="121"/>
    </row>
    <row r="5" spans="2:15" ht="15.95" customHeight="1">
      <c r="B5" s="119" t="s">
        <v>224</v>
      </c>
      <c r="C5" s="42"/>
      <c r="D5" s="121"/>
      <c r="E5" s="121"/>
      <c r="F5" s="121"/>
      <c r="G5" s="121"/>
      <c r="H5" s="121"/>
    </row>
    <row r="6" spans="2:15" ht="15.95" customHeight="1">
      <c r="B6" s="119" t="s">
        <v>226</v>
      </c>
      <c r="C6" s="42"/>
      <c r="D6" s="121"/>
      <c r="E6" s="121"/>
      <c r="F6" s="121"/>
      <c r="G6" s="121"/>
      <c r="H6" s="121"/>
    </row>
    <row r="7" spans="2:15" ht="15.95" customHeight="1">
      <c r="B7" s="119" t="s">
        <v>227</v>
      </c>
      <c r="C7" s="42"/>
      <c r="D7" s="121"/>
      <c r="E7" s="121"/>
      <c r="F7" s="121"/>
      <c r="G7" s="121"/>
      <c r="H7" s="121"/>
    </row>
    <row r="8" spans="2:15" ht="15.95" customHeight="1">
      <c r="B8" s="119" t="s">
        <v>229</v>
      </c>
      <c r="C8" s="42"/>
      <c r="D8" s="121"/>
      <c r="E8" s="121"/>
      <c r="F8" s="121"/>
      <c r="G8" s="121"/>
      <c r="H8" s="121"/>
    </row>
    <row r="9" spans="2:15" ht="15.95" customHeight="1">
      <c r="B9" s="119" t="s">
        <v>231</v>
      </c>
      <c r="C9" s="42"/>
      <c r="D9" s="121"/>
      <c r="E9" s="121"/>
      <c r="F9" s="121"/>
      <c r="G9" s="121"/>
      <c r="H9" s="121"/>
    </row>
    <row r="10" spans="2:15" ht="15.95" customHeight="1">
      <c r="B10" s="119" t="s">
        <v>201</v>
      </c>
      <c r="C10" s="42"/>
      <c r="D10" s="121"/>
      <c r="E10" s="121"/>
      <c r="F10" s="121"/>
      <c r="G10" s="121"/>
      <c r="H10" s="121"/>
    </row>
    <row r="11" spans="2:15" ht="15.95" customHeight="1">
      <c r="B11" s="119" t="s">
        <v>203</v>
      </c>
      <c r="C11" s="42"/>
      <c r="D11" s="121"/>
      <c r="E11" s="121"/>
      <c r="F11" s="121"/>
      <c r="G11" s="121"/>
      <c r="H11" s="121"/>
    </row>
    <row r="12" spans="2:15" ht="15.95" customHeight="1">
      <c r="B12" s="119" t="s">
        <v>232</v>
      </c>
      <c r="C12" s="42"/>
      <c r="D12" s="121"/>
      <c r="E12" s="121"/>
      <c r="F12" s="121"/>
      <c r="G12" s="121"/>
      <c r="H12" s="174"/>
      <c r="I12" s="199"/>
      <c r="J12" s="199"/>
      <c r="K12" s="199"/>
      <c r="L12" s="199"/>
      <c r="M12" s="200"/>
      <c r="N12" s="201"/>
      <c r="O12" s="201"/>
    </row>
    <row r="13" spans="2:15" ht="15.95" customHeight="1">
      <c r="B13" s="119" t="s">
        <v>161</v>
      </c>
      <c r="C13" s="42"/>
      <c r="D13" s="121"/>
      <c r="E13" s="121"/>
      <c r="F13" s="121"/>
      <c r="G13" s="121"/>
      <c r="H13" s="121"/>
    </row>
    <row r="14" spans="2:15" ht="15.95" customHeight="1">
      <c r="B14" s="68"/>
      <c r="C14" s="68"/>
      <c r="D14" s="68"/>
      <c r="E14" s="68"/>
      <c r="F14" s="68"/>
      <c r="G14" s="68"/>
      <c r="H14" s="68"/>
      <c r="I14" s="1"/>
      <c r="J14" s="1"/>
      <c r="K14" s="1"/>
      <c r="L14" s="1"/>
      <c r="M14" s="2"/>
    </row>
    <row r="15" spans="2:15" ht="54.95" customHeight="1">
      <c r="B15" s="123" t="s">
        <v>46</v>
      </c>
      <c r="C15" s="124" t="s">
        <v>47</v>
      </c>
      <c r="D15" s="1"/>
      <c r="E15" s="1"/>
      <c r="F15" s="1"/>
      <c r="G15" s="1"/>
      <c r="H15" s="2"/>
    </row>
    <row r="16" spans="2:15" ht="39.950000000000003" customHeight="1">
      <c r="B16" s="102" t="s">
        <v>234</v>
      </c>
      <c r="C16" s="172"/>
      <c r="D16" s="199"/>
      <c r="E16" s="199"/>
      <c r="F16" s="199"/>
      <c r="G16" s="199"/>
      <c r="H16" s="200"/>
    </row>
    <row r="17" spans="2:8" ht="54.95" customHeight="1">
      <c r="B17" s="105" t="s">
        <v>52</v>
      </c>
      <c r="C17" s="119" t="s">
        <v>235</v>
      </c>
      <c r="D17" s="125" t="s">
        <v>236</v>
      </c>
      <c r="E17" s="154"/>
      <c r="F17" s="127" t="s">
        <v>237</v>
      </c>
      <c r="G17" s="128" t="s">
        <v>238</v>
      </c>
      <c r="H17" s="129" t="s">
        <v>239</v>
      </c>
    </row>
    <row r="18" spans="2:8" ht="54.95" customHeight="1">
      <c r="B18" s="130" t="s">
        <v>241</v>
      </c>
      <c r="C18" s="150" t="s">
        <v>330</v>
      </c>
      <c r="D18" s="1"/>
      <c r="E18" s="1"/>
      <c r="F18" s="1"/>
      <c r="G18" s="1"/>
      <c r="H18" s="2"/>
    </row>
    <row r="19" spans="2:8" ht="54.95" customHeight="1">
      <c r="B19" s="105" t="s">
        <v>56</v>
      </c>
      <c r="C19" s="119" t="s">
        <v>243</v>
      </c>
      <c r="D19" s="125" t="s">
        <v>244</v>
      </c>
      <c r="E19" s="154"/>
      <c r="F19" s="127" t="s">
        <v>245</v>
      </c>
      <c r="G19" s="128" t="s">
        <v>246</v>
      </c>
      <c r="H19" s="129" t="s">
        <v>247</v>
      </c>
    </row>
    <row r="20" spans="2:8" ht="18" customHeight="1">
      <c r="B20" s="105" t="s">
        <v>59</v>
      </c>
      <c r="C20" s="119" t="s">
        <v>248</v>
      </c>
      <c r="D20" s="125" t="s">
        <v>244</v>
      </c>
      <c r="E20" s="154"/>
      <c r="F20" s="127" t="s">
        <v>249</v>
      </c>
      <c r="G20" s="128" t="s">
        <v>250</v>
      </c>
      <c r="H20" s="129" t="s">
        <v>251</v>
      </c>
    </row>
    <row r="21" spans="2:8" ht="15.95" customHeight="1">
      <c r="B21" s="105" t="s">
        <v>62</v>
      </c>
      <c r="C21" s="119" t="s">
        <v>252</v>
      </c>
      <c r="D21" s="125" t="s">
        <v>244</v>
      </c>
      <c r="E21" s="154"/>
      <c r="F21" s="127" t="s">
        <v>253</v>
      </c>
      <c r="G21" s="128" t="s">
        <v>254</v>
      </c>
      <c r="H21" s="129" t="s">
        <v>255</v>
      </c>
    </row>
    <row r="22" spans="2:8" ht="54.95" customHeight="1">
      <c r="B22" s="102" t="s">
        <v>256</v>
      </c>
      <c r="C22" s="103"/>
      <c r="D22" s="103"/>
      <c r="E22" s="103"/>
      <c r="F22" s="103"/>
      <c r="G22" s="103"/>
      <c r="H22" s="103"/>
    </row>
    <row r="23" spans="2:8" ht="54.95" customHeight="1">
      <c r="B23" s="132" t="s">
        <v>46</v>
      </c>
      <c r="C23" s="133" t="s">
        <v>47</v>
      </c>
      <c r="D23" s="132" t="s">
        <v>257</v>
      </c>
      <c r="E23" s="134" t="s">
        <v>258</v>
      </c>
      <c r="F23" s="135" t="s">
        <v>259</v>
      </c>
      <c r="G23" s="136" t="s">
        <v>260</v>
      </c>
      <c r="H23" s="133" t="s">
        <v>261</v>
      </c>
    </row>
    <row r="24" spans="2:8" ht="54.95" customHeight="1">
      <c r="B24" s="105" t="s">
        <v>66</v>
      </c>
      <c r="C24" s="42" t="s">
        <v>262</v>
      </c>
      <c r="D24" s="137" t="s">
        <v>263</v>
      </c>
      <c r="E24" s="154"/>
      <c r="F24" s="127" t="s">
        <v>264</v>
      </c>
      <c r="G24" s="128" t="s">
        <v>265</v>
      </c>
      <c r="H24" s="129" t="s">
        <v>266</v>
      </c>
    </row>
    <row r="25" spans="2:8" ht="54.95" customHeight="1">
      <c r="B25" s="105" t="s">
        <v>69</v>
      </c>
      <c r="C25" s="42" t="s">
        <v>267</v>
      </c>
      <c r="D25" s="137" t="s">
        <v>263</v>
      </c>
      <c r="E25" s="154"/>
      <c r="F25" s="127" t="s">
        <v>268</v>
      </c>
      <c r="G25" s="128" t="s">
        <v>269</v>
      </c>
      <c r="H25" s="129" t="s">
        <v>270</v>
      </c>
    </row>
    <row r="26" spans="2:8" ht="54.95" customHeight="1">
      <c r="B26" s="105" t="s">
        <v>71</v>
      </c>
      <c r="C26" s="42" t="s">
        <v>271</v>
      </c>
      <c r="D26" s="137" t="s">
        <v>263</v>
      </c>
      <c r="E26" s="154"/>
      <c r="F26" s="127" t="s">
        <v>272</v>
      </c>
      <c r="G26" s="128" t="s">
        <v>273</v>
      </c>
      <c r="H26" s="129" t="s">
        <v>274</v>
      </c>
    </row>
    <row r="27" spans="2:8" ht="54.95" customHeight="1">
      <c r="B27" s="105" t="s">
        <v>73</v>
      </c>
      <c r="C27" s="42" t="s">
        <v>275</v>
      </c>
      <c r="D27" s="137" t="s">
        <v>263</v>
      </c>
      <c r="E27" s="154"/>
      <c r="F27" s="127" t="s">
        <v>276</v>
      </c>
      <c r="G27" s="128" t="s">
        <v>277</v>
      </c>
      <c r="H27" s="129" t="s">
        <v>278</v>
      </c>
    </row>
    <row r="28" spans="2:8" ht="54.95" customHeight="1">
      <c r="B28" s="105" t="s">
        <v>75</v>
      </c>
      <c r="C28" s="42" t="s">
        <v>279</v>
      </c>
      <c r="D28" s="137" t="s">
        <v>263</v>
      </c>
      <c r="E28" s="154"/>
      <c r="F28" s="127" t="s">
        <v>280</v>
      </c>
      <c r="G28" s="128" t="s">
        <v>281</v>
      </c>
      <c r="H28" s="129" t="s">
        <v>282</v>
      </c>
    </row>
    <row r="29" spans="2:8" ht="54.95" customHeight="1">
      <c r="B29" s="105" t="s">
        <v>77</v>
      </c>
      <c r="C29" s="42" t="s">
        <v>283</v>
      </c>
      <c r="D29" s="137" t="s">
        <v>263</v>
      </c>
      <c r="E29" s="154"/>
      <c r="F29" s="127" t="s">
        <v>284</v>
      </c>
      <c r="G29" s="128" t="s">
        <v>285</v>
      </c>
      <c r="H29" s="129" t="s">
        <v>286</v>
      </c>
    </row>
    <row r="30" spans="2:8" ht="54.95" customHeight="1">
      <c r="B30" s="105" t="s">
        <v>79</v>
      </c>
      <c r="C30" s="42" t="s">
        <v>287</v>
      </c>
      <c r="D30" s="137" t="s">
        <v>263</v>
      </c>
      <c r="E30" s="154"/>
      <c r="F30" s="127" t="s">
        <v>288</v>
      </c>
      <c r="G30" s="128" t="s">
        <v>289</v>
      </c>
      <c r="H30" s="129" t="s">
        <v>290</v>
      </c>
    </row>
    <row r="31" spans="2:8" ht="18" customHeight="1">
      <c r="B31" s="105" t="s">
        <v>81</v>
      </c>
      <c r="C31" s="42" t="s">
        <v>291</v>
      </c>
      <c r="D31" s="137" t="s">
        <v>263</v>
      </c>
      <c r="E31" s="154"/>
      <c r="F31" s="127" t="s">
        <v>327</v>
      </c>
      <c r="G31" s="128" t="s">
        <v>328</v>
      </c>
      <c r="H31" s="129" t="s">
        <v>329</v>
      </c>
    </row>
    <row r="32" spans="2:8" ht="30" customHeight="1">
      <c r="B32" s="105" t="s">
        <v>84</v>
      </c>
      <c r="C32" s="42" t="s">
        <v>292</v>
      </c>
      <c r="D32" s="138" t="s">
        <v>236</v>
      </c>
      <c r="E32" s="146"/>
      <c r="F32" s="139" t="s">
        <v>293</v>
      </c>
      <c r="G32" s="128" t="s">
        <v>294</v>
      </c>
      <c r="H32" s="140" t="s">
        <v>295</v>
      </c>
    </row>
    <row r="33" spans="2:8" ht="20.100000000000001" customHeight="1">
      <c r="B33" s="102" t="s">
        <v>296</v>
      </c>
      <c r="C33" s="103"/>
      <c r="D33" s="1"/>
      <c r="E33" s="1"/>
      <c r="F33" s="1"/>
      <c r="G33" s="1"/>
      <c r="H33" s="2"/>
    </row>
    <row r="34" spans="2:8" ht="39.950000000000003" customHeight="1">
      <c r="B34" s="141" t="s">
        <v>297</v>
      </c>
      <c r="C34" s="173" t="s">
        <v>298</v>
      </c>
      <c r="D34" s="199"/>
      <c r="E34" s="199"/>
      <c r="F34" s="199"/>
      <c r="G34" s="199"/>
      <c r="H34" s="200"/>
    </row>
    <row r="35" spans="2:8" ht="20.100000000000001" customHeight="1">
      <c r="B35" s="143" t="s">
        <v>88</v>
      </c>
      <c r="C35" s="42" t="s">
        <v>89</v>
      </c>
      <c r="D35" s="137" t="s">
        <v>244</v>
      </c>
      <c r="E35" s="157"/>
      <c r="F35" s="144" t="s">
        <v>299</v>
      </c>
      <c r="G35" s="145" t="s">
        <v>300</v>
      </c>
      <c r="H35" s="121"/>
    </row>
    <row r="36" spans="2:8" ht="20.100000000000001" customHeight="1">
      <c r="B36" s="130" t="s">
        <v>241</v>
      </c>
      <c r="C36" s="150" t="s">
        <v>381</v>
      </c>
      <c r="D36" s="1"/>
      <c r="E36" s="1"/>
      <c r="F36" s="1"/>
      <c r="G36" s="1"/>
      <c r="H36" s="2"/>
    </row>
    <row r="37" spans="2:8" ht="20.100000000000001" customHeight="1">
      <c r="B37" s="143" t="s">
        <v>91</v>
      </c>
      <c r="C37" s="42" t="s">
        <v>92</v>
      </c>
      <c r="D37" s="137" t="s">
        <v>244</v>
      </c>
      <c r="E37" s="157"/>
      <c r="F37" s="144" t="s">
        <v>299</v>
      </c>
      <c r="G37" s="145" t="s">
        <v>300</v>
      </c>
      <c r="H37" s="121"/>
    </row>
    <row r="38" spans="2:8" ht="20.100000000000001" customHeight="1">
      <c r="B38" s="143" t="s">
        <v>94</v>
      </c>
      <c r="C38" s="42" t="s">
        <v>302</v>
      </c>
      <c r="D38" s="137" t="s">
        <v>244</v>
      </c>
      <c r="E38" s="157"/>
      <c r="F38" s="144" t="s">
        <v>299</v>
      </c>
      <c r="G38" s="145" t="s">
        <v>300</v>
      </c>
      <c r="H38" s="121"/>
    </row>
    <row r="39" spans="2:8" ht="20.100000000000001" customHeight="1">
      <c r="B39" s="143" t="s">
        <v>97</v>
      </c>
      <c r="C39" s="42" t="s">
        <v>98</v>
      </c>
      <c r="D39" s="137" t="s">
        <v>244</v>
      </c>
      <c r="E39" s="157"/>
      <c r="F39" s="144" t="s">
        <v>299</v>
      </c>
      <c r="G39" s="145" t="s">
        <v>300</v>
      </c>
      <c r="H39" s="121"/>
    </row>
    <row r="40" spans="2:8" ht="20.100000000000001" customHeight="1">
      <c r="B40" s="143" t="s">
        <v>100</v>
      </c>
      <c r="C40" s="42" t="s">
        <v>101</v>
      </c>
      <c r="D40" s="137" t="s">
        <v>244</v>
      </c>
      <c r="E40" s="157"/>
      <c r="F40" s="144" t="s">
        <v>299</v>
      </c>
      <c r="G40" s="145" t="s">
        <v>300</v>
      </c>
      <c r="H40" s="121"/>
    </row>
    <row r="41" spans="2:8" ht="18" customHeight="1">
      <c r="B41" s="143" t="s">
        <v>103</v>
      </c>
      <c r="C41" s="42" t="s">
        <v>104</v>
      </c>
      <c r="D41" s="84" t="s">
        <v>244</v>
      </c>
      <c r="E41" s="146"/>
      <c r="F41" s="127" t="s">
        <v>299</v>
      </c>
      <c r="G41" s="128" t="s">
        <v>300</v>
      </c>
      <c r="H41" s="129" t="s">
        <v>298</v>
      </c>
    </row>
    <row r="42" spans="2:8" ht="30" customHeight="1">
      <c r="B42" s="143" t="s">
        <v>106</v>
      </c>
      <c r="C42" s="42" t="s">
        <v>303</v>
      </c>
      <c r="D42" s="84" t="s">
        <v>244</v>
      </c>
      <c r="E42" s="146"/>
      <c r="F42" s="127" t="s">
        <v>299</v>
      </c>
      <c r="G42" s="128" t="s">
        <v>300</v>
      </c>
      <c r="H42" s="129" t="s">
        <v>298</v>
      </c>
    </row>
    <row r="43" spans="2:8" ht="20.100000000000001" customHeight="1">
      <c r="B43" s="102" t="s">
        <v>304</v>
      </c>
      <c r="C43" s="103"/>
      <c r="D43" s="103"/>
      <c r="E43" s="103"/>
      <c r="F43" s="103"/>
      <c r="G43" s="103"/>
      <c r="H43" s="103"/>
    </row>
    <row r="44" spans="2:8" ht="20.100000000000001" customHeight="1">
      <c r="B44" s="141" t="s">
        <v>297</v>
      </c>
      <c r="C44" s="142" t="s">
        <v>298</v>
      </c>
      <c r="D44" s="1"/>
      <c r="E44" s="1"/>
      <c r="F44" s="1"/>
      <c r="G44" s="1"/>
      <c r="H44" s="2"/>
    </row>
    <row r="45" spans="2:8" ht="20.100000000000001" customHeight="1">
      <c r="B45" s="143" t="s">
        <v>110</v>
      </c>
      <c r="C45" s="42" t="s">
        <v>111</v>
      </c>
      <c r="D45" s="137" t="s">
        <v>244</v>
      </c>
      <c r="E45" s="157"/>
      <c r="F45" s="144" t="s">
        <v>299</v>
      </c>
      <c r="G45" s="145" t="s">
        <v>300</v>
      </c>
      <c r="H45" s="121"/>
    </row>
    <row r="46" spans="2:8" ht="20.100000000000001" customHeight="1">
      <c r="B46" s="143" t="s">
        <v>113</v>
      </c>
      <c r="C46" s="42" t="s">
        <v>114</v>
      </c>
      <c r="D46" s="137" t="s">
        <v>244</v>
      </c>
      <c r="E46" s="157"/>
      <c r="F46" s="144" t="s">
        <v>299</v>
      </c>
      <c r="G46" s="145" t="s">
        <v>300</v>
      </c>
      <c r="H46" s="121"/>
    </row>
    <row r="47" spans="2:8" ht="18" customHeight="1">
      <c r="B47" s="143" t="s">
        <v>116</v>
      </c>
      <c r="C47" s="42" t="s">
        <v>117</v>
      </c>
      <c r="D47" s="84" t="s">
        <v>244</v>
      </c>
      <c r="E47" s="146"/>
      <c r="F47" s="127" t="s">
        <v>299</v>
      </c>
      <c r="G47" s="128" t="s">
        <v>300</v>
      </c>
      <c r="H47" s="129" t="s">
        <v>298</v>
      </c>
    </row>
    <row r="48" spans="2:8" ht="30" customHeight="1">
      <c r="B48" s="143" t="s">
        <v>119</v>
      </c>
      <c r="C48" s="42" t="s">
        <v>120</v>
      </c>
      <c r="D48" s="84" t="s">
        <v>244</v>
      </c>
      <c r="E48" s="146"/>
      <c r="F48" s="127" t="s">
        <v>299</v>
      </c>
      <c r="G48" s="128" t="s">
        <v>300</v>
      </c>
      <c r="H48" s="129" t="s">
        <v>298</v>
      </c>
    </row>
    <row r="49" spans="2:8" ht="20.100000000000001" customHeight="1">
      <c r="B49" s="102" t="s">
        <v>306</v>
      </c>
      <c r="C49" s="103"/>
      <c r="D49" s="1"/>
      <c r="E49" s="1"/>
      <c r="F49" s="1"/>
      <c r="G49" s="1"/>
      <c r="H49" s="2"/>
    </row>
    <row r="50" spans="2:8" ht="39.950000000000003" customHeight="1">
      <c r="B50" s="141" t="s">
        <v>297</v>
      </c>
      <c r="C50" s="173" t="s">
        <v>298</v>
      </c>
      <c r="D50" s="199"/>
      <c r="E50" s="199"/>
      <c r="F50" s="199"/>
      <c r="G50" s="199"/>
      <c r="H50" s="200"/>
    </row>
    <row r="51" spans="2:8" ht="20.100000000000001" customHeight="1">
      <c r="B51" s="143" t="s">
        <v>123</v>
      </c>
      <c r="C51" s="42" t="s">
        <v>307</v>
      </c>
      <c r="D51" s="137" t="s">
        <v>244</v>
      </c>
      <c r="E51" s="157"/>
      <c r="F51" s="144" t="s">
        <v>299</v>
      </c>
      <c r="G51" s="145" t="s">
        <v>300</v>
      </c>
      <c r="H51" s="121"/>
    </row>
    <row r="52" spans="2:8" ht="20.100000000000001" customHeight="1">
      <c r="B52" s="130" t="s">
        <v>241</v>
      </c>
      <c r="C52" s="150" t="s">
        <v>392</v>
      </c>
      <c r="D52" s="1"/>
      <c r="E52" s="1"/>
      <c r="F52" s="1"/>
      <c r="G52" s="1"/>
      <c r="H52" s="2"/>
    </row>
    <row r="53" spans="2:8" ht="20.100000000000001" customHeight="1">
      <c r="B53" s="143" t="s">
        <v>126</v>
      </c>
      <c r="C53" s="42" t="s">
        <v>309</v>
      </c>
      <c r="D53" s="137" t="s">
        <v>244</v>
      </c>
      <c r="E53" s="157"/>
      <c r="F53" s="144" t="s">
        <v>299</v>
      </c>
      <c r="G53" s="145" t="s">
        <v>300</v>
      </c>
      <c r="H53" s="121"/>
    </row>
    <row r="54" spans="2:8" ht="20.100000000000001" customHeight="1">
      <c r="B54" s="143" t="s">
        <v>129</v>
      </c>
      <c r="C54" s="42" t="s">
        <v>130</v>
      </c>
      <c r="D54" s="137" t="s">
        <v>244</v>
      </c>
      <c r="E54" s="157"/>
      <c r="F54" s="144" t="s">
        <v>299</v>
      </c>
      <c r="G54" s="145" t="s">
        <v>300</v>
      </c>
      <c r="H54" s="121"/>
    </row>
    <row r="55" spans="2:8" ht="18" customHeight="1">
      <c r="B55" s="143" t="s">
        <v>132</v>
      </c>
      <c r="C55" s="42" t="s">
        <v>310</v>
      </c>
      <c r="D55" s="1"/>
      <c r="E55" s="1"/>
      <c r="F55" s="1"/>
      <c r="G55" s="1"/>
      <c r="H55" s="2"/>
    </row>
    <row r="56" spans="2:8" ht="30" customHeight="1">
      <c r="B56" s="143" t="s">
        <v>135</v>
      </c>
      <c r="C56" s="177" t="s">
        <v>311</v>
      </c>
      <c r="D56" s="199"/>
      <c r="E56" s="199"/>
      <c r="F56" s="199"/>
      <c r="G56" s="199"/>
      <c r="H56" s="200"/>
    </row>
    <row r="57" spans="2:8" ht="20.100000000000001" customHeight="1">
      <c r="B57" s="102" t="s">
        <v>313</v>
      </c>
      <c r="C57" s="103"/>
      <c r="D57" s="103"/>
      <c r="E57" s="103"/>
      <c r="F57" s="103"/>
      <c r="G57" s="103"/>
      <c r="H57" s="103"/>
    </row>
    <row r="58" spans="2:8" ht="20.100000000000001" customHeight="1">
      <c r="B58" s="141" t="s">
        <v>297</v>
      </c>
      <c r="C58" s="142" t="s">
        <v>298</v>
      </c>
      <c r="D58" s="1"/>
      <c r="E58" s="1"/>
      <c r="F58" s="1"/>
      <c r="G58" s="1"/>
      <c r="H58" s="2"/>
    </row>
    <row r="59" spans="2:8" ht="20.100000000000001" customHeight="1">
      <c r="B59" s="143" t="s">
        <v>139</v>
      </c>
      <c r="C59" s="42" t="s">
        <v>314</v>
      </c>
      <c r="D59" s="137" t="s">
        <v>244</v>
      </c>
      <c r="E59" s="157"/>
      <c r="F59" s="144" t="s">
        <v>299</v>
      </c>
      <c r="G59" s="145" t="s">
        <v>300</v>
      </c>
      <c r="H59" s="121"/>
    </row>
    <row r="60" spans="2:8" ht="20.100000000000001" customHeight="1">
      <c r="B60" s="143" t="s">
        <v>142</v>
      </c>
      <c r="C60" s="42" t="s">
        <v>143</v>
      </c>
      <c r="D60" s="137" t="s">
        <v>244</v>
      </c>
      <c r="E60" s="157"/>
      <c r="F60" s="144" t="s">
        <v>299</v>
      </c>
      <c r="G60" s="145" t="s">
        <v>300</v>
      </c>
      <c r="H60" s="121"/>
    </row>
    <row r="61" spans="2:8" ht="20.100000000000001" customHeight="1">
      <c r="B61" s="143" t="s">
        <v>145</v>
      </c>
      <c r="C61" s="42" t="s">
        <v>315</v>
      </c>
      <c r="D61" s="137" t="s">
        <v>244</v>
      </c>
      <c r="E61" s="157"/>
      <c r="F61" s="144" t="s">
        <v>299</v>
      </c>
      <c r="G61" s="145" t="s">
        <v>300</v>
      </c>
      <c r="H61" s="121"/>
    </row>
    <row r="62" spans="2:8" ht="20.100000000000001" customHeight="1">
      <c r="B62" s="143" t="s">
        <v>148</v>
      </c>
      <c r="C62" s="42" t="s">
        <v>316</v>
      </c>
      <c r="D62" s="137" t="s">
        <v>244</v>
      </c>
      <c r="E62" s="157"/>
      <c r="F62" s="144" t="s">
        <v>299</v>
      </c>
      <c r="G62" s="145" t="s">
        <v>300</v>
      </c>
      <c r="H62" s="121"/>
    </row>
    <row r="63" spans="2:8" ht="18" customHeight="1">
      <c r="B63" s="143" t="s">
        <v>151</v>
      </c>
      <c r="C63" s="42" t="s">
        <v>152</v>
      </c>
      <c r="D63" s="137" t="s">
        <v>244</v>
      </c>
      <c r="E63" s="157"/>
      <c r="F63" s="144" t="s">
        <v>299</v>
      </c>
      <c r="G63" s="145" t="s">
        <v>300</v>
      </c>
      <c r="H63" s="2"/>
    </row>
    <row r="64" spans="2:8" ht="30" customHeight="1">
      <c r="B64" s="143" t="s">
        <v>154</v>
      </c>
      <c r="C64" s="42" t="s">
        <v>155</v>
      </c>
      <c r="D64" s="137" t="s">
        <v>244</v>
      </c>
      <c r="E64" s="157"/>
      <c r="F64" s="144" t="s">
        <v>299</v>
      </c>
      <c r="G64" s="145" t="s">
        <v>300</v>
      </c>
      <c r="H64" s="2"/>
    </row>
    <row r="65" spans="2:8" ht="20.100000000000001" customHeight="1">
      <c r="B65" s="141" t="s">
        <v>297</v>
      </c>
      <c r="C65" s="142" t="s">
        <v>298</v>
      </c>
      <c r="D65" s="1"/>
      <c r="E65" s="1"/>
      <c r="F65" s="1"/>
      <c r="G65" s="1"/>
      <c r="H65" s="2"/>
    </row>
    <row r="67" spans="2:8" ht="30" customHeight="1">
      <c r="B67" s="147" t="s">
        <v>317</v>
      </c>
      <c r="C67" s="170" t="s">
        <v>318</v>
      </c>
      <c r="D67" s="199"/>
      <c r="E67" s="199"/>
      <c r="F67" s="199"/>
      <c r="G67" s="199"/>
      <c r="H67" s="200"/>
    </row>
  </sheetData>
  <mergeCells count="7">
    <mergeCell ref="C67:H67"/>
    <mergeCell ref="C16:H16"/>
    <mergeCell ref="C50:H50"/>
    <mergeCell ref="N12:O12"/>
    <mergeCell ref="C34:H34"/>
    <mergeCell ref="C56:H56"/>
    <mergeCell ref="H12:M12"/>
  </mergeCells>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B1:O67"/>
  <sheetViews>
    <sheetView topLeftCell="A28" workbookViewId="0">
      <selection activeCell="G31" sqref="G31"/>
    </sheetView>
  </sheetViews>
  <sheetFormatPr defaultRowHeight="14.45"/>
  <cols>
    <col min="1" max="1" width="2" customWidth="1"/>
    <col min="2" max="2" width="28" customWidth="1"/>
    <col min="3" max="3" width="45" bestFit="1" customWidth="1"/>
    <col min="4" max="4" width="18" customWidth="1"/>
    <col min="5" max="7" width="14" customWidth="1"/>
    <col min="8" max="8" width="55" customWidth="1"/>
    <col min="9" max="13" width="30.140625" customWidth="1"/>
  </cols>
  <sheetData>
    <row r="1" spans="2:15" ht="27.95" customHeight="1">
      <c r="B1" s="118" t="s">
        <v>441</v>
      </c>
      <c r="C1" s="68"/>
      <c r="D1" s="68"/>
      <c r="E1" s="68"/>
      <c r="F1" s="68"/>
      <c r="G1" s="68"/>
      <c r="H1" s="68"/>
    </row>
    <row r="2" spans="2:15" ht="15.95" customHeight="1">
      <c r="B2" s="19" t="s">
        <v>216</v>
      </c>
      <c r="C2" s="43" t="s">
        <v>217</v>
      </c>
      <c r="D2" s="43" t="s">
        <v>218</v>
      </c>
      <c r="E2" s="103"/>
      <c r="F2" s="103"/>
      <c r="G2" s="103"/>
      <c r="H2" s="43" t="s">
        <v>219</v>
      </c>
    </row>
    <row r="3" spans="2:15" ht="15.95" customHeight="1">
      <c r="B3" s="119" t="s">
        <v>220</v>
      </c>
      <c r="C3" s="42"/>
      <c r="D3" s="121"/>
      <c r="E3" s="121"/>
      <c r="F3" s="121"/>
      <c r="G3" s="121"/>
      <c r="H3" s="121"/>
    </row>
    <row r="4" spans="2:15" ht="15.95" customHeight="1">
      <c r="B4" s="119" t="s">
        <v>199</v>
      </c>
      <c r="C4" s="42"/>
      <c r="D4" s="121"/>
      <c r="E4" s="121"/>
      <c r="F4" s="121"/>
      <c r="G4" s="121"/>
      <c r="H4" s="121"/>
    </row>
    <row r="5" spans="2:15" ht="15.95" customHeight="1">
      <c r="B5" s="119" t="s">
        <v>224</v>
      </c>
      <c r="C5" s="42"/>
      <c r="D5" s="121"/>
      <c r="E5" s="121"/>
      <c r="F5" s="121"/>
      <c r="G5" s="121"/>
      <c r="H5" s="121"/>
    </row>
    <row r="6" spans="2:15" ht="15.95" customHeight="1">
      <c r="B6" s="119" t="s">
        <v>226</v>
      </c>
      <c r="C6" s="42"/>
      <c r="D6" s="121"/>
      <c r="E6" s="121"/>
      <c r="F6" s="121"/>
      <c r="G6" s="121"/>
      <c r="H6" s="121"/>
    </row>
    <row r="7" spans="2:15" ht="15.95" customHeight="1">
      <c r="B7" s="119" t="s">
        <v>227</v>
      </c>
      <c r="C7" s="42"/>
      <c r="D7" s="121"/>
      <c r="E7" s="121"/>
      <c r="F7" s="121"/>
      <c r="G7" s="121"/>
      <c r="H7" s="121"/>
    </row>
    <row r="8" spans="2:15" ht="15.95" customHeight="1">
      <c r="B8" s="119" t="s">
        <v>229</v>
      </c>
      <c r="C8" s="42"/>
      <c r="D8" s="121"/>
      <c r="E8" s="121"/>
      <c r="F8" s="121"/>
      <c r="G8" s="121"/>
      <c r="H8" s="121"/>
    </row>
    <row r="9" spans="2:15" ht="15.95" customHeight="1">
      <c r="B9" s="119" t="s">
        <v>231</v>
      </c>
      <c r="C9" s="42"/>
      <c r="D9" s="121"/>
      <c r="E9" s="121"/>
      <c r="F9" s="121"/>
      <c r="G9" s="121"/>
      <c r="H9" s="121"/>
    </row>
    <row r="10" spans="2:15" ht="15.95" customHeight="1">
      <c r="B10" s="119" t="s">
        <v>201</v>
      </c>
      <c r="C10" s="42"/>
      <c r="D10" s="121"/>
      <c r="E10" s="121"/>
      <c r="F10" s="121"/>
      <c r="G10" s="121"/>
      <c r="H10" s="121"/>
    </row>
    <row r="11" spans="2:15" ht="15.95" customHeight="1">
      <c r="B11" s="119" t="s">
        <v>203</v>
      </c>
      <c r="C11" s="42"/>
      <c r="D11" s="121"/>
      <c r="E11" s="121"/>
      <c r="F11" s="121"/>
      <c r="G11" s="121"/>
      <c r="H11" s="121"/>
    </row>
    <row r="12" spans="2:15" ht="15.95" customHeight="1">
      <c r="B12" s="119" t="s">
        <v>232</v>
      </c>
      <c r="C12" s="42"/>
      <c r="D12" s="121"/>
      <c r="E12" s="121"/>
      <c r="F12" s="121"/>
      <c r="G12" s="121"/>
      <c r="H12" s="174"/>
      <c r="I12" s="199"/>
      <c r="J12" s="199"/>
      <c r="K12" s="199"/>
      <c r="L12" s="199"/>
      <c r="M12" s="200"/>
      <c r="N12" s="201"/>
      <c r="O12" s="201"/>
    </row>
    <row r="13" spans="2:15" ht="15.95" customHeight="1">
      <c r="B13" s="119" t="s">
        <v>161</v>
      </c>
      <c r="C13" s="42"/>
      <c r="D13" s="121"/>
      <c r="E13" s="121"/>
      <c r="F13" s="121"/>
      <c r="G13" s="121"/>
      <c r="H13" s="121"/>
    </row>
    <row r="14" spans="2:15" ht="15.95" customHeight="1">
      <c r="B14" s="68"/>
      <c r="C14" s="68"/>
      <c r="D14" s="68"/>
      <c r="E14" s="68"/>
      <c r="F14" s="68"/>
      <c r="G14" s="68"/>
      <c r="H14" s="68"/>
      <c r="I14" s="1"/>
      <c r="J14" s="1"/>
      <c r="K14" s="1"/>
      <c r="L14" s="1"/>
      <c r="M14" s="2"/>
    </row>
    <row r="15" spans="2:15" ht="54.95" customHeight="1">
      <c r="B15" s="123" t="s">
        <v>46</v>
      </c>
      <c r="C15" s="124" t="s">
        <v>47</v>
      </c>
      <c r="D15" s="1"/>
      <c r="E15" s="1"/>
      <c r="F15" s="1"/>
      <c r="G15" s="1"/>
      <c r="H15" s="2"/>
    </row>
    <row r="16" spans="2:15" ht="39.950000000000003" customHeight="1">
      <c r="B16" s="102" t="s">
        <v>234</v>
      </c>
      <c r="C16" s="172"/>
      <c r="D16" s="199"/>
      <c r="E16" s="199"/>
      <c r="F16" s="199"/>
      <c r="G16" s="199"/>
      <c r="H16" s="200"/>
    </row>
    <row r="17" spans="2:8" ht="54.95" customHeight="1">
      <c r="B17" s="105" t="s">
        <v>52</v>
      </c>
      <c r="C17" s="119" t="s">
        <v>235</v>
      </c>
      <c r="D17" s="125" t="s">
        <v>236</v>
      </c>
      <c r="E17" s="154"/>
      <c r="F17" s="127" t="s">
        <v>237</v>
      </c>
      <c r="G17" s="128" t="s">
        <v>238</v>
      </c>
      <c r="H17" s="129" t="s">
        <v>239</v>
      </c>
    </row>
    <row r="18" spans="2:8" ht="54.95" customHeight="1">
      <c r="B18" s="130" t="s">
        <v>241</v>
      </c>
      <c r="C18" s="150" t="s">
        <v>330</v>
      </c>
      <c r="D18" s="1"/>
      <c r="E18" s="1"/>
      <c r="F18" s="1"/>
      <c r="G18" s="1"/>
      <c r="H18" s="2"/>
    </row>
    <row r="19" spans="2:8" ht="54.95" customHeight="1">
      <c r="B19" s="105" t="s">
        <v>56</v>
      </c>
      <c r="C19" s="119" t="s">
        <v>243</v>
      </c>
      <c r="D19" s="125" t="s">
        <v>244</v>
      </c>
      <c r="E19" s="154"/>
      <c r="F19" s="127" t="s">
        <v>245</v>
      </c>
      <c r="G19" s="128" t="s">
        <v>246</v>
      </c>
      <c r="H19" s="129" t="s">
        <v>247</v>
      </c>
    </row>
    <row r="20" spans="2:8" ht="18" customHeight="1">
      <c r="B20" s="105" t="s">
        <v>59</v>
      </c>
      <c r="C20" s="119" t="s">
        <v>248</v>
      </c>
      <c r="D20" s="125" t="s">
        <v>244</v>
      </c>
      <c r="E20" s="154"/>
      <c r="F20" s="127" t="s">
        <v>249</v>
      </c>
      <c r="G20" s="128" t="s">
        <v>250</v>
      </c>
      <c r="H20" s="129" t="s">
        <v>251</v>
      </c>
    </row>
    <row r="21" spans="2:8" ht="15.95" customHeight="1">
      <c r="B21" s="105" t="s">
        <v>62</v>
      </c>
      <c r="C21" s="119" t="s">
        <v>252</v>
      </c>
      <c r="D21" s="125" t="s">
        <v>244</v>
      </c>
      <c r="E21" s="154"/>
      <c r="F21" s="127" t="s">
        <v>253</v>
      </c>
      <c r="G21" s="128" t="s">
        <v>254</v>
      </c>
      <c r="H21" s="129" t="s">
        <v>255</v>
      </c>
    </row>
    <row r="22" spans="2:8" ht="54.95" customHeight="1">
      <c r="B22" s="102" t="s">
        <v>256</v>
      </c>
      <c r="C22" s="103"/>
      <c r="D22" s="103"/>
      <c r="E22" s="103"/>
      <c r="F22" s="103"/>
      <c r="G22" s="103"/>
      <c r="H22" s="103"/>
    </row>
    <row r="23" spans="2:8" ht="54.95" customHeight="1">
      <c r="B23" s="132" t="s">
        <v>46</v>
      </c>
      <c r="C23" s="133" t="s">
        <v>47</v>
      </c>
      <c r="D23" s="132" t="s">
        <v>257</v>
      </c>
      <c r="E23" s="134" t="s">
        <v>258</v>
      </c>
      <c r="F23" s="135" t="s">
        <v>259</v>
      </c>
      <c r="G23" s="136" t="s">
        <v>260</v>
      </c>
      <c r="H23" s="133" t="s">
        <v>261</v>
      </c>
    </row>
    <row r="24" spans="2:8" ht="54.95" customHeight="1">
      <c r="B24" s="105" t="s">
        <v>66</v>
      </c>
      <c r="C24" s="42" t="s">
        <v>262</v>
      </c>
      <c r="D24" s="137" t="s">
        <v>263</v>
      </c>
      <c r="E24" s="154"/>
      <c r="F24" s="127" t="s">
        <v>264</v>
      </c>
      <c r="G24" s="128" t="s">
        <v>265</v>
      </c>
      <c r="H24" s="129" t="s">
        <v>266</v>
      </c>
    </row>
    <row r="25" spans="2:8" ht="54.95" customHeight="1">
      <c r="B25" s="105" t="s">
        <v>69</v>
      </c>
      <c r="C25" s="42" t="s">
        <v>267</v>
      </c>
      <c r="D25" s="137" t="s">
        <v>263</v>
      </c>
      <c r="E25" s="154"/>
      <c r="F25" s="127" t="s">
        <v>268</v>
      </c>
      <c r="G25" s="128" t="s">
        <v>269</v>
      </c>
      <c r="H25" s="129" t="s">
        <v>270</v>
      </c>
    </row>
    <row r="26" spans="2:8" ht="54.95" customHeight="1">
      <c r="B26" s="105" t="s">
        <v>71</v>
      </c>
      <c r="C26" s="42" t="s">
        <v>271</v>
      </c>
      <c r="D26" s="137" t="s">
        <v>263</v>
      </c>
      <c r="E26" s="154"/>
      <c r="F26" s="127" t="s">
        <v>272</v>
      </c>
      <c r="G26" s="128" t="s">
        <v>273</v>
      </c>
      <c r="H26" s="129" t="s">
        <v>274</v>
      </c>
    </row>
    <row r="27" spans="2:8" ht="54.95" customHeight="1">
      <c r="B27" s="105" t="s">
        <v>73</v>
      </c>
      <c r="C27" s="42" t="s">
        <v>275</v>
      </c>
      <c r="D27" s="137" t="s">
        <v>263</v>
      </c>
      <c r="E27" s="154"/>
      <c r="F27" s="127" t="s">
        <v>276</v>
      </c>
      <c r="G27" s="128" t="s">
        <v>277</v>
      </c>
      <c r="H27" s="129" t="s">
        <v>278</v>
      </c>
    </row>
    <row r="28" spans="2:8" ht="54.95" customHeight="1">
      <c r="B28" s="105" t="s">
        <v>75</v>
      </c>
      <c r="C28" s="42" t="s">
        <v>279</v>
      </c>
      <c r="D28" s="137" t="s">
        <v>263</v>
      </c>
      <c r="E28" s="154"/>
      <c r="F28" s="127" t="s">
        <v>280</v>
      </c>
      <c r="G28" s="128" t="s">
        <v>281</v>
      </c>
      <c r="H28" s="129" t="s">
        <v>282</v>
      </c>
    </row>
    <row r="29" spans="2:8" ht="54.95" customHeight="1">
      <c r="B29" s="105" t="s">
        <v>77</v>
      </c>
      <c r="C29" s="42" t="s">
        <v>283</v>
      </c>
      <c r="D29" s="137" t="s">
        <v>263</v>
      </c>
      <c r="E29" s="154"/>
      <c r="F29" s="127" t="s">
        <v>284</v>
      </c>
      <c r="G29" s="128" t="s">
        <v>285</v>
      </c>
      <c r="H29" s="129" t="s">
        <v>286</v>
      </c>
    </row>
    <row r="30" spans="2:8" ht="54.95" customHeight="1">
      <c r="B30" s="105" t="s">
        <v>79</v>
      </c>
      <c r="C30" s="42" t="s">
        <v>287</v>
      </c>
      <c r="D30" s="137" t="s">
        <v>263</v>
      </c>
      <c r="E30" s="154"/>
      <c r="F30" s="127" t="s">
        <v>288</v>
      </c>
      <c r="G30" s="128" t="s">
        <v>289</v>
      </c>
      <c r="H30" s="129" t="s">
        <v>290</v>
      </c>
    </row>
    <row r="31" spans="2:8" ht="18" customHeight="1">
      <c r="B31" s="105" t="s">
        <v>81</v>
      </c>
      <c r="C31" s="42" t="s">
        <v>291</v>
      </c>
      <c r="D31" s="137" t="s">
        <v>263</v>
      </c>
      <c r="E31" s="154"/>
      <c r="F31" s="127" t="s">
        <v>327</v>
      </c>
      <c r="G31" s="128" t="s">
        <v>328</v>
      </c>
      <c r="H31" s="129" t="s">
        <v>329</v>
      </c>
    </row>
    <row r="32" spans="2:8" ht="30" customHeight="1">
      <c r="B32" s="105" t="s">
        <v>84</v>
      </c>
      <c r="C32" s="42" t="s">
        <v>292</v>
      </c>
      <c r="D32" s="138" t="s">
        <v>236</v>
      </c>
      <c r="E32" s="146"/>
      <c r="F32" s="139" t="s">
        <v>293</v>
      </c>
      <c r="G32" s="128" t="s">
        <v>294</v>
      </c>
      <c r="H32" s="140" t="s">
        <v>295</v>
      </c>
    </row>
    <row r="33" spans="2:8" ht="20.100000000000001" customHeight="1">
      <c r="B33" s="102" t="s">
        <v>296</v>
      </c>
      <c r="C33" s="103"/>
      <c r="D33" s="1"/>
      <c r="E33" s="1"/>
      <c r="F33" s="1"/>
      <c r="G33" s="1"/>
      <c r="H33" s="2"/>
    </row>
    <row r="34" spans="2:8" ht="39.950000000000003" customHeight="1">
      <c r="B34" s="141" t="s">
        <v>297</v>
      </c>
      <c r="C34" s="173" t="s">
        <v>298</v>
      </c>
      <c r="D34" s="199"/>
      <c r="E34" s="199"/>
      <c r="F34" s="199"/>
      <c r="G34" s="199"/>
      <c r="H34" s="200"/>
    </row>
    <row r="35" spans="2:8" ht="20.100000000000001" customHeight="1">
      <c r="B35" s="143" t="s">
        <v>88</v>
      </c>
      <c r="C35" s="42" t="s">
        <v>89</v>
      </c>
      <c r="D35" s="137" t="s">
        <v>244</v>
      </c>
      <c r="E35" s="157"/>
      <c r="F35" s="144" t="s">
        <v>299</v>
      </c>
      <c r="G35" s="145" t="s">
        <v>300</v>
      </c>
      <c r="H35" s="121"/>
    </row>
    <row r="36" spans="2:8" ht="20.100000000000001" customHeight="1">
      <c r="B36" s="130" t="s">
        <v>241</v>
      </c>
      <c r="C36" s="150" t="s">
        <v>381</v>
      </c>
      <c r="D36" s="1"/>
      <c r="E36" s="1"/>
      <c r="F36" s="1"/>
      <c r="G36" s="1"/>
      <c r="H36" s="2"/>
    </row>
    <row r="37" spans="2:8" ht="20.100000000000001" customHeight="1">
      <c r="B37" s="143" t="s">
        <v>91</v>
      </c>
      <c r="C37" s="42" t="s">
        <v>92</v>
      </c>
      <c r="D37" s="137" t="s">
        <v>244</v>
      </c>
      <c r="E37" s="157"/>
      <c r="F37" s="144" t="s">
        <v>299</v>
      </c>
      <c r="G37" s="145" t="s">
        <v>300</v>
      </c>
      <c r="H37" s="121"/>
    </row>
    <row r="38" spans="2:8" ht="20.100000000000001" customHeight="1">
      <c r="B38" s="143" t="s">
        <v>94</v>
      </c>
      <c r="C38" s="42" t="s">
        <v>302</v>
      </c>
      <c r="D38" s="137" t="s">
        <v>244</v>
      </c>
      <c r="E38" s="157"/>
      <c r="F38" s="144" t="s">
        <v>299</v>
      </c>
      <c r="G38" s="145" t="s">
        <v>300</v>
      </c>
      <c r="H38" s="121"/>
    </row>
    <row r="39" spans="2:8" ht="20.100000000000001" customHeight="1">
      <c r="B39" s="143" t="s">
        <v>97</v>
      </c>
      <c r="C39" s="42" t="s">
        <v>98</v>
      </c>
      <c r="D39" s="137" t="s">
        <v>244</v>
      </c>
      <c r="E39" s="157"/>
      <c r="F39" s="144" t="s">
        <v>299</v>
      </c>
      <c r="G39" s="145" t="s">
        <v>300</v>
      </c>
      <c r="H39" s="121"/>
    </row>
    <row r="40" spans="2:8" ht="20.100000000000001" customHeight="1">
      <c r="B40" s="143" t="s">
        <v>100</v>
      </c>
      <c r="C40" s="42" t="s">
        <v>101</v>
      </c>
      <c r="D40" s="137" t="s">
        <v>244</v>
      </c>
      <c r="E40" s="157"/>
      <c r="F40" s="144" t="s">
        <v>299</v>
      </c>
      <c r="G40" s="145" t="s">
        <v>300</v>
      </c>
      <c r="H40" s="121"/>
    </row>
    <row r="41" spans="2:8" ht="18" customHeight="1">
      <c r="B41" s="143" t="s">
        <v>103</v>
      </c>
      <c r="C41" s="42" t="s">
        <v>104</v>
      </c>
      <c r="D41" s="84" t="s">
        <v>244</v>
      </c>
      <c r="E41" s="146"/>
      <c r="F41" s="127" t="s">
        <v>299</v>
      </c>
      <c r="G41" s="128" t="s">
        <v>300</v>
      </c>
      <c r="H41" s="129" t="s">
        <v>298</v>
      </c>
    </row>
    <row r="42" spans="2:8" ht="30" customHeight="1">
      <c r="B42" s="143" t="s">
        <v>106</v>
      </c>
      <c r="C42" s="42" t="s">
        <v>303</v>
      </c>
      <c r="D42" s="84" t="s">
        <v>244</v>
      </c>
      <c r="E42" s="146"/>
      <c r="F42" s="127" t="s">
        <v>299</v>
      </c>
      <c r="G42" s="128" t="s">
        <v>300</v>
      </c>
      <c r="H42" s="129" t="s">
        <v>298</v>
      </c>
    </row>
    <row r="43" spans="2:8" ht="20.100000000000001" customHeight="1">
      <c r="B43" s="102" t="s">
        <v>304</v>
      </c>
      <c r="C43" s="103"/>
      <c r="D43" s="103"/>
      <c r="E43" s="103"/>
      <c r="F43" s="103"/>
      <c r="G43" s="103"/>
      <c r="H43" s="103"/>
    </row>
    <row r="44" spans="2:8" ht="20.100000000000001" customHeight="1">
      <c r="B44" s="141" t="s">
        <v>297</v>
      </c>
      <c r="C44" s="142" t="s">
        <v>298</v>
      </c>
      <c r="D44" s="1"/>
      <c r="E44" s="1"/>
      <c r="F44" s="1"/>
      <c r="G44" s="1"/>
      <c r="H44" s="2"/>
    </row>
    <row r="45" spans="2:8" ht="20.100000000000001" customHeight="1">
      <c r="B45" s="143" t="s">
        <v>110</v>
      </c>
      <c r="C45" s="42" t="s">
        <v>111</v>
      </c>
      <c r="D45" s="137" t="s">
        <v>244</v>
      </c>
      <c r="E45" s="157"/>
      <c r="F45" s="144" t="s">
        <v>299</v>
      </c>
      <c r="G45" s="145" t="s">
        <v>300</v>
      </c>
      <c r="H45" s="121"/>
    </row>
    <row r="46" spans="2:8" ht="20.100000000000001" customHeight="1">
      <c r="B46" s="143" t="s">
        <v>113</v>
      </c>
      <c r="C46" s="42" t="s">
        <v>114</v>
      </c>
      <c r="D46" s="137" t="s">
        <v>244</v>
      </c>
      <c r="E46" s="157"/>
      <c r="F46" s="144" t="s">
        <v>299</v>
      </c>
      <c r="G46" s="145" t="s">
        <v>300</v>
      </c>
      <c r="H46" s="121"/>
    </row>
    <row r="47" spans="2:8" ht="18" customHeight="1">
      <c r="B47" s="143" t="s">
        <v>116</v>
      </c>
      <c r="C47" s="42" t="s">
        <v>117</v>
      </c>
      <c r="D47" s="84" t="s">
        <v>244</v>
      </c>
      <c r="E47" s="146"/>
      <c r="F47" s="127" t="s">
        <v>299</v>
      </c>
      <c r="G47" s="128" t="s">
        <v>300</v>
      </c>
      <c r="H47" s="129" t="s">
        <v>298</v>
      </c>
    </row>
    <row r="48" spans="2:8" ht="30" customHeight="1">
      <c r="B48" s="143" t="s">
        <v>119</v>
      </c>
      <c r="C48" s="42" t="s">
        <v>120</v>
      </c>
      <c r="D48" s="84" t="s">
        <v>244</v>
      </c>
      <c r="E48" s="146"/>
      <c r="F48" s="127" t="s">
        <v>299</v>
      </c>
      <c r="G48" s="128" t="s">
        <v>300</v>
      </c>
      <c r="H48" s="129" t="s">
        <v>298</v>
      </c>
    </row>
    <row r="49" spans="2:8" ht="20.100000000000001" customHeight="1">
      <c r="B49" s="102" t="s">
        <v>306</v>
      </c>
      <c r="C49" s="103"/>
      <c r="D49" s="1"/>
      <c r="E49" s="1"/>
      <c r="F49" s="1"/>
      <c r="G49" s="1"/>
      <c r="H49" s="2"/>
    </row>
    <row r="50" spans="2:8" ht="39.950000000000003" customHeight="1">
      <c r="B50" s="141" t="s">
        <v>297</v>
      </c>
      <c r="C50" s="173" t="s">
        <v>298</v>
      </c>
      <c r="D50" s="199"/>
      <c r="E50" s="199"/>
      <c r="F50" s="199"/>
      <c r="G50" s="199"/>
      <c r="H50" s="200"/>
    </row>
    <row r="51" spans="2:8" ht="20.100000000000001" customHeight="1">
      <c r="B51" s="143" t="s">
        <v>123</v>
      </c>
      <c r="C51" s="42" t="s">
        <v>307</v>
      </c>
      <c r="D51" s="137" t="s">
        <v>244</v>
      </c>
      <c r="E51" s="157"/>
      <c r="F51" s="144" t="s">
        <v>299</v>
      </c>
      <c r="G51" s="145" t="s">
        <v>300</v>
      </c>
      <c r="H51" s="121"/>
    </row>
    <row r="52" spans="2:8" ht="20.100000000000001" customHeight="1">
      <c r="B52" s="130" t="s">
        <v>241</v>
      </c>
      <c r="C52" s="150" t="s">
        <v>392</v>
      </c>
      <c r="D52" s="1"/>
      <c r="E52" s="1"/>
      <c r="F52" s="1"/>
      <c r="G52" s="1"/>
      <c r="H52" s="2"/>
    </row>
    <row r="53" spans="2:8" ht="20.100000000000001" customHeight="1">
      <c r="B53" s="143" t="s">
        <v>126</v>
      </c>
      <c r="C53" s="42" t="s">
        <v>309</v>
      </c>
      <c r="D53" s="137" t="s">
        <v>244</v>
      </c>
      <c r="E53" s="157"/>
      <c r="F53" s="144" t="s">
        <v>299</v>
      </c>
      <c r="G53" s="145" t="s">
        <v>300</v>
      </c>
      <c r="H53" s="121"/>
    </row>
    <row r="54" spans="2:8" ht="20.100000000000001" customHeight="1">
      <c r="B54" s="143" t="s">
        <v>129</v>
      </c>
      <c r="C54" s="42" t="s">
        <v>130</v>
      </c>
      <c r="D54" s="137" t="s">
        <v>244</v>
      </c>
      <c r="E54" s="157"/>
      <c r="F54" s="144" t="s">
        <v>299</v>
      </c>
      <c r="G54" s="145" t="s">
        <v>300</v>
      </c>
      <c r="H54" s="121"/>
    </row>
    <row r="55" spans="2:8" ht="18" customHeight="1">
      <c r="B55" s="143" t="s">
        <v>132</v>
      </c>
      <c r="C55" s="42" t="s">
        <v>310</v>
      </c>
      <c r="D55" s="1"/>
      <c r="E55" s="1"/>
      <c r="F55" s="1"/>
      <c r="G55" s="1"/>
      <c r="H55" s="2"/>
    </row>
    <row r="56" spans="2:8" ht="30" customHeight="1">
      <c r="B56" s="143" t="s">
        <v>135</v>
      </c>
      <c r="C56" s="177" t="s">
        <v>311</v>
      </c>
      <c r="D56" s="199"/>
      <c r="E56" s="199"/>
      <c r="F56" s="199"/>
      <c r="G56" s="199"/>
      <c r="H56" s="200"/>
    </row>
    <row r="57" spans="2:8" ht="20.100000000000001" customHeight="1">
      <c r="B57" s="102" t="s">
        <v>313</v>
      </c>
      <c r="C57" s="103"/>
      <c r="D57" s="103"/>
      <c r="E57" s="103"/>
      <c r="F57" s="103"/>
      <c r="G57" s="103"/>
      <c r="H57" s="103"/>
    </row>
    <row r="58" spans="2:8" ht="20.100000000000001" customHeight="1">
      <c r="B58" s="141" t="s">
        <v>297</v>
      </c>
      <c r="C58" s="142" t="s">
        <v>298</v>
      </c>
      <c r="D58" s="1"/>
      <c r="E58" s="1"/>
      <c r="F58" s="1"/>
      <c r="G58" s="1"/>
      <c r="H58" s="2"/>
    </row>
    <row r="59" spans="2:8" ht="20.100000000000001" customHeight="1">
      <c r="B59" s="143" t="s">
        <v>139</v>
      </c>
      <c r="C59" s="42" t="s">
        <v>314</v>
      </c>
      <c r="D59" s="137" t="s">
        <v>244</v>
      </c>
      <c r="E59" s="157"/>
      <c r="F59" s="144" t="s">
        <v>299</v>
      </c>
      <c r="G59" s="145" t="s">
        <v>300</v>
      </c>
      <c r="H59" s="121"/>
    </row>
    <row r="60" spans="2:8" ht="20.100000000000001" customHeight="1">
      <c r="B60" s="143" t="s">
        <v>142</v>
      </c>
      <c r="C60" s="42" t="s">
        <v>143</v>
      </c>
      <c r="D60" s="137" t="s">
        <v>244</v>
      </c>
      <c r="E60" s="157"/>
      <c r="F60" s="144" t="s">
        <v>299</v>
      </c>
      <c r="G60" s="145" t="s">
        <v>300</v>
      </c>
      <c r="H60" s="121"/>
    </row>
    <row r="61" spans="2:8" ht="20.100000000000001" customHeight="1">
      <c r="B61" s="143" t="s">
        <v>145</v>
      </c>
      <c r="C61" s="42" t="s">
        <v>315</v>
      </c>
      <c r="D61" s="137" t="s">
        <v>244</v>
      </c>
      <c r="E61" s="157"/>
      <c r="F61" s="144" t="s">
        <v>299</v>
      </c>
      <c r="G61" s="145" t="s">
        <v>300</v>
      </c>
      <c r="H61" s="121"/>
    </row>
    <row r="62" spans="2:8" ht="20.100000000000001" customHeight="1">
      <c r="B62" s="143" t="s">
        <v>148</v>
      </c>
      <c r="C62" s="42" t="s">
        <v>316</v>
      </c>
      <c r="D62" s="137" t="s">
        <v>244</v>
      </c>
      <c r="E62" s="157"/>
      <c r="F62" s="144" t="s">
        <v>299</v>
      </c>
      <c r="G62" s="145" t="s">
        <v>300</v>
      </c>
      <c r="H62" s="121"/>
    </row>
    <row r="63" spans="2:8" ht="18" customHeight="1">
      <c r="B63" s="143" t="s">
        <v>151</v>
      </c>
      <c r="C63" s="42" t="s">
        <v>152</v>
      </c>
      <c r="D63" s="137" t="s">
        <v>244</v>
      </c>
      <c r="E63" s="157"/>
      <c r="F63" s="144" t="s">
        <v>299</v>
      </c>
      <c r="G63" s="145" t="s">
        <v>300</v>
      </c>
      <c r="H63" s="2"/>
    </row>
    <row r="64" spans="2:8" ht="30" customHeight="1">
      <c r="B64" s="143" t="s">
        <v>154</v>
      </c>
      <c r="C64" s="42" t="s">
        <v>155</v>
      </c>
      <c r="D64" s="137" t="s">
        <v>244</v>
      </c>
      <c r="E64" s="157"/>
      <c r="F64" s="144" t="s">
        <v>299</v>
      </c>
      <c r="G64" s="145" t="s">
        <v>300</v>
      </c>
      <c r="H64" s="2"/>
    </row>
    <row r="65" spans="2:8" ht="20.100000000000001" customHeight="1">
      <c r="B65" s="141" t="s">
        <v>297</v>
      </c>
      <c r="C65" s="142" t="s">
        <v>298</v>
      </c>
      <c r="D65" s="1"/>
      <c r="E65" s="1"/>
      <c r="F65" s="1"/>
      <c r="G65" s="1"/>
      <c r="H65" s="2"/>
    </row>
    <row r="67" spans="2:8" ht="30" customHeight="1">
      <c r="B67" s="147" t="s">
        <v>317</v>
      </c>
      <c r="C67" s="170" t="s">
        <v>318</v>
      </c>
      <c r="D67" s="199"/>
      <c r="E67" s="199"/>
      <c r="F67" s="199"/>
      <c r="G67" s="199"/>
      <c r="H67" s="200"/>
    </row>
  </sheetData>
  <mergeCells count="7">
    <mergeCell ref="C67:H67"/>
    <mergeCell ref="C16:H16"/>
    <mergeCell ref="C50:H50"/>
    <mergeCell ref="N12:O12"/>
    <mergeCell ref="C34:H34"/>
    <mergeCell ref="C56:H56"/>
    <mergeCell ref="H12:M12"/>
  </mergeCell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B1:O67"/>
  <sheetViews>
    <sheetView topLeftCell="A28" workbookViewId="0">
      <selection activeCell="G31" sqref="G31"/>
    </sheetView>
  </sheetViews>
  <sheetFormatPr defaultRowHeight="14.45"/>
  <cols>
    <col min="1" max="1" width="2" customWidth="1"/>
    <col min="2" max="2" width="28" customWidth="1"/>
    <col min="3" max="3" width="45" bestFit="1" customWidth="1"/>
    <col min="4" max="4" width="18" customWidth="1"/>
    <col min="5" max="7" width="14" customWidth="1"/>
    <col min="8" max="8" width="55" customWidth="1"/>
    <col min="9" max="13" width="30.140625" customWidth="1"/>
  </cols>
  <sheetData>
    <row r="1" spans="2:15" ht="27.95" customHeight="1">
      <c r="B1" s="118" t="s">
        <v>442</v>
      </c>
      <c r="C1" s="68"/>
      <c r="D1" s="68"/>
      <c r="E1" s="68"/>
      <c r="F1" s="68"/>
      <c r="G1" s="68"/>
      <c r="H1" s="68"/>
    </row>
    <row r="2" spans="2:15" ht="15.95" customHeight="1">
      <c r="B2" s="19" t="s">
        <v>216</v>
      </c>
      <c r="C2" s="43" t="s">
        <v>217</v>
      </c>
      <c r="D2" s="43" t="s">
        <v>218</v>
      </c>
      <c r="E2" s="103"/>
      <c r="F2" s="103"/>
      <c r="G2" s="103"/>
      <c r="H2" s="43" t="s">
        <v>219</v>
      </c>
    </row>
    <row r="3" spans="2:15" ht="15.95" customHeight="1">
      <c r="B3" s="119" t="s">
        <v>220</v>
      </c>
      <c r="C3" s="42"/>
      <c r="D3" s="121"/>
      <c r="E3" s="121"/>
      <c r="F3" s="121"/>
      <c r="G3" s="121"/>
      <c r="H3" s="121"/>
    </row>
    <row r="4" spans="2:15" ht="15.95" customHeight="1">
      <c r="B4" s="119" t="s">
        <v>199</v>
      </c>
      <c r="C4" s="42"/>
      <c r="D4" s="121"/>
      <c r="E4" s="121"/>
      <c r="F4" s="121"/>
      <c r="G4" s="121"/>
      <c r="H4" s="121"/>
    </row>
    <row r="5" spans="2:15" ht="15.95" customHeight="1">
      <c r="B5" s="119" t="s">
        <v>224</v>
      </c>
      <c r="C5" s="42"/>
      <c r="D5" s="121"/>
      <c r="E5" s="121"/>
      <c r="F5" s="121"/>
      <c r="G5" s="121"/>
      <c r="H5" s="121"/>
    </row>
    <row r="6" spans="2:15" ht="15.95" customHeight="1">
      <c r="B6" s="119" t="s">
        <v>226</v>
      </c>
      <c r="C6" s="42"/>
      <c r="D6" s="121"/>
      <c r="E6" s="121"/>
      <c r="F6" s="121"/>
      <c r="G6" s="121"/>
      <c r="H6" s="121"/>
    </row>
    <row r="7" spans="2:15" ht="15.95" customHeight="1">
      <c r="B7" s="119" t="s">
        <v>227</v>
      </c>
      <c r="C7" s="42"/>
      <c r="D7" s="121"/>
      <c r="E7" s="121"/>
      <c r="F7" s="121"/>
      <c r="G7" s="121"/>
      <c r="H7" s="121"/>
    </row>
    <row r="8" spans="2:15" ht="15.95" customHeight="1">
      <c r="B8" s="119" t="s">
        <v>229</v>
      </c>
      <c r="C8" s="42"/>
      <c r="D8" s="121"/>
      <c r="E8" s="121"/>
      <c r="F8" s="121"/>
      <c r="G8" s="121"/>
      <c r="H8" s="121"/>
    </row>
    <row r="9" spans="2:15" ht="15.95" customHeight="1">
      <c r="B9" s="119" t="s">
        <v>231</v>
      </c>
      <c r="C9" s="42"/>
      <c r="D9" s="121"/>
      <c r="E9" s="121"/>
      <c r="F9" s="121"/>
      <c r="G9" s="121"/>
      <c r="H9" s="121"/>
    </row>
    <row r="10" spans="2:15" ht="15.95" customHeight="1">
      <c r="B10" s="119" t="s">
        <v>201</v>
      </c>
      <c r="C10" s="42"/>
      <c r="D10" s="121"/>
      <c r="E10" s="121"/>
      <c r="F10" s="121"/>
      <c r="G10" s="121"/>
      <c r="H10" s="121"/>
    </row>
    <row r="11" spans="2:15" ht="15.95" customHeight="1">
      <c r="B11" s="119" t="s">
        <v>203</v>
      </c>
      <c r="C11" s="42"/>
      <c r="D11" s="121"/>
      <c r="E11" s="121"/>
      <c r="F11" s="121"/>
      <c r="G11" s="121"/>
      <c r="H11" s="121"/>
    </row>
    <row r="12" spans="2:15" ht="15.95" customHeight="1">
      <c r="B12" s="119" t="s">
        <v>232</v>
      </c>
      <c r="C12" s="42"/>
      <c r="D12" s="121"/>
      <c r="E12" s="121"/>
      <c r="F12" s="121"/>
      <c r="G12" s="121"/>
      <c r="H12" s="174"/>
      <c r="I12" s="199"/>
      <c r="J12" s="199"/>
      <c r="K12" s="199"/>
      <c r="L12" s="199"/>
      <c r="M12" s="200"/>
      <c r="N12" s="201"/>
      <c r="O12" s="201"/>
    </row>
    <row r="13" spans="2:15" ht="15.95" customHeight="1">
      <c r="B13" s="119" t="s">
        <v>161</v>
      </c>
      <c r="C13" s="42"/>
      <c r="D13" s="121"/>
      <c r="E13" s="121"/>
      <c r="F13" s="121"/>
      <c r="G13" s="121"/>
      <c r="H13" s="121"/>
    </row>
    <row r="14" spans="2:15" ht="15.95" customHeight="1">
      <c r="B14" s="68"/>
      <c r="C14" s="68"/>
      <c r="D14" s="68"/>
      <c r="E14" s="68"/>
      <c r="F14" s="68"/>
      <c r="G14" s="68"/>
      <c r="H14" s="68"/>
      <c r="I14" s="1"/>
      <c r="J14" s="1"/>
      <c r="K14" s="1"/>
      <c r="L14" s="1"/>
      <c r="M14" s="2"/>
    </row>
    <row r="15" spans="2:15" ht="54.95" customHeight="1">
      <c r="B15" s="123" t="s">
        <v>46</v>
      </c>
      <c r="C15" s="124" t="s">
        <v>47</v>
      </c>
      <c r="D15" s="1"/>
      <c r="E15" s="1"/>
      <c r="F15" s="1"/>
      <c r="G15" s="1"/>
      <c r="H15" s="2"/>
    </row>
    <row r="16" spans="2:15" ht="39.950000000000003" customHeight="1">
      <c r="B16" s="102" t="s">
        <v>234</v>
      </c>
      <c r="C16" s="172"/>
      <c r="D16" s="199"/>
      <c r="E16" s="199"/>
      <c r="F16" s="199"/>
      <c r="G16" s="199"/>
      <c r="H16" s="200"/>
    </row>
    <row r="17" spans="2:8" ht="54.95" customHeight="1">
      <c r="B17" s="105" t="s">
        <v>52</v>
      </c>
      <c r="C17" s="119" t="s">
        <v>235</v>
      </c>
      <c r="D17" s="125" t="s">
        <v>236</v>
      </c>
      <c r="E17" s="154"/>
      <c r="F17" s="127" t="s">
        <v>237</v>
      </c>
      <c r="G17" s="128" t="s">
        <v>238</v>
      </c>
      <c r="H17" s="129" t="s">
        <v>239</v>
      </c>
    </row>
    <row r="18" spans="2:8" ht="54.95" customHeight="1">
      <c r="B18" s="130" t="s">
        <v>241</v>
      </c>
      <c r="C18" s="150" t="s">
        <v>330</v>
      </c>
      <c r="D18" s="1"/>
      <c r="E18" s="1"/>
      <c r="F18" s="1"/>
      <c r="G18" s="1"/>
      <c r="H18" s="2"/>
    </row>
    <row r="19" spans="2:8" ht="54.95" customHeight="1">
      <c r="B19" s="105" t="s">
        <v>56</v>
      </c>
      <c r="C19" s="119" t="s">
        <v>243</v>
      </c>
      <c r="D19" s="125" t="s">
        <v>244</v>
      </c>
      <c r="E19" s="154"/>
      <c r="F19" s="127" t="s">
        <v>245</v>
      </c>
      <c r="G19" s="128" t="s">
        <v>246</v>
      </c>
      <c r="H19" s="129" t="s">
        <v>247</v>
      </c>
    </row>
    <row r="20" spans="2:8" ht="18" customHeight="1">
      <c r="B20" s="105" t="s">
        <v>59</v>
      </c>
      <c r="C20" s="119" t="s">
        <v>248</v>
      </c>
      <c r="D20" s="125" t="s">
        <v>244</v>
      </c>
      <c r="E20" s="154"/>
      <c r="F20" s="127" t="s">
        <v>249</v>
      </c>
      <c r="G20" s="128" t="s">
        <v>250</v>
      </c>
      <c r="H20" s="129" t="s">
        <v>251</v>
      </c>
    </row>
    <row r="21" spans="2:8" ht="15.95" customHeight="1">
      <c r="B21" s="105" t="s">
        <v>62</v>
      </c>
      <c r="C21" s="119" t="s">
        <v>252</v>
      </c>
      <c r="D21" s="125" t="s">
        <v>244</v>
      </c>
      <c r="E21" s="154"/>
      <c r="F21" s="127" t="s">
        <v>253</v>
      </c>
      <c r="G21" s="128" t="s">
        <v>254</v>
      </c>
      <c r="H21" s="129" t="s">
        <v>255</v>
      </c>
    </row>
    <row r="22" spans="2:8" ht="54.95" customHeight="1">
      <c r="B22" s="102" t="s">
        <v>256</v>
      </c>
      <c r="C22" s="103"/>
      <c r="D22" s="103"/>
      <c r="E22" s="103"/>
      <c r="F22" s="103"/>
      <c r="G22" s="103"/>
      <c r="H22" s="103"/>
    </row>
    <row r="23" spans="2:8" ht="54.95" customHeight="1">
      <c r="B23" s="132" t="s">
        <v>46</v>
      </c>
      <c r="C23" s="133" t="s">
        <v>47</v>
      </c>
      <c r="D23" s="132" t="s">
        <v>257</v>
      </c>
      <c r="E23" s="134" t="s">
        <v>258</v>
      </c>
      <c r="F23" s="135" t="s">
        <v>259</v>
      </c>
      <c r="G23" s="136" t="s">
        <v>260</v>
      </c>
      <c r="H23" s="133" t="s">
        <v>261</v>
      </c>
    </row>
    <row r="24" spans="2:8" ht="54.95" customHeight="1">
      <c r="B24" s="105" t="s">
        <v>66</v>
      </c>
      <c r="C24" s="42" t="s">
        <v>262</v>
      </c>
      <c r="D24" s="137" t="s">
        <v>263</v>
      </c>
      <c r="E24" s="154"/>
      <c r="F24" s="127" t="s">
        <v>264</v>
      </c>
      <c r="G24" s="128" t="s">
        <v>265</v>
      </c>
      <c r="H24" s="129" t="s">
        <v>266</v>
      </c>
    </row>
    <row r="25" spans="2:8" ht="54.95" customHeight="1">
      <c r="B25" s="105" t="s">
        <v>69</v>
      </c>
      <c r="C25" s="42" t="s">
        <v>267</v>
      </c>
      <c r="D25" s="137" t="s">
        <v>263</v>
      </c>
      <c r="E25" s="154"/>
      <c r="F25" s="127" t="s">
        <v>268</v>
      </c>
      <c r="G25" s="128" t="s">
        <v>269</v>
      </c>
      <c r="H25" s="129" t="s">
        <v>270</v>
      </c>
    </row>
    <row r="26" spans="2:8" ht="54.95" customHeight="1">
      <c r="B26" s="105" t="s">
        <v>71</v>
      </c>
      <c r="C26" s="42" t="s">
        <v>271</v>
      </c>
      <c r="D26" s="137" t="s">
        <v>263</v>
      </c>
      <c r="E26" s="154"/>
      <c r="F26" s="127" t="s">
        <v>272</v>
      </c>
      <c r="G26" s="128" t="s">
        <v>273</v>
      </c>
      <c r="H26" s="129" t="s">
        <v>274</v>
      </c>
    </row>
    <row r="27" spans="2:8" ht="54.95" customHeight="1">
      <c r="B27" s="105" t="s">
        <v>73</v>
      </c>
      <c r="C27" s="42" t="s">
        <v>275</v>
      </c>
      <c r="D27" s="137" t="s">
        <v>263</v>
      </c>
      <c r="E27" s="154"/>
      <c r="F27" s="127" t="s">
        <v>276</v>
      </c>
      <c r="G27" s="128" t="s">
        <v>277</v>
      </c>
      <c r="H27" s="129" t="s">
        <v>278</v>
      </c>
    </row>
    <row r="28" spans="2:8" ht="54.95" customHeight="1">
      <c r="B28" s="105" t="s">
        <v>75</v>
      </c>
      <c r="C28" s="42" t="s">
        <v>279</v>
      </c>
      <c r="D28" s="137" t="s">
        <v>263</v>
      </c>
      <c r="E28" s="154"/>
      <c r="F28" s="127" t="s">
        <v>280</v>
      </c>
      <c r="G28" s="128" t="s">
        <v>281</v>
      </c>
      <c r="H28" s="129" t="s">
        <v>282</v>
      </c>
    </row>
    <row r="29" spans="2:8" ht="54.95" customHeight="1">
      <c r="B29" s="105" t="s">
        <v>77</v>
      </c>
      <c r="C29" s="42" t="s">
        <v>283</v>
      </c>
      <c r="D29" s="137" t="s">
        <v>263</v>
      </c>
      <c r="E29" s="154"/>
      <c r="F29" s="127" t="s">
        <v>284</v>
      </c>
      <c r="G29" s="128" t="s">
        <v>285</v>
      </c>
      <c r="H29" s="129" t="s">
        <v>286</v>
      </c>
    </row>
    <row r="30" spans="2:8" ht="54.95" customHeight="1">
      <c r="B30" s="105" t="s">
        <v>79</v>
      </c>
      <c r="C30" s="42" t="s">
        <v>287</v>
      </c>
      <c r="D30" s="137" t="s">
        <v>263</v>
      </c>
      <c r="E30" s="154"/>
      <c r="F30" s="127" t="s">
        <v>288</v>
      </c>
      <c r="G30" s="128" t="s">
        <v>289</v>
      </c>
      <c r="H30" s="129" t="s">
        <v>290</v>
      </c>
    </row>
    <row r="31" spans="2:8" ht="18" customHeight="1">
      <c r="B31" s="105" t="s">
        <v>81</v>
      </c>
      <c r="C31" s="42" t="s">
        <v>291</v>
      </c>
      <c r="D31" s="137" t="s">
        <v>263</v>
      </c>
      <c r="E31" s="154"/>
      <c r="F31" s="127" t="s">
        <v>327</v>
      </c>
      <c r="G31" s="128" t="s">
        <v>328</v>
      </c>
      <c r="H31" s="129" t="s">
        <v>329</v>
      </c>
    </row>
    <row r="32" spans="2:8" ht="30" customHeight="1">
      <c r="B32" s="105" t="s">
        <v>84</v>
      </c>
      <c r="C32" s="42" t="s">
        <v>292</v>
      </c>
      <c r="D32" s="138" t="s">
        <v>236</v>
      </c>
      <c r="E32" s="146"/>
      <c r="F32" s="139" t="s">
        <v>293</v>
      </c>
      <c r="G32" s="128" t="s">
        <v>294</v>
      </c>
      <c r="H32" s="140" t="s">
        <v>295</v>
      </c>
    </row>
    <row r="33" spans="2:8" ht="20.100000000000001" customHeight="1">
      <c r="B33" s="102" t="s">
        <v>296</v>
      </c>
      <c r="C33" s="103"/>
      <c r="D33" s="1"/>
      <c r="E33" s="1"/>
      <c r="F33" s="1"/>
      <c r="G33" s="1"/>
      <c r="H33" s="2"/>
    </row>
    <row r="34" spans="2:8" ht="39.950000000000003" customHeight="1">
      <c r="B34" s="141" t="s">
        <v>297</v>
      </c>
      <c r="C34" s="173" t="s">
        <v>298</v>
      </c>
      <c r="D34" s="199"/>
      <c r="E34" s="199"/>
      <c r="F34" s="199"/>
      <c r="G34" s="199"/>
      <c r="H34" s="200"/>
    </row>
    <row r="35" spans="2:8" ht="20.100000000000001" customHeight="1">
      <c r="B35" s="143" t="s">
        <v>88</v>
      </c>
      <c r="C35" s="42" t="s">
        <v>89</v>
      </c>
      <c r="D35" s="137" t="s">
        <v>244</v>
      </c>
      <c r="E35" s="157"/>
      <c r="F35" s="144" t="s">
        <v>299</v>
      </c>
      <c r="G35" s="145" t="s">
        <v>300</v>
      </c>
      <c r="H35" s="121"/>
    </row>
    <row r="36" spans="2:8" ht="20.100000000000001" customHeight="1">
      <c r="B36" s="130" t="s">
        <v>241</v>
      </c>
      <c r="C36" s="150" t="s">
        <v>381</v>
      </c>
      <c r="D36" s="1"/>
      <c r="E36" s="1"/>
      <c r="F36" s="1"/>
      <c r="G36" s="1"/>
      <c r="H36" s="2"/>
    </row>
    <row r="37" spans="2:8" ht="20.100000000000001" customHeight="1">
      <c r="B37" s="143" t="s">
        <v>91</v>
      </c>
      <c r="C37" s="42" t="s">
        <v>92</v>
      </c>
      <c r="D37" s="137" t="s">
        <v>244</v>
      </c>
      <c r="E37" s="157"/>
      <c r="F37" s="144" t="s">
        <v>299</v>
      </c>
      <c r="G37" s="145" t="s">
        <v>300</v>
      </c>
      <c r="H37" s="121"/>
    </row>
    <row r="38" spans="2:8" ht="20.100000000000001" customHeight="1">
      <c r="B38" s="143" t="s">
        <v>94</v>
      </c>
      <c r="C38" s="42" t="s">
        <v>302</v>
      </c>
      <c r="D38" s="137" t="s">
        <v>244</v>
      </c>
      <c r="E38" s="157"/>
      <c r="F38" s="144" t="s">
        <v>299</v>
      </c>
      <c r="G38" s="145" t="s">
        <v>300</v>
      </c>
      <c r="H38" s="121"/>
    </row>
    <row r="39" spans="2:8" ht="20.100000000000001" customHeight="1">
      <c r="B39" s="143" t="s">
        <v>97</v>
      </c>
      <c r="C39" s="42" t="s">
        <v>98</v>
      </c>
      <c r="D39" s="137" t="s">
        <v>244</v>
      </c>
      <c r="E39" s="157"/>
      <c r="F39" s="144" t="s">
        <v>299</v>
      </c>
      <c r="G39" s="145" t="s">
        <v>300</v>
      </c>
      <c r="H39" s="121"/>
    </row>
    <row r="40" spans="2:8" ht="20.100000000000001" customHeight="1">
      <c r="B40" s="143" t="s">
        <v>100</v>
      </c>
      <c r="C40" s="42" t="s">
        <v>101</v>
      </c>
      <c r="D40" s="137" t="s">
        <v>244</v>
      </c>
      <c r="E40" s="157"/>
      <c r="F40" s="144" t="s">
        <v>299</v>
      </c>
      <c r="G40" s="145" t="s">
        <v>300</v>
      </c>
      <c r="H40" s="121"/>
    </row>
    <row r="41" spans="2:8" ht="18" customHeight="1">
      <c r="B41" s="143" t="s">
        <v>103</v>
      </c>
      <c r="C41" s="42" t="s">
        <v>104</v>
      </c>
      <c r="D41" s="84" t="s">
        <v>244</v>
      </c>
      <c r="E41" s="146"/>
      <c r="F41" s="127" t="s">
        <v>299</v>
      </c>
      <c r="G41" s="128" t="s">
        <v>300</v>
      </c>
      <c r="H41" s="129" t="s">
        <v>298</v>
      </c>
    </row>
    <row r="42" spans="2:8" ht="30" customHeight="1">
      <c r="B42" s="143" t="s">
        <v>106</v>
      </c>
      <c r="C42" s="42" t="s">
        <v>303</v>
      </c>
      <c r="D42" s="84" t="s">
        <v>244</v>
      </c>
      <c r="E42" s="146"/>
      <c r="F42" s="127" t="s">
        <v>299</v>
      </c>
      <c r="G42" s="128" t="s">
        <v>300</v>
      </c>
      <c r="H42" s="129" t="s">
        <v>298</v>
      </c>
    </row>
    <row r="43" spans="2:8" ht="20.100000000000001" customHeight="1">
      <c r="B43" s="102" t="s">
        <v>304</v>
      </c>
      <c r="C43" s="103"/>
      <c r="D43" s="103"/>
      <c r="E43" s="103"/>
      <c r="F43" s="103"/>
      <c r="G43" s="103"/>
      <c r="H43" s="103"/>
    </row>
    <row r="44" spans="2:8" ht="20.100000000000001" customHeight="1">
      <c r="B44" s="141" t="s">
        <v>297</v>
      </c>
      <c r="C44" s="142" t="s">
        <v>298</v>
      </c>
      <c r="D44" s="1"/>
      <c r="E44" s="1"/>
      <c r="F44" s="1"/>
      <c r="G44" s="1"/>
      <c r="H44" s="2"/>
    </row>
    <row r="45" spans="2:8" ht="20.100000000000001" customHeight="1">
      <c r="B45" s="143" t="s">
        <v>110</v>
      </c>
      <c r="C45" s="42" t="s">
        <v>111</v>
      </c>
      <c r="D45" s="137" t="s">
        <v>244</v>
      </c>
      <c r="E45" s="157"/>
      <c r="F45" s="144" t="s">
        <v>299</v>
      </c>
      <c r="G45" s="145" t="s">
        <v>300</v>
      </c>
      <c r="H45" s="121"/>
    </row>
    <row r="46" spans="2:8" ht="20.100000000000001" customHeight="1">
      <c r="B46" s="143" t="s">
        <v>113</v>
      </c>
      <c r="C46" s="42" t="s">
        <v>114</v>
      </c>
      <c r="D46" s="137" t="s">
        <v>244</v>
      </c>
      <c r="E46" s="157"/>
      <c r="F46" s="144" t="s">
        <v>299</v>
      </c>
      <c r="G46" s="145" t="s">
        <v>300</v>
      </c>
      <c r="H46" s="121"/>
    </row>
    <row r="47" spans="2:8" ht="18" customHeight="1">
      <c r="B47" s="143" t="s">
        <v>116</v>
      </c>
      <c r="C47" s="42" t="s">
        <v>117</v>
      </c>
      <c r="D47" s="84" t="s">
        <v>244</v>
      </c>
      <c r="E47" s="146"/>
      <c r="F47" s="127" t="s">
        <v>299</v>
      </c>
      <c r="G47" s="128" t="s">
        <v>300</v>
      </c>
      <c r="H47" s="129" t="s">
        <v>298</v>
      </c>
    </row>
    <row r="48" spans="2:8" ht="30" customHeight="1">
      <c r="B48" s="143" t="s">
        <v>119</v>
      </c>
      <c r="C48" s="42" t="s">
        <v>120</v>
      </c>
      <c r="D48" s="84" t="s">
        <v>244</v>
      </c>
      <c r="E48" s="146"/>
      <c r="F48" s="127" t="s">
        <v>299</v>
      </c>
      <c r="G48" s="128" t="s">
        <v>300</v>
      </c>
      <c r="H48" s="129" t="s">
        <v>298</v>
      </c>
    </row>
    <row r="49" spans="2:8" ht="20.100000000000001" customHeight="1">
      <c r="B49" s="102" t="s">
        <v>306</v>
      </c>
      <c r="C49" s="103"/>
      <c r="D49" s="1"/>
      <c r="E49" s="1"/>
      <c r="F49" s="1"/>
      <c r="G49" s="1"/>
      <c r="H49" s="2"/>
    </row>
    <row r="50" spans="2:8" ht="39.950000000000003" customHeight="1">
      <c r="B50" s="141" t="s">
        <v>297</v>
      </c>
      <c r="C50" s="173" t="s">
        <v>298</v>
      </c>
      <c r="D50" s="199"/>
      <c r="E50" s="199"/>
      <c r="F50" s="199"/>
      <c r="G50" s="199"/>
      <c r="H50" s="200"/>
    </row>
    <row r="51" spans="2:8" ht="20.100000000000001" customHeight="1">
      <c r="B51" s="143" t="s">
        <v>123</v>
      </c>
      <c r="C51" s="42" t="s">
        <v>307</v>
      </c>
      <c r="D51" s="137" t="s">
        <v>244</v>
      </c>
      <c r="E51" s="157"/>
      <c r="F51" s="144" t="s">
        <v>299</v>
      </c>
      <c r="G51" s="145" t="s">
        <v>300</v>
      </c>
      <c r="H51" s="121"/>
    </row>
    <row r="52" spans="2:8" ht="20.100000000000001" customHeight="1">
      <c r="B52" s="130" t="s">
        <v>241</v>
      </c>
      <c r="C52" s="150" t="s">
        <v>392</v>
      </c>
      <c r="D52" s="1"/>
      <c r="E52" s="1"/>
      <c r="F52" s="1"/>
      <c r="G52" s="1"/>
      <c r="H52" s="2"/>
    </row>
    <row r="53" spans="2:8" ht="20.100000000000001" customHeight="1">
      <c r="B53" s="143" t="s">
        <v>126</v>
      </c>
      <c r="C53" s="42" t="s">
        <v>309</v>
      </c>
      <c r="D53" s="137" t="s">
        <v>244</v>
      </c>
      <c r="E53" s="157"/>
      <c r="F53" s="144" t="s">
        <v>299</v>
      </c>
      <c r="G53" s="145" t="s">
        <v>300</v>
      </c>
      <c r="H53" s="121"/>
    </row>
    <row r="54" spans="2:8" ht="20.100000000000001" customHeight="1">
      <c r="B54" s="143" t="s">
        <v>129</v>
      </c>
      <c r="C54" s="42" t="s">
        <v>130</v>
      </c>
      <c r="D54" s="137" t="s">
        <v>244</v>
      </c>
      <c r="E54" s="157"/>
      <c r="F54" s="144" t="s">
        <v>299</v>
      </c>
      <c r="G54" s="145" t="s">
        <v>300</v>
      </c>
      <c r="H54" s="121"/>
    </row>
    <row r="55" spans="2:8" ht="18" customHeight="1">
      <c r="B55" s="143" t="s">
        <v>132</v>
      </c>
      <c r="C55" s="42" t="s">
        <v>310</v>
      </c>
      <c r="D55" s="1"/>
      <c r="E55" s="1"/>
      <c r="F55" s="1"/>
      <c r="G55" s="1"/>
      <c r="H55" s="2"/>
    </row>
    <row r="56" spans="2:8" ht="30" customHeight="1">
      <c r="B56" s="143" t="s">
        <v>135</v>
      </c>
      <c r="C56" s="177" t="s">
        <v>311</v>
      </c>
      <c r="D56" s="199"/>
      <c r="E56" s="199"/>
      <c r="F56" s="199"/>
      <c r="G56" s="199"/>
      <c r="H56" s="200"/>
    </row>
    <row r="57" spans="2:8" ht="20.100000000000001" customHeight="1">
      <c r="B57" s="102" t="s">
        <v>313</v>
      </c>
      <c r="C57" s="103"/>
      <c r="D57" s="103"/>
      <c r="E57" s="103"/>
      <c r="F57" s="103"/>
      <c r="G57" s="103"/>
      <c r="H57" s="103"/>
    </row>
    <row r="58" spans="2:8" ht="20.100000000000001" customHeight="1">
      <c r="B58" s="141" t="s">
        <v>297</v>
      </c>
      <c r="C58" s="142" t="s">
        <v>298</v>
      </c>
      <c r="D58" s="1"/>
      <c r="E58" s="1"/>
      <c r="F58" s="1"/>
      <c r="G58" s="1"/>
      <c r="H58" s="2"/>
    </row>
    <row r="59" spans="2:8" ht="20.100000000000001" customHeight="1">
      <c r="B59" s="143" t="s">
        <v>139</v>
      </c>
      <c r="C59" s="42" t="s">
        <v>314</v>
      </c>
      <c r="D59" s="137" t="s">
        <v>244</v>
      </c>
      <c r="E59" s="157"/>
      <c r="F59" s="144" t="s">
        <v>299</v>
      </c>
      <c r="G59" s="145" t="s">
        <v>300</v>
      </c>
      <c r="H59" s="121"/>
    </row>
    <row r="60" spans="2:8" ht="20.100000000000001" customHeight="1">
      <c r="B60" s="143" t="s">
        <v>142</v>
      </c>
      <c r="C60" s="42" t="s">
        <v>143</v>
      </c>
      <c r="D60" s="137" t="s">
        <v>244</v>
      </c>
      <c r="E60" s="157"/>
      <c r="F60" s="144" t="s">
        <v>299</v>
      </c>
      <c r="G60" s="145" t="s">
        <v>300</v>
      </c>
      <c r="H60" s="121"/>
    </row>
    <row r="61" spans="2:8" ht="20.100000000000001" customHeight="1">
      <c r="B61" s="143" t="s">
        <v>145</v>
      </c>
      <c r="C61" s="42" t="s">
        <v>315</v>
      </c>
      <c r="D61" s="137" t="s">
        <v>244</v>
      </c>
      <c r="E61" s="157"/>
      <c r="F61" s="144" t="s">
        <v>299</v>
      </c>
      <c r="G61" s="145" t="s">
        <v>300</v>
      </c>
      <c r="H61" s="121"/>
    </row>
    <row r="62" spans="2:8" ht="20.100000000000001" customHeight="1">
      <c r="B62" s="143" t="s">
        <v>148</v>
      </c>
      <c r="C62" s="42" t="s">
        <v>316</v>
      </c>
      <c r="D62" s="137" t="s">
        <v>244</v>
      </c>
      <c r="E62" s="157"/>
      <c r="F62" s="144" t="s">
        <v>299</v>
      </c>
      <c r="G62" s="145" t="s">
        <v>300</v>
      </c>
      <c r="H62" s="121"/>
    </row>
    <row r="63" spans="2:8" ht="18" customHeight="1">
      <c r="B63" s="143" t="s">
        <v>151</v>
      </c>
      <c r="C63" s="42" t="s">
        <v>152</v>
      </c>
      <c r="D63" s="137" t="s">
        <v>244</v>
      </c>
      <c r="E63" s="157"/>
      <c r="F63" s="144" t="s">
        <v>299</v>
      </c>
      <c r="G63" s="145" t="s">
        <v>300</v>
      </c>
      <c r="H63" s="2"/>
    </row>
    <row r="64" spans="2:8" ht="30" customHeight="1">
      <c r="B64" s="143" t="s">
        <v>154</v>
      </c>
      <c r="C64" s="42" t="s">
        <v>155</v>
      </c>
      <c r="D64" s="137" t="s">
        <v>244</v>
      </c>
      <c r="E64" s="157"/>
      <c r="F64" s="144" t="s">
        <v>299</v>
      </c>
      <c r="G64" s="145" t="s">
        <v>300</v>
      </c>
      <c r="H64" s="2"/>
    </row>
    <row r="65" spans="2:8" ht="20.100000000000001" customHeight="1">
      <c r="B65" s="141" t="s">
        <v>297</v>
      </c>
      <c r="C65" s="142" t="s">
        <v>298</v>
      </c>
      <c r="D65" s="1"/>
      <c r="E65" s="1"/>
      <c r="F65" s="1"/>
      <c r="G65" s="1"/>
      <c r="H65" s="2"/>
    </row>
    <row r="67" spans="2:8" ht="30" customHeight="1">
      <c r="B67" s="147" t="s">
        <v>317</v>
      </c>
      <c r="C67" s="170" t="s">
        <v>318</v>
      </c>
      <c r="D67" s="199"/>
      <c r="E67" s="199"/>
      <c r="F67" s="199"/>
      <c r="G67" s="199"/>
      <c r="H67" s="200"/>
    </row>
  </sheetData>
  <mergeCells count="7">
    <mergeCell ref="C67:H67"/>
    <mergeCell ref="C16:H16"/>
    <mergeCell ref="C50:H50"/>
    <mergeCell ref="N12:O12"/>
    <mergeCell ref="C34:H34"/>
    <mergeCell ref="C56:H56"/>
    <mergeCell ref="H12:M12"/>
  </mergeCells>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B1:O67"/>
  <sheetViews>
    <sheetView topLeftCell="A27" workbookViewId="0">
      <selection activeCell="G31" sqref="G31"/>
    </sheetView>
  </sheetViews>
  <sheetFormatPr defaultRowHeight="14.45"/>
  <cols>
    <col min="1" max="1" width="2" customWidth="1"/>
    <col min="2" max="2" width="28" customWidth="1"/>
    <col min="3" max="3" width="45" bestFit="1" customWidth="1"/>
    <col min="4" max="4" width="18" customWidth="1"/>
    <col min="5" max="7" width="14" customWidth="1"/>
    <col min="8" max="8" width="55" customWidth="1"/>
    <col min="9" max="13" width="30.140625" customWidth="1"/>
  </cols>
  <sheetData>
    <row r="1" spans="2:15" ht="27.95" customHeight="1">
      <c r="B1" s="118" t="s">
        <v>443</v>
      </c>
      <c r="C1" s="68"/>
      <c r="D1" s="68"/>
      <c r="E1" s="68"/>
      <c r="F1" s="68"/>
      <c r="G1" s="68"/>
      <c r="H1" s="68"/>
    </row>
    <row r="2" spans="2:15" ht="15.95" customHeight="1">
      <c r="B2" s="19" t="s">
        <v>216</v>
      </c>
      <c r="C2" s="43" t="s">
        <v>217</v>
      </c>
      <c r="D2" s="43" t="s">
        <v>218</v>
      </c>
      <c r="E2" s="103"/>
      <c r="F2" s="103"/>
      <c r="G2" s="103"/>
      <c r="H2" s="43" t="s">
        <v>219</v>
      </c>
    </row>
    <row r="3" spans="2:15" ht="15.95" customHeight="1">
      <c r="B3" s="119" t="s">
        <v>220</v>
      </c>
      <c r="C3" s="42"/>
      <c r="D3" s="121"/>
      <c r="E3" s="121"/>
      <c r="F3" s="121"/>
      <c r="G3" s="121"/>
      <c r="H3" s="121"/>
    </row>
    <row r="4" spans="2:15" ht="15.95" customHeight="1">
      <c r="B4" s="119" t="s">
        <v>199</v>
      </c>
      <c r="C4" s="42"/>
      <c r="D4" s="121"/>
      <c r="E4" s="121"/>
      <c r="F4" s="121"/>
      <c r="G4" s="121"/>
      <c r="H4" s="121"/>
    </row>
    <row r="5" spans="2:15" ht="15.95" customHeight="1">
      <c r="B5" s="119" t="s">
        <v>224</v>
      </c>
      <c r="C5" s="42"/>
      <c r="D5" s="121"/>
      <c r="E5" s="121"/>
      <c r="F5" s="121"/>
      <c r="G5" s="121"/>
      <c r="H5" s="121"/>
    </row>
    <row r="6" spans="2:15" ht="15.95" customHeight="1">
      <c r="B6" s="119" t="s">
        <v>226</v>
      </c>
      <c r="C6" s="42"/>
      <c r="D6" s="121"/>
      <c r="E6" s="121"/>
      <c r="F6" s="121"/>
      <c r="G6" s="121"/>
      <c r="H6" s="121"/>
    </row>
    <row r="7" spans="2:15" ht="15.95" customHeight="1">
      <c r="B7" s="119" t="s">
        <v>227</v>
      </c>
      <c r="C7" s="42"/>
      <c r="D7" s="121"/>
      <c r="E7" s="121"/>
      <c r="F7" s="121"/>
      <c r="G7" s="121"/>
      <c r="H7" s="121"/>
    </row>
    <row r="8" spans="2:15" ht="15.95" customHeight="1">
      <c r="B8" s="119" t="s">
        <v>229</v>
      </c>
      <c r="C8" s="42"/>
      <c r="D8" s="121"/>
      <c r="E8" s="121"/>
      <c r="F8" s="121"/>
      <c r="G8" s="121"/>
      <c r="H8" s="121"/>
    </row>
    <row r="9" spans="2:15" ht="15.95" customHeight="1">
      <c r="B9" s="119" t="s">
        <v>231</v>
      </c>
      <c r="C9" s="42"/>
      <c r="D9" s="121"/>
      <c r="E9" s="121"/>
      <c r="F9" s="121"/>
      <c r="G9" s="121"/>
      <c r="H9" s="121"/>
    </row>
    <row r="10" spans="2:15" ht="15.95" customHeight="1">
      <c r="B10" s="119" t="s">
        <v>201</v>
      </c>
      <c r="C10" s="42"/>
      <c r="D10" s="121"/>
      <c r="E10" s="121"/>
      <c r="F10" s="121"/>
      <c r="G10" s="121"/>
      <c r="H10" s="121"/>
    </row>
    <row r="11" spans="2:15" ht="15.95" customHeight="1">
      <c r="B11" s="119" t="s">
        <v>203</v>
      </c>
      <c r="C11" s="42"/>
      <c r="D11" s="121"/>
      <c r="E11" s="121"/>
      <c r="F11" s="121"/>
      <c r="G11" s="121"/>
      <c r="H11" s="121"/>
    </row>
    <row r="12" spans="2:15" ht="15.95" customHeight="1">
      <c r="B12" s="119" t="s">
        <v>232</v>
      </c>
      <c r="C12" s="42"/>
      <c r="D12" s="121"/>
      <c r="E12" s="121"/>
      <c r="F12" s="121"/>
      <c r="G12" s="121"/>
      <c r="H12" s="174"/>
      <c r="I12" s="199"/>
      <c r="J12" s="199"/>
      <c r="K12" s="199"/>
      <c r="L12" s="199"/>
      <c r="M12" s="200"/>
      <c r="N12" s="201"/>
      <c r="O12" s="201"/>
    </row>
    <row r="13" spans="2:15" ht="15.95" customHeight="1">
      <c r="B13" s="119" t="s">
        <v>161</v>
      </c>
      <c r="C13" s="42"/>
      <c r="D13" s="121"/>
      <c r="E13" s="121"/>
      <c r="F13" s="121"/>
      <c r="G13" s="121"/>
      <c r="H13" s="121"/>
    </row>
    <row r="14" spans="2:15" ht="15.95" customHeight="1">
      <c r="B14" s="68"/>
      <c r="C14" s="68"/>
      <c r="D14" s="68"/>
      <c r="E14" s="68"/>
      <c r="F14" s="68"/>
      <c r="G14" s="68"/>
      <c r="H14" s="68"/>
      <c r="I14" s="1"/>
      <c r="J14" s="1"/>
      <c r="K14" s="1"/>
      <c r="L14" s="1"/>
      <c r="M14" s="2"/>
    </row>
    <row r="15" spans="2:15" ht="54.95" customHeight="1">
      <c r="B15" s="123" t="s">
        <v>46</v>
      </c>
      <c r="C15" s="124" t="s">
        <v>47</v>
      </c>
      <c r="D15" s="1"/>
      <c r="E15" s="1"/>
      <c r="F15" s="1"/>
      <c r="G15" s="1"/>
      <c r="H15" s="2"/>
    </row>
    <row r="16" spans="2:15" ht="39.950000000000003" customHeight="1">
      <c r="B16" s="102" t="s">
        <v>234</v>
      </c>
      <c r="C16" s="172"/>
      <c r="D16" s="199"/>
      <c r="E16" s="199"/>
      <c r="F16" s="199"/>
      <c r="G16" s="199"/>
      <c r="H16" s="200"/>
    </row>
    <row r="17" spans="2:8" ht="54.95" customHeight="1">
      <c r="B17" s="105" t="s">
        <v>52</v>
      </c>
      <c r="C17" s="119" t="s">
        <v>235</v>
      </c>
      <c r="D17" s="125" t="s">
        <v>236</v>
      </c>
      <c r="E17" s="154"/>
      <c r="F17" s="127" t="s">
        <v>237</v>
      </c>
      <c r="G17" s="128" t="s">
        <v>238</v>
      </c>
      <c r="H17" s="129" t="s">
        <v>239</v>
      </c>
    </row>
    <row r="18" spans="2:8" ht="54.95" customHeight="1">
      <c r="B18" s="130" t="s">
        <v>241</v>
      </c>
      <c r="C18" s="150" t="s">
        <v>330</v>
      </c>
      <c r="D18" s="1"/>
      <c r="E18" s="1"/>
      <c r="F18" s="1"/>
      <c r="G18" s="1"/>
      <c r="H18" s="2"/>
    </row>
    <row r="19" spans="2:8" ht="54.95" customHeight="1">
      <c r="B19" s="105" t="s">
        <v>56</v>
      </c>
      <c r="C19" s="119" t="s">
        <v>243</v>
      </c>
      <c r="D19" s="125" t="s">
        <v>244</v>
      </c>
      <c r="E19" s="154"/>
      <c r="F19" s="127" t="s">
        <v>245</v>
      </c>
      <c r="G19" s="128" t="s">
        <v>246</v>
      </c>
      <c r="H19" s="129" t="s">
        <v>247</v>
      </c>
    </row>
    <row r="20" spans="2:8" ht="18" customHeight="1">
      <c r="B20" s="105" t="s">
        <v>59</v>
      </c>
      <c r="C20" s="119" t="s">
        <v>248</v>
      </c>
      <c r="D20" s="125" t="s">
        <v>244</v>
      </c>
      <c r="E20" s="154"/>
      <c r="F20" s="127" t="s">
        <v>249</v>
      </c>
      <c r="G20" s="128" t="s">
        <v>250</v>
      </c>
      <c r="H20" s="129" t="s">
        <v>251</v>
      </c>
    </row>
    <row r="21" spans="2:8" ht="15.95" customHeight="1">
      <c r="B21" s="105" t="s">
        <v>62</v>
      </c>
      <c r="C21" s="119" t="s">
        <v>252</v>
      </c>
      <c r="D21" s="125" t="s">
        <v>244</v>
      </c>
      <c r="E21" s="154"/>
      <c r="F21" s="127" t="s">
        <v>253</v>
      </c>
      <c r="G21" s="128" t="s">
        <v>254</v>
      </c>
      <c r="H21" s="129" t="s">
        <v>255</v>
      </c>
    </row>
    <row r="22" spans="2:8" ht="54.95" customHeight="1">
      <c r="B22" s="102" t="s">
        <v>256</v>
      </c>
      <c r="C22" s="103"/>
      <c r="D22" s="103"/>
      <c r="E22" s="103"/>
      <c r="F22" s="103"/>
      <c r="G22" s="103"/>
      <c r="H22" s="103"/>
    </row>
    <row r="23" spans="2:8" ht="54.95" customHeight="1">
      <c r="B23" s="132" t="s">
        <v>46</v>
      </c>
      <c r="C23" s="133" t="s">
        <v>47</v>
      </c>
      <c r="D23" s="132" t="s">
        <v>257</v>
      </c>
      <c r="E23" s="134" t="s">
        <v>258</v>
      </c>
      <c r="F23" s="135" t="s">
        <v>259</v>
      </c>
      <c r="G23" s="136" t="s">
        <v>260</v>
      </c>
      <c r="H23" s="133" t="s">
        <v>261</v>
      </c>
    </row>
    <row r="24" spans="2:8" ht="54.95" customHeight="1">
      <c r="B24" s="105" t="s">
        <v>66</v>
      </c>
      <c r="C24" s="42" t="s">
        <v>262</v>
      </c>
      <c r="D24" s="137" t="s">
        <v>263</v>
      </c>
      <c r="E24" s="154"/>
      <c r="F24" s="127" t="s">
        <v>264</v>
      </c>
      <c r="G24" s="128" t="s">
        <v>265</v>
      </c>
      <c r="H24" s="129" t="s">
        <v>266</v>
      </c>
    </row>
    <row r="25" spans="2:8" ht="54.95" customHeight="1">
      <c r="B25" s="105" t="s">
        <v>69</v>
      </c>
      <c r="C25" s="42" t="s">
        <v>267</v>
      </c>
      <c r="D25" s="137" t="s">
        <v>263</v>
      </c>
      <c r="E25" s="154"/>
      <c r="F25" s="127" t="s">
        <v>268</v>
      </c>
      <c r="G25" s="128" t="s">
        <v>269</v>
      </c>
      <c r="H25" s="129" t="s">
        <v>270</v>
      </c>
    </row>
    <row r="26" spans="2:8" ht="54.95" customHeight="1">
      <c r="B26" s="105" t="s">
        <v>71</v>
      </c>
      <c r="C26" s="42" t="s">
        <v>271</v>
      </c>
      <c r="D26" s="137" t="s">
        <v>263</v>
      </c>
      <c r="E26" s="154"/>
      <c r="F26" s="127" t="s">
        <v>272</v>
      </c>
      <c r="G26" s="128" t="s">
        <v>273</v>
      </c>
      <c r="H26" s="129" t="s">
        <v>274</v>
      </c>
    </row>
    <row r="27" spans="2:8" ht="54.95" customHeight="1">
      <c r="B27" s="105" t="s">
        <v>73</v>
      </c>
      <c r="C27" s="42" t="s">
        <v>275</v>
      </c>
      <c r="D27" s="137" t="s">
        <v>263</v>
      </c>
      <c r="E27" s="154"/>
      <c r="F27" s="127" t="s">
        <v>276</v>
      </c>
      <c r="G27" s="128" t="s">
        <v>277</v>
      </c>
      <c r="H27" s="129" t="s">
        <v>278</v>
      </c>
    </row>
    <row r="28" spans="2:8" ht="54.95" customHeight="1">
      <c r="B28" s="105" t="s">
        <v>75</v>
      </c>
      <c r="C28" s="42" t="s">
        <v>279</v>
      </c>
      <c r="D28" s="137" t="s">
        <v>263</v>
      </c>
      <c r="E28" s="154"/>
      <c r="F28" s="127" t="s">
        <v>280</v>
      </c>
      <c r="G28" s="128" t="s">
        <v>281</v>
      </c>
      <c r="H28" s="129" t="s">
        <v>282</v>
      </c>
    </row>
    <row r="29" spans="2:8" ht="54.95" customHeight="1">
      <c r="B29" s="105" t="s">
        <v>77</v>
      </c>
      <c r="C29" s="42" t="s">
        <v>283</v>
      </c>
      <c r="D29" s="137" t="s">
        <v>263</v>
      </c>
      <c r="E29" s="154"/>
      <c r="F29" s="127" t="s">
        <v>284</v>
      </c>
      <c r="G29" s="128" t="s">
        <v>285</v>
      </c>
      <c r="H29" s="129" t="s">
        <v>286</v>
      </c>
    </row>
    <row r="30" spans="2:8" ht="54.95" customHeight="1">
      <c r="B30" s="105" t="s">
        <v>79</v>
      </c>
      <c r="C30" s="42" t="s">
        <v>287</v>
      </c>
      <c r="D30" s="137" t="s">
        <v>263</v>
      </c>
      <c r="E30" s="154"/>
      <c r="F30" s="127" t="s">
        <v>288</v>
      </c>
      <c r="G30" s="128" t="s">
        <v>289</v>
      </c>
      <c r="H30" s="129" t="s">
        <v>290</v>
      </c>
    </row>
    <row r="31" spans="2:8" ht="18" customHeight="1">
      <c r="B31" s="105" t="s">
        <v>81</v>
      </c>
      <c r="C31" s="42" t="s">
        <v>291</v>
      </c>
      <c r="D31" s="137" t="s">
        <v>263</v>
      </c>
      <c r="E31" s="154"/>
      <c r="F31" s="127" t="s">
        <v>327</v>
      </c>
      <c r="G31" s="128" t="s">
        <v>328</v>
      </c>
      <c r="H31" s="129" t="s">
        <v>329</v>
      </c>
    </row>
    <row r="32" spans="2:8" ht="30" customHeight="1">
      <c r="B32" s="105" t="s">
        <v>84</v>
      </c>
      <c r="C32" s="42" t="s">
        <v>292</v>
      </c>
      <c r="D32" s="138" t="s">
        <v>236</v>
      </c>
      <c r="E32" s="146"/>
      <c r="F32" s="139" t="s">
        <v>293</v>
      </c>
      <c r="G32" s="128" t="s">
        <v>294</v>
      </c>
      <c r="H32" s="140" t="s">
        <v>295</v>
      </c>
    </row>
    <row r="33" spans="2:8" ht="20.100000000000001" customHeight="1">
      <c r="B33" s="102" t="s">
        <v>296</v>
      </c>
      <c r="C33" s="103"/>
      <c r="D33" s="1"/>
      <c r="E33" s="1"/>
      <c r="F33" s="1"/>
      <c r="G33" s="1"/>
      <c r="H33" s="2"/>
    </row>
    <row r="34" spans="2:8" ht="39.950000000000003" customHeight="1">
      <c r="B34" s="141" t="s">
        <v>297</v>
      </c>
      <c r="C34" s="173" t="s">
        <v>298</v>
      </c>
      <c r="D34" s="199"/>
      <c r="E34" s="199"/>
      <c r="F34" s="199"/>
      <c r="G34" s="199"/>
      <c r="H34" s="200"/>
    </row>
    <row r="35" spans="2:8" ht="20.100000000000001" customHeight="1">
      <c r="B35" s="143" t="s">
        <v>88</v>
      </c>
      <c r="C35" s="42" t="s">
        <v>89</v>
      </c>
      <c r="D35" s="137" t="s">
        <v>244</v>
      </c>
      <c r="E35" s="157"/>
      <c r="F35" s="144" t="s">
        <v>299</v>
      </c>
      <c r="G35" s="145" t="s">
        <v>300</v>
      </c>
      <c r="H35" s="121"/>
    </row>
    <row r="36" spans="2:8" ht="20.100000000000001" customHeight="1">
      <c r="B36" s="130" t="s">
        <v>241</v>
      </c>
      <c r="C36" s="150" t="s">
        <v>381</v>
      </c>
      <c r="D36" s="1"/>
      <c r="E36" s="1"/>
      <c r="F36" s="1"/>
      <c r="G36" s="1"/>
      <c r="H36" s="2"/>
    </row>
    <row r="37" spans="2:8" ht="20.100000000000001" customHeight="1">
      <c r="B37" s="143" t="s">
        <v>91</v>
      </c>
      <c r="C37" s="42" t="s">
        <v>92</v>
      </c>
      <c r="D37" s="137" t="s">
        <v>244</v>
      </c>
      <c r="E37" s="157"/>
      <c r="F37" s="144" t="s">
        <v>299</v>
      </c>
      <c r="G37" s="145" t="s">
        <v>300</v>
      </c>
      <c r="H37" s="121"/>
    </row>
    <row r="38" spans="2:8" ht="20.100000000000001" customHeight="1">
      <c r="B38" s="143" t="s">
        <v>94</v>
      </c>
      <c r="C38" s="42" t="s">
        <v>302</v>
      </c>
      <c r="D38" s="137" t="s">
        <v>244</v>
      </c>
      <c r="E38" s="157"/>
      <c r="F38" s="144" t="s">
        <v>299</v>
      </c>
      <c r="G38" s="145" t="s">
        <v>300</v>
      </c>
      <c r="H38" s="121"/>
    </row>
    <row r="39" spans="2:8" ht="20.100000000000001" customHeight="1">
      <c r="B39" s="143" t="s">
        <v>97</v>
      </c>
      <c r="C39" s="42" t="s">
        <v>98</v>
      </c>
      <c r="D39" s="137" t="s">
        <v>244</v>
      </c>
      <c r="E39" s="157"/>
      <c r="F39" s="144" t="s">
        <v>299</v>
      </c>
      <c r="G39" s="145" t="s">
        <v>300</v>
      </c>
      <c r="H39" s="121"/>
    </row>
    <row r="40" spans="2:8" ht="20.100000000000001" customHeight="1">
      <c r="B40" s="143" t="s">
        <v>100</v>
      </c>
      <c r="C40" s="42" t="s">
        <v>101</v>
      </c>
      <c r="D40" s="137" t="s">
        <v>244</v>
      </c>
      <c r="E40" s="157"/>
      <c r="F40" s="144" t="s">
        <v>299</v>
      </c>
      <c r="G40" s="145" t="s">
        <v>300</v>
      </c>
      <c r="H40" s="121"/>
    </row>
    <row r="41" spans="2:8" ht="18" customHeight="1">
      <c r="B41" s="143" t="s">
        <v>103</v>
      </c>
      <c r="C41" s="42" t="s">
        <v>104</v>
      </c>
      <c r="D41" s="84" t="s">
        <v>244</v>
      </c>
      <c r="E41" s="146"/>
      <c r="F41" s="127" t="s">
        <v>299</v>
      </c>
      <c r="G41" s="128" t="s">
        <v>300</v>
      </c>
      <c r="H41" s="129" t="s">
        <v>298</v>
      </c>
    </row>
    <row r="42" spans="2:8" ht="30" customHeight="1">
      <c r="B42" s="143" t="s">
        <v>106</v>
      </c>
      <c r="C42" s="42" t="s">
        <v>303</v>
      </c>
      <c r="D42" s="84" t="s">
        <v>244</v>
      </c>
      <c r="E42" s="146"/>
      <c r="F42" s="127" t="s">
        <v>299</v>
      </c>
      <c r="G42" s="128" t="s">
        <v>300</v>
      </c>
      <c r="H42" s="129" t="s">
        <v>298</v>
      </c>
    </row>
    <row r="43" spans="2:8" ht="20.100000000000001" customHeight="1">
      <c r="B43" s="102" t="s">
        <v>304</v>
      </c>
      <c r="C43" s="103"/>
      <c r="D43" s="103"/>
      <c r="E43" s="103"/>
      <c r="F43" s="103"/>
      <c r="G43" s="103"/>
      <c r="H43" s="103"/>
    </row>
    <row r="44" spans="2:8" ht="20.100000000000001" customHeight="1">
      <c r="B44" s="141" t="s">
        <v>297</v>
      </c>
      <c r="C44" s="142" t="s">
        <v>298</v>
      </c>
      <c r="D44" s="1"/>
      <c r="E44" s="1"/>
      <c r="F44" s="1"/>
      <c r="G44" s="1"/>
      <c r="H44" s="2"/>
    </row>
    <row r="45" spans="2:8" ht="20.100000000000001" customHeight="1">
      <c r="B45" s="143" t="s">
        <v>110</v>
      </c>
      <c r="C45" s="42" t="s">
        <v>111</v>
      </c>
      <c r="D45" s="137" t="s">
        <v>244</v>
      </c>
      <c r="E45" s="157"/>
      <c r="F45" s="144" t="s">
        <v>299</v>
      </c>
      <c r="G45" s="145" t="s">
        <v>300</v>
      </c>
      <c r="H45" s="121"/>
    </row>
    <row r="46" spans="2:8" ht="20.100000000000001" customHeight="1">
      <c r="B46" s="143" t="s">
        <v>113</v>
      </c>
      <c r="C46" s="42" t="s">
        <v>114</v>
      </c>
      <c r="D46" s="137" t="s">
        <v>244</v>
      </c>
      <c r="E46" s="157"/>
      <c r="F46" s="144" t="s">
        <v>299</v>
      </c>
      <c r="G46" s="145" t="s">
        <v>300</v>
      </c>
      <c r="H46" s="121"/>
    </row>
    <row r="47" spans="2:8" ht="18" customHeight="1">
      <c r="B47" s="143" t="s">
        <v>116</v>
      </c>
      <c r="C47" s="42" t="s">
        <v>117</v>
      </c>
      <c r="D47" s="84" t="s">
        <v>244</v>
      </c>
      <c r="E47" s="146"/>
      <c r="F47" s="127" t="s">
        <v>299</v>
      </c>
      <c r="G47" s="128" t="s">
        <v>300</v>
      </c>
      <c r="H47" s="129" t="s">
        <v>298</v>
      </c>
    </row>
    <row r="48" spans="2:8" ht="30" customHeight="1">
      <c r="B48" s="143" t="s">
        <v>119</v>
      </c>
      <c r="C48" s="42" t="s">
        <v>120</v>
      </c>
      <c r="D48" s="84" t="s">
        <v>244</v>
      </c>
      <c r="E48" s="146"/>
      <c r="F48" s="127" t="s">
        <v>299</v>
      </c>
      <c r="G48" s="128" t="s">
        <v>300</v>
      </c>
      <c r="H48" s="129" t="s">
        <v>298</v>
      </c>
    </row>
    <row r="49" spans="2:8" ht="20.100000000000001" customHeight="1">
      <c r="B49" s="102" t="s">
        <v>306</v>
      </c>
      <c r="C49" s="103"/>
      <c r="D49" s="1"/>
      <c r="E49" s="1"/>
      <c r="F49" s="1"/>
      <c r="G49" s="1"/>
      <c r="H49" s="2"/>
    </row>
    <row r="50" spans="2:8" ht="39.950000000000003" customHeight="1">
      <c r="B50" s="141" t="s">
        <v>297</v>
      </c>
      <c r="C50" s="173" t="s">
        <v>298</v>
      </c>
      <c r="D50" s="199"/>
      <c r="E50" s="199"/>
      <c r="F50" s="199"/>
      <c r="G50" s="199"/>
      <c r="H50" s="200"/>
    </row>
    <row r="51" spans="2:8" ht="20.100000000000001" customHeight="1">
      <c r="B51" s="143" t="s">
        <v>123</v>
      </c>
      <c r="C51" s="42" t="s">
        <v>307</v>
      </c>
      <c r="D51" s="137" t="s">
        <v>244</v>
      </c>
      <c r="E51" s="157"/>
      <c r="F51" s="144" t="s">
        <v>299</v>
      </c>
      <c r="G51" s="145" t="s">
        <v>300</v>
      </c>
      <c r="H51" s="121"/>
    </row>
    <row r="52" spans="2:8" ht="20.100000000000001" customHeight="1">
      <c r="B52" s="130" t="s">
        <v>241</v>
      </c>
      <c r="C52" s="150" t="s">
        <v>392</v>
      </c>
      <c r="D52" s="1"/>
      <c r="E52" s="1"/>
      <c r="F52" s="1"/>
      <c r="G52" s="1"/>
      <c r="H52" s="2"/>
    </row>
    <row r="53" spans="2:8" ht="20.100000000000001" customHeight="1">
      <c r="B53" s="143" t="s">
        <v>126</v>
      </c>
      <c r="C53" s="42" t="s">
        <v>309</v>
      </c>
      <c r="D53" s="137" t="s">
        <v>244</v>
      </c>
      <c r="E53" s="157"/>
      <c r="F53" s="144" t="s">
        <v>299</v>
      </c>
      <c r="G53" s="145" t="s">
        <v>300</v>
      </c>
      <c r="H53" s="121"/>
    </row>
    <row r="54" spans="2:8" ht="20.100000000000001" customHeight="1">
      <c r="B54" s="143" t="s">
        <v>129</v>
      </c>
      <c r="C54" s="42" t="s">
        <v>130</v>
      </c>
      <c r="D54" s="137" t="s">
        <v>244</v>
      </c>
      <c r="E54" s="157"/>
      <c r="F54" s="144" t="s">
        <v>299</v>
      </c>
      <c r="G54" s="145" t="s">
        <v>300</v>
      </c>
      <c r="H54" s="121"/>
    </row>
    <row r="55" spans="2:8" ht="18" customHeight="1">
      <c r="B55" s="143" t="s">
        <v>132</v>
      </c>
      <c r="C55" s="42" t="s">
        <v>310</v>
      </c>
      <c r="D55" s="1"/>
      <c r="E55" s="1"/>
      <c r="F55" s="1"/>
      <c r="G55" s="1"/>
      <c r="H55" s="2"/>
    </row>
    <row r="56" spans="2:8" ht="30" customHeight="1">
      <c r="B56" s="143" t="s">
        <v>135</v>
      </c>
      <c r="C56" s="177" t="s">
        <v>311</v>
      </c>
      <c r="D56" s="199"/>
      <c r="E56" s="199"/>
      <c r="F56" s="199"/>
      <c r="G56" s="199"/>
      <c r="H56" s="200"/>
    </row>
    <row r="57" spans="2:8" ht="20.100000000000001" customHeight="1">
      <c r="B57" s="102" t="s">
        <v>313</v>
      </c>
      <c r="C57" s="103"/>
      <c r="D57" s="103"/>
      <c r="E57" s="103"/>
      <c r="F57" s="103"/>
      <c r="G57" s="103"/>
      <c r="H57" s="103"/>
    </row>
    <row r="58" spans="2:8" ht="20.100000000000001" customHeight="1">
      <c r="B58" s="141" t="s">
        <v>297</v>
      </c>
      <c r="C58" s="142" t="s">
        <v>298</v>
      </c>
      <c r="D58" s="1"/>
      <c r="E58" s="1"/>
      <c r="F58" s="1"/>
      <c r="G58" s="1"/>
      <c r="H58" s="2"/>
    </row>
    <row r="59" spans="2:8" ht="20.100000000000001" customHeight="1">
      <c r="B59" s="143" t="s">
        <v>139</v>
      </c>
      <c r="C59" s="42" t="s">
        <v>314</v>
      </c>
      <c r="D59" s="137" t="s">
        <v>244</v>
      </c>
      <c r="E59" s="157"/>
      <c r="F59" s="144" t="s">
        <v>299</v>
      </c>
      <c r="G59" s="145" t="s">
        <v>300</v>
      </c>
      <c r="H59" s="121"/>
    </row>
    <row r="60" spans="2:8" ht="20.100000000000001" customHeight="1">
      <c r="B60" s="143" t="s">
        <v>142</v>
      </c>
      <c r="C60" s="42" t="s">
        <v>143</v>
      </c>
      <c r="D60" s="137" t="s">
        <v>244</v>
      </c>
      <c r="E60" s="157"/>
      <c r="F60" s="144" t="s">
        <v>299</v>
      </c>
      <c r="G60" s="145" t="s">
        <v>300</v>
      </c>
      <c r="H60" s="121"/>
    </row>
    <row r="61" spans="2:8" ht="20.100000000000001" customHeight="1">
      <c r="B61" s="143" t="s">
        <v>145</v>
      </c>
      <c r="C61" s="42" t="s">
        <v>315</v>
      </c>
      <c r="D61" s="137" t="s">
        <v>244</v>
      </c>
      <c r="E61" s="157"/>
      <c r="F61" s="144" t="s">
        <v>299</v>
      </c>
      <c r="G61" s="145" t="s">
        <v>300</v>
      </c>
      <c r="H61" s="121"/>
    </row>
    <row r="62" spans="2:8" ht="20.100000000000001" customHeight="1">
      <c r="B62" s="143" t="s">
        <v>148</v>
      </c>
      <c r="C62" s="42" t="s">
        <v>316</v>
      </c>
      <c r="D62" s="137" t="s">
        <v>244</v>
      </c>
      <c r="E62" s="157"/>
      <c r="F62" s="144" t="s">
        <v>299</v>
      </c>
      <c r="G62" s="145" t="s">
        <v>300</v>
      </c>
      <c r="H62" s="121"/>
    </row>
    <row r="63" spans="2:8" ht="18" customHeight="1">
      <c r="B63" s="143" t="s">
        <v>151</v>
      </c>
      <c r="C63" s="42" t="s">
        <v>152</v>
      </c>
      <c r="D63" s="137" t="s">
        <v>244</v>
      </c>
      <c r="E63" s="157"/>
      <c r="F63" s="144" t="s">
        <v>299</v>
      </c>
      <c r="G63" s="145" t="s">
        <v>300</v>
      </c>
      <c r="H63" s="2"/>
    </row>
    <row r="64" spans="2:8" ht="30" customHeight="1">
      <c r="B64" s="143" t="s">
        <v>154</v>
      </c>
      <c r="C64" s="42" t="s">
        <v>155</v>
      </c>
      <c r="D64" s="137" t="s">
        <v>244</v>
      </c>
      <c r="E64" s="157"/>
      <c r="F64" s="144" t="s">
        <v>299</v>
      </c>
      <c r="G64" s="145" t="s">
        <v>300</v>
      </c>
      <c r="H64" s="2"/>
    </row>
    <row r="65" spans="2:8" ht="20.100000000000001" customHeight="1">
      <c r="B65" s="141" t="s">
        <v>297</v>
      </c>
      <c r="C65" s="142" t="s">
        <v>298</v>
      </c>
      <c r="D65" s="1"/>
      <c r="E65" s="1"/>
      <c r="F65" s="1"/>
      <c r="G65" s="1"/>
      <c r="H65" s="2"/>
    </row>
    <row r="67" spans="2:8" ht="30" customHeight="1">
      <c r="B67" s="147" t="s">
        <v>317</v>
      </c>
      <c r="C67" s="170" t="s">
        <v>318</v>
      </c>
      <c r="D67" s="199"/>
      <c r="E67" s="199"/>
      <c r="F67" s="199"/>
      <c r="G67" s="199"/>
      <c r="H67" s="200"/>
    </row>
  </sheetData>
  <mergeCells count="7">
    <mergeCell ref="C67:H67"/>
    <mergeCell ref="C16:H16"/>
    <mergeCell ref="C50:H50"/>
    <mergeCell ref="N12:O12"/>
    <mergeCell ref="C34:H34"/>
    <mergeCell ref="C56:H56"/>
    <mergeCell ref="H12:M12"/>
  </mergeCells>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B1:O67"/>
  <sheetViews>
    <sheetView zoomScale="85" zoomScaleNormal="85" workbookViewId="0">
      <pane xSplit="7" ySplit="13" topLeftCell="H14" activePane="bottomRight" state="frozen"/>
      <selection pane="bottomRight" activeCell="I32" sqref="I32"/>
      <selection pane="bottomLeft" activeCell="D12" sqref="D12"/>
      <selection pane="topRight" activeCell="D12" sqref="D12"/>
    </sheetView>
  </sheetViews>
  <sheetFormatPr defaultRowHeight="14.45"/>
  <cols>
    <col min="1" max="1" width="2" customWidth="1"/>
    <col min="2" max="2" width="28" customWidth="1"/>
    <col min="3" max="3" width="45" bestFit="1" customWidth="1"/>
    <col min="4" max="4" width="18" customWidth="1"/>
    <col min="5" max="7" width="14" customWidth="1"/>
    <col min="8" max="8" width="55" customWidth="1"/>
    <col min="9" max="13" width="30.140625" customWidth="1"/>
  </cols>
  <sheetData>
    <row r="1" spans="2:15" ht="27.95" customHeight="1">
      <c r="B1" s="118" t="s">
        <v>444</v>
      </c>
      <c r="C1" s="68"/>
      <c r="D1" s="68"/>
      <c r="E1" s="68"/>
      <c r="F1" s="68"/>
      <c r="G1" s="68"/>
      <c r="H1" s="68"/>
    </row>
    <row r="2" spans="2:15" ht="15.95" customHeight="1">
      <c r="B2" s="19" t="s">
        <v>216</v>
      </c>
      <c r="C2" s="43" t="s">
        <v>217</v>
      </c>
      <c r="D2" s="43" t="s">
        <v>218</v>
      </c>
      <c r="E2" s="103"/>
      <c r="F2" s="103"/>
      <c r="G2" s="103"/>
      <c r="H2" s="43" t="s">
        <v>219</v>
      </c>
    </row>
    <row r="3" spans="2:15" ht="15.95" customHeight="1">
      <c r="B3" s="119" t="s">
        <v>220</v>
      </c>
      <c r="C3" s="42"/>
      <c r="D3" s="121"/>
      <c r="E3" s="121"/>
      <c r="F3" s="121"/>
      <c r="G3" s="121"/>
      <c r="H3" s="121"/>
    </row>
    <row r="4" spans="2:15" ht="15.95" customHeight="1">
      <c r="B4" s="119" t="s">
        <v>199</v>
      </c>
      <c r="C4" s="42"/>
      <c r="D4" s="121"/>
      <c r="E4" s="121"/>
      <c r="F4" s="121"/>
      <c r="G4" s="121"/>
      <c r="H4" s="121"/>
    </row>
    <row r="5" spans="2:15" ht="15.95" customHeight="1">
      <c r="B5" s="119" t="s">
        <v>224</v>
      </c>
      <c r="C5" s="42"/>
      <c r="D5" s="121"/>
      <c r="E5" s="121"/>
      <c r="F5" s="121"/>
      <c r="G5" s="121"/>
      <c r="H5" s="121"/>
    </row>
    <row r="6" spans="2:15" ht="15.95" customHeight="1">
      <c r="B6" s="119" t="s">
        <v>226</v>
      </c>
      <c r="C6" s="42"/>
      <c r="D6" s="121"/>
      <c r="E6" s="121"/>
      <c r="F6" s="121"/>
      <c r="G6" s="121"/>
      <c r="H6" s="121"/>
    </row>
    <row r="7" spans="2:15" ht="15.95" customHeight="1">
      <c r="B7" s="119" t="s">
        <v>227</v>
      </c>
      <c r="C7" s="42"/>
      <c r="D7" s="121"/>
      <c r="E7" s="121"/>
      <c r="F7" s="121"/>
      <c r="G7" s="121"/>
      <c r="H7" s="121"/>
    </row>
    <row r="8" spans="2:15" ht="15.95" customHeight="1">
      <c r="B8" s="119" t="s">
        <v>229</v>
      </c>
      <c r="C8" s="42"/>
      <c r="D8" s="121"/>
      <c r="E8" s="121"/>
      <c r="F8" s="121"/>
      <c r="G8" s="121"/>
      <c r="H8" s="121"/>
    </row>
    <row r="9" spans="2:15" ht="15.95" customHeight="1">
      <c r="B9" s="119" t="s">
        <v>231</v>
      </c>
      <c r="C9" s="42"/>
      <c r="D9" s="121"/>
      <c r="E9" s="121"/>
      <c r="F9" s="121"/>
      <c r="G9" s="121"/>
      <c r="H9" s="121"/>
    </row>
    <row r="10" spans="2:15" ht="15.95" customHeight="1">
      <c r="B10" s="119" t="s">
        <v>201</v>
      </c>
      <c r="C10" s="42"/>
      <c r="D10" s="121"/>
      <c r="E10" s="121"/>
      <c r="F10" s="121"/>
      <c r="G10" s="121"/>
      <c r="H10" s="121"/>
    </row>
    <row r="11" spans="2:15" ht="15.95" customHeight="1">
      <c r="B11" s="119" t="s">
        <v>203</v>
      </c>
      <c r="C11" s="42"/>
      <c r="D11" s="121"/>
      <c r="E11" s="121"/>
      <c r="F11" s="121"/>
      <c r="G11" s="121"/>
      <c r="H11" s="121"/>
    </row>
    <row r="12" spans="2:15" ht="15.95" customHeight="1">
      <c r="B12" s="119" t="s">
        <v>205</v>
      </c>
      <c r="C12" s="42"/>
      <c r="D12" s="121"/>
      <c r="E12" s="121"/>
      <c r="F12" s="121"/>
      <c r="G12" s="121"/>
      <c r="H12" s="174"/>
      <c r="I12" s="199"/>
      <c r="J12" s="199"/>
      <c r="K12" s="199"/>
      <c r="L12" s="199"/>
      <c r="M12" s="200"/>
      <c r="N12" s="201"/>
      <c r="O12" s="201"/>
    </row>
    <row r="13" spans="2:15" ht="15.95" customHeight="1">
      <c r="B13" s="119" t="s">
        <v>161</v>
      </c>
      <c r="C13" s="42"/>
      <c r="D13" s="121"/>
      <c r="E13" s="121"/>
      <c r="F13" s="121"/>
      <c r="G13" s="121"/>
      <c r="H13" s="121"/>
    </row>
    <row r="14" spans="2:15" ht="15.95" customHeight="1">
      <c r="B14" s="68"/>
      <c r="C14" s="68"/>
      <c r="D14" s="68"/>
      <c r="E14" s="68"/>
      <c r="F14" s="68"/>
      <c r="G14" s="68"/>
      <c r="H14" s="68"/>
      <c r="I14" s="1"/>
      <c r="J14" s="1"/>
      <c r="K14" s="1"/>
      <c r="L14" s="1"/>
      <c r="M14" s="2"/>
    </row>
    <row r="15" spans="2:15" ht="54.95" customHeight="1">
      <c r="B15" s="123" t="s">
        <v>46</v>
      </c>
      <c r="C15" s="124" t="s">
        <v>47</v>
      </c>
      <c r="D15" s="1"/>
      <c r="E15" s="1"/>
      <c r="F15" s="1"/>
      <c r="G15" s="1"/>
      <c r="H15" s="2"/>
    </row>
    <row r="16" spans="2:15" ht="39.950000000000003" customHeight="1">
      <c r="B16" s="102" t="s">
        <v>234</v>
      </c>
      <c r="C16" s="172"/>
      <c r="D16" s="199"/>
      <c r="E16" s="199"/>
      <c r="F16" s="199"/>
      <c r="G16" s="199"/>
      <c r="H16" s="200"/>
    </row>
    <row r="17" spans="2:8" ht="54.95" customHeight="1">
      <c r="B17" s="105" t="s">
        <v>52</v>
      </c>
      <c r="C17" s="119" t="s">
        <v>235</v>
      </c>
      <c r="D17" s="125" t="s">
        <v>236</v>
      </c>
      <c r="E17" s="154"/>
      <c r="F17" s="127" t="s">
        <v>237</v>
      </c>
      <c r="G17" s="128" t="s">
        <v>238</v>
      </c>
      <c r="H17" s="129" t="s">
        <v>239</v>
      </c>
    </row>
    <row r="18" spans="2:8" ht="54.95" customHeight="1">
      <c r="B18" s="130" t="s">
        <v>241</v>
      </c>
      <c r="C18" s="150" t="s">
        <v>330</v>
      </c>
      <c r="D18" s="1"/>
      <c r="E18" s="1"/>
      <c r="F18" s="1"/>
      <c r="G18" s="1"/>
      <c r="H18" s="2"/>
    </row>
    <row r="19" spans="2:8" ht="54.95" customHeight="1">
      <c r="B19" s="105" t="s">
        <v>56</v>
      </c>
      <c r="C19" s="119" t="s">
        <v>243</v>
      </c>
      <c r="D19" s="125" t="s">
        <v>244</v>
      </c>
      <c r="E19" s="154"/>
      <c r="F19" s="127" t="s">
        <v>245</v>
      </c>
      <c r="G19" s="128" t="s">
        <v>246</v>
      </c>
      <c r="H19" s="129" t="s">
        <v>247</v>
      </c>
    </row>
    <row r="20" spans="2:8" ht="18" customHeight="1">
      <c r="B20" s="105" t="s">
        <v>59</v>
      </c>
      <c r="C20" s="119" t="s">
        <v>248</v>
      </c>
      <c r="D20" s="125" t="s">
        <v>244</v>
      </c>
      <c r="E20" s="154"/>
      <c r="F20" s="127" t="s">
        <v>249</v>
      </c>
      <c r="G20" s="128" t="s">
        <v>250</v>
      </c>
      <c r="H20" s="129" t="s">
        <v>251</v>
      </c>
    </row>
    <row r="21" spans="2:8" ht="15.95" customHeight="1">
      <c r="B21" s="105" t="s">
        <v>62</v>
      </c>
      <c r="C21" s="119" t="s">
        <v>252</v>
      </c>
      <c r="D21" s="125" t="s">
        <v>244</v>
      </c>
      <c r="E21" s="154"/>
      <c r="F21" s="127" t="s">
        <v>253</v>
      </c>
      <c r="G21" s="128" t="s">
        <v>254</v>
      </c>
      <c r="H21" s="129" t="s">
        <v>255</v>
      </c>
    </row>
    <row r="22" spans="2:8" ht="54.95" customHeight="1">
      <c r="B22" s="102" t="s">
        <v>256</v>
      </c>
      <c r="C22" s="103"/>
      <c r="D22" s="103"/>
      <c r="E22" s="103"/>
      <c r="F22" s="103"/>
      <c r="G22" s="103"/>
      <c r="H22" s="103"/>
    </row>
    <row r="23" spans="2:8" ht="54.95" customHeight="1">
      <c r="B23" s="132" t="s">
        <v>46</v>
      </c>
      <c r="C23" s="133" t="s">
        <v>47</v>
      </c>
      <c r="D23" s="132" t="s">
        <v>257</v>
      </c>
      <c r="E23" s="134" t="s">
        <v>258</v>
      </c>
      <c r="F23" s="135" t="s">
        <v>259</v>
      </c>
      <c r="G23" s="136" t="s">
        <v>260</v>
      </c>
      <c r="H23" s="133" t="s">
        <v>261</v>
      </c>
    </row>
    <row r="24" spans="2:8" ht="54.95" customHeight="1">
      <c r="B24" s="105" t="s">
        <v>66</v>
      </c>
      <c r="C24" s="42" t="s">
        <v>262</v>
      </c>
      <c r="D24" s="137" t="s">
        <v>263</v>
      </c>
      <c r="E24" s="154"/>
      <c r="F24" s="127" t="s">
        <v>264</v>
      </c>
      <c r="G24" s="128" t="s">
        <v>265</v>
      </c>
      <c r="H24" s="129" t="s">
        <v>266</v>
      </c>
    </row>
    <row r="25" spans="2:8" ht="54.95" customHeight="1">
      <c r="B25" s="105" t="s">
        <v>69</v>
      </c>
      <c r="C25" s="42" t="s">
        <v>267</v>
      </c>
      <c r="D25" s="137" t="s">
        <v>263</v>
      </c>
      <c r="E25" s="154"/>
      <c r="F25" s="127" t="s">
        <v>268</v>
      </c>
      <c r="G25" s="128" t="s">
        <v>269</v>
      </c>
      <c r="H25" s="129" t="s">
        <v>270</v>
      </c>
    </row>
    <row r="26" spans="2:8" ht="54.95" customHeight="1">
      <c r="B26" s="105" t="s">
        <v>71</v>
      </c>
      <c r="C26" s="42" t="s">
        <v>271</v>
      </c>
      <c r="D26" s="137" t="s">
        <v>263</v>
      </c>
      <c r="E26" s="154"/>
      <c r="F26" s="127" t="s">
        <v>272</v>
      </c>
      <c r="G26" s="128" t="s">
        <v>273</v>
      </c>
      <c r="H26" s="129" t="s">
        <v>274</v>
      </c>
    </row>
    <row r="27" spans="2:8" ht="54.95" customHeight="1">
      <c r="B27" s="105" t="s">
        <v>73</v>
      </c>
      <c r="C27" s="42" t="s">
        <v>275</v>
      </c>
      <c r="D27" s="137" t="s">
        <v>263</v>
      </c>
      <c r="E27" s="154"/>
      <c r="F27" s="127" t="s">
        <v>276</v>
      </c>
      <c r="G27" s="128" t="s">
        <v>277</v>
      </c>
      <c r="H27" s="129" t="s">
        <v>278</v>
      </c>
    </row>
    <row r="28" spans="2:8" ht="54.95" customHeight="1">
      <c r="B28" s="105" t="s">
        <v>75</v>
      </c>
      <c r="C28" s="42" t="s">
        <v>279</v>
      </c>
      <c r="D28" s="137" t="s">
        <v>263</v>
      </c>
      <c r="E28" s="154"/>
      <c r="F28" s="127" t="s">
        <v>280</v>
      </c>
      <c r="G28" s="128" t="s">
        <v>281</v>
      </c>
      <c r="H28" s="129" t="s">
        <v>282</v>
      </c>
    </row>
    <row r="29" spans="2:8" ht="54.95" customHeight="1">
      <c r="B29" s="105" t="s">
        <v>77</v>
      </c>
      <c r="C29" s="42" t="s">
        <v>283</v>
      </c>
      <c r="D29" s="137" t="s">
        <v>263</v>
      </c>
      <c r="E29" s="154"/>
      <c r="F29" s="127" t="s">
        <v>284</v>
      </c>
      <c r="G29" s="128" t="s">
        <v>285</v>
      </c>
      <c r="H29" s="129" t="s">
        <v>286</v>
      </c>
    </row>
    <row r="30" spans="2:8" ht="54.95" customHeight="1">
      <c r="B30" s="105" t="s">
        <v>79</v>
      </c>
      <c r="C30" s="42" t="s">
        <v>287</v>
      </c>
      <c r="D30" s="137" t="s">
        <v>263</v>
      </c>
      <c r="E30" s="154"/>
      <c r="F30" s="127" t="s">
        <v>288</v>
      </c>
      <c r="G30" s="128" t="s">
        <v>289</v>
      </c>
      <c r="H30" s="129" t="s">
        <v>290</v>
      </c>
    </row>
    <row r="31" spans="2:8" ht="18" customHeight="1">
      <c r="B31" s="105" t="s">
        <v>81</v>
      </c>
      <c r="C31" s="42" t="s">
        <v>291</v>
      </c>
      <c r="D31" s="1"/>
      <c r="E31" s="1"/>
      <c r="F31" s="1"/>
      <c r="G31" s="1"/>
      <c r="H31" s="2"/>
    </row>
    <row r="32" spans="2:8" ht="30" customHeight="1">
      <c r="B32" s="105" t="s">
        <v>84</v>
      </c>
      <c r="C32" s="42" t="s">
        <v>292</v>
      </c>
      <c r="D32" s="138" t="s">
        <v>236</v>
      </c>
      <c r="E32" s="146"/>
      <c r="F32" s="139" t="s">
        <v>445</v>
      </c>
      <c r="G32" s="128" t="s">
        <v>294</v>
      </c>
      <c r="H32" s="140" t="s">
        <v>295</v>
      </c>
    </row>
    <row r="33" spans="2:8" ht="20.100000000000001" customHeight="1">
      <c r="B33" s="102" t="s">
        <v>296</v>
      </c>
      <c r="C33" s="103"/>
      <c r="D33" s="1"/>
      <c r="E33" s="1"/>
      <c r="F33" s="1"/>
      <c r="G33" s="1"/>
      <c r="H33" s="2"/>
    </row>
    <row r="34" spans="2:8" ht="39.950000000000003" customHeight="1">
      <c r="B34" s="141" t="s">
        <v>297</v>
      </c>
      <c r="C34" s="173" t="s">
        <v>298</v>
      </c>
      <c r="D34" s="199"/>
      <c r="E34" s="199"/>
      <c r="F34" s="199"/>
      <c r="G34" s="199"/>
      <c r="H34" s="200"/>
    </row>
    <row r="35" spans="2:8" ht="20.100000000000001" customHeight="1">
      <c r="B35" s="143" t="s">
        <v>88</v>
      </c>
      <c r="C35" s="42" t="s">
        <v>89</v>
      </c>
      <c r="D35" s="137" t="s">
        <v>244</v>
      </c>
      <c r="E35" s="157"/>
      <c r="F35" s="144" t="s">
        <v>299</v>
      </c>
      <c r="G35" s="145" t="s">
        <v>300</v>
      </c>
      <c r="H35" s="121"/>
    </row>
    <row r="36" spans="2:8" ht="20.100000000000001" customHeight="1">
      <c r="B36" s="130" t="s">
        <v>241</v>
      </c>
      <c r="C36" s="150" t="s">
        <v>381</v>
      </c>
      <c r="D36" s="1"/>
      <c r="E36" s="1"/>
      <c r="F36" s="1"/>
      <c r="G36" s="1"/>
      <c r="H36" s="2"/>
    </row>
    <row r="37" spans="2:8" ht="20.100000000000001" customHeight="1">
      <c r="B37" s="143" t="s">
        <v>91</v>
      </c>
      <c r="C37" s="42" t="s">
        <v>92</v>
      </c>
      <c r="D37" s="137" t="s">
        <v>244</v>
      </c>
      <c r="E37" s="157"/>
      <c r="F37" s="144" t="s">
        <v>299</v>
      </c>
      <c r="G37" s="145" t="s">
        <v>300</v>
      </c>
      <c r="H37" s="121"/>
    </row>
    <row r="38" spans="2:8" ht="20.100000000000001" customHeight="1">
      <c r="B38" s="143" t="s">
        <v>94</v>
      </c>
      <c r="C38" s="42" t="s">
        <v>302</v>
      </c>
      <c r="D38" s="137" t="s">
        <v>244</v>
      </c>
      <c r="E38" s="157"/>
      <c r="F38" s="144" t="s">
        <v>299</v>
      </c>
      <c r="G38" s="145" t="s">
        <v>300</v>
      </c>
      <c r="H38" s="121"/>
    </row>
    <row r="39" spans="2:8" ht="20.100000000000001" customHeight="1">
      <c r="B39" s="143" t="s">
        <v>97</v>
      </c>
      <c r="C39" s="42" t="s">
        <v>98</v>
      </c>
      <c r="D39" s="137" t="s">
        <v>244</v>
      </c>
      <c r="E39" s="157"/>
      <c r="F39" s="144" t="s">
        <v>299</v>
      </c>
      <c r="G39" s="145" t="s">
        <v>300</v>
      </c>
      <c r="H39" s="121"/>
    </row>
    <row r="40" spans="2:8" ht="20.100000000000001" customHeight="1">
      <c r="B40" s="143" t="s">
        <v>100</v>
      </c>
      <c r="C40" s="42" t="s">
        <v>101</v>
      </c>
      <c r="D40" s="137" t="s">
        <v>244</v>
      </c>
      <c r="E40" s="157"/>
      <c r="F40" s="144" t="s">
        <v>299</v>
      </c>
      <c r="G40" s="145" t="s">
        <v>300</v>
      </c>
      <c r="H40" s="121"/>
    </row>
    <row r="41" spans="2:8" ht="18" customHeight="1">
      <c r="B41" s="143" t="s">
        <v>103</v>
      </c>
      <c r="C41" s="42" t="s">
        <v>104</v>
      </c>
      <c r="D41" s="84" t="s">
        <v>244</v>
      </c>
      <c r="E41" s="146"/>
      <c r="F41" s="127" t="s">
        <v>299</v>
      </c>
      <c r="G41" s="128" t="s">
        <v>300</v>
      </c>
      <c r="H41" s="129" t="s">
        <v>298</v>
      </c>
    </row>
    <row r="42" spans="2:8" ht="30" customHeight="1">
      <c r="B42" s="143" t="s">
        <v>106</v>
      </c>
      <c r="C42" s="42" t="s">
        <v>303</v>
      </c>
      <c r="D42" s="84" t="s">
        <v>244</v>
      </c>
      <c r="E42" s="146"/>
      <c r="F42" s="127" t="s">
        <v>299</v>
      </c>
      <c r="G42" s="128" t="s">
        <v>300</v>
      </c>
      <c r="H42" s="129" t="s">
        <v>298</v>
      </c>
    </row>
    <row r="43" spans="2:8" ht="20.100000000000001" customHeight="1">
      <c r="B43" s="102" t="s">
        <v>304</v>
      </c>
      <c r="C43" s="103"/>
      <c r="D43" s="103"/>
      <c r="E43" s="103"/>
      <c r="F43" s="103"/>
      <c r="G43" s="103"/>
      <c r="H43" s="103"/>
    </row>
    <row r="44" spans="2:8" ht="20.100000000000001" customHeight="1">
      <c r="B44" s="141" t="s">
        <v>297</v>
      </c>
      <c r="C44" s="142" t="s">
        <v>298</v>
      </c>
      <c r="D44" s="1"/>
      <c r="E44" s="1"/>
      <c r="F44" s="1"/>
      <c r="G44" s="1"/>
      <c r="H44" s="2"/>
    </row>
    <row r="45" spans="2:8" ht="20.100000000000001" customHeight="1">
      <c r="B45" s="143" t="s">
        <v>110</v>
      </c>
      <c r="C45" s="42" t="s">
        <v>111</v>
      </c>
      <c r="D45" s="137" t="s">
        <v>244</v>
      </c>
      <c r="E45" s="157"/>
      <c r="F45" s="144" t="s">
        <v>299</v>
      </c>
      <c r="G45" s="145" t="s">
        <v>300</v>
      </c>
      <c r="H45" s="121"/>
    </row>
    <row r="46" spans="2:8" ht="20.100000000000001" customHeight="1">
      <c r="B46" s="143" t="s">
        <v>113</v>
      </c>
      <c r="C46" s="42" t="s">
        <v>114</v>
      </c>
      <c r="D46" s="137" t="s">
        <v>244</v>
      </c>
      <c r="E46" s="157"/>
      <c r="F46" s="144" t="s">
        <v>299</v>
      </c>
      <c r="G46" s="145" t="s">
        <v>300</v>
      </c>
      <c r="H46" s="121"/>
    </row>
    <row r="47" spans="2:8" ht="18" customHeight="1">
      <c r="B47" s="143" t="s">
        <v>116</v>
      </c>
      <c r="C47" s="42" t="s">
        <v>117</v>
      </c>
      <c r="D47" s="84" t="s">
        <v>244</v>
      </c>
      <c r="E47" s="146"/>
      <c r="F47" s="127" t="s">
        <v>299</v>
      </c>
      <c r="G47" s="128" t="s">
        <v>300</v>
      </c>
      <c r="H47" s="129" t="s">
        <v>298</v>
      </c>
    </row>
    <row r="48" spans="2:8" ht="30" customHeight="1">
      <c r="B48" s="143" t="s">
        <v>119</v>
      </c>
      <c r="C48" s="42" t="s">
        <v>120</v>
      </c>
      <c r="D48" s="84" t="s">
        <v>244</v>
      </c>
      <c r="E48" s="146"/>
      <c r="F48" s="127" t="s">
        <v>299</v>
      </c>
      <c r="G48" s="128" t="s">
        <v>300</v>
      </c>
      <c r="H48" s="129" t="s">
        <v>298</v>
      </c>
    </row>
    <row r="49" spans="2:8" ht="20.100000000000001" customHeight="1">
      <c r="B49" s="102" t="s">
        <v>306</v>
      </c>
      <c r="C49" s="103"/>
      <c r="D49" s="1"/>
      <c r="E49" s="1"/>
      <c r="F49" s="1"/>
      <c r="G49" s="1"/>
      <c r="H49" s="2"/>
    </row>
    <row r="50" spans="2:8" ht="39.950000000000003" customHeight="1">
      <c r="B50" s="141" t="s">
        <v>297</v>
      </c>
      <c r="C50" s="173" t="s">
        <v>298</v>
      </c>
      <c r="D50" s="199"/>
      <c r="E50" s="199"/>
      <c r="F50" s="199"/>
      <c r="G50" s="199"/>
      <c r="H50" s="200"/>
    </row>
    <row r="51" spans="2:8" ht="20.100000000000001" customHeight="1">
      <c r="B51" s="143" t="s">
        <v>123</v>
      </c>
      <c r="C51" s="42" t="s">
        <v>307</v>
      </c>
      <c r="D51" s="137" t="s">
        <v>244</v>
      </c>
      <c r="E51" s="157"/>
      <c r="F51" s="144" t="s">
        <v>299</v>
      </c>
      <c r="G51" s="145" t="s">
        <v>300</v>
      </c>
      <c r="H51" s="121"/>
    </row>
    <row r="52" spans="2:8" ht="20.100000000000001" customHeight="1">
      <c r="B52" s="130" t="s">
        <v>241</v>
      </c>
      <c r="C52" s="150" t="s">
        <v>392</v>
      </c>
      <c r="D52" s="1"/>
      <c r="E52" s="1"/>
      <c r="F52" s="1"/>
      <c r="G52" s="1"/>
      <c r="H52" s="2"/>
    </row>
    <row r="53" spans="2:8" ht="20.100000000000001" customHeight="1">
      <c r="B53" s="143" t="s">
        <v>126</v>
      </c>
      <c r="C53" s="42" t="s">
        <v>309</v>
      </c>
      <c r="D53" s="137" t="s">
        <v>244</v>
      </c>
      <c r="E53" s="157"/>
      <c r="F53" s="144" t="s">
        <v>299</v>
      </c>
      <c r="G53" s="145" t="s">
        <v>300</v>
      </c>
      <c r="H53" s="121"/>
    </row>
    <row r="54" spans="2:8" ht="20.100000000000001" customHeight="1">
      <c r="B54" s="143" t="s">
        <v>129</v>
      </c>
      <c r="C54" s="42" t="s">
        <v>130</v>
      </c>
      <c r="D54" s="137" t="s">
        <v>244</v>
      </c>
      <c r="E54" s="157"/>
      <c r="F54" s="144" t="s">
        <v>299</v>
      </c>
      <c r="G54" s="145" t="s">
        <v>300</v>
      </c>
      <c r="H54" s="121"/>
    </row>
    <row r="55" spans="2:8" ht="18" customHeight="1">
      <c r="B55" s="143" t="s">
        <v>132</v>
      </c>
      <c r="C55" s="42" t="s">
        <v>310</v>
      </c>
      <c r="D55" s="1"/>
      <c r="E55" s="1"/>
      <c r="F55" s="1"/>
      <c r="G55" s="1"/>
      <c r="H55" s="2"/>
    </row>
    <row r="56" spans="2:8" ht="30" customHeight="1">
      <c r="B56" s="143" t="s">
        <v>135</v>
      </c>
      <c r="C56" s="177" t="s">
        <v>311</v>
      </c>
      <c r="D56" s="199"/>
      <c r="E56" s="199"/>
      <c r="F56" s="199"/>
      <c r="G56" s="199"/>
      <c r="H56" s="200"/>
    </row>
    <row r="57" spans="2:8" ht="20.100000000000001" customHeight="1">
      <c r="B57" s="102" t="s">
        <v>313</v>
      </c>
      <c r="C57" s="103"/>
      <c r="D57" s="103"/>
      <c r="E57" s="103"/>
      <c r="F57" s="103"/>
      <c r="G57" s="103"/>
      <c r="H57" s="103"/>
    </row>
    <row r="58" spans="2:8" ht="20.100000000000001" customHeight="1">
      <c r="B58" s="141" t="s">
        <v>297</v>
      </c>
      <c r="C58" s="142" t="s">
        <v>298</v>
      </c>
      <c r="D58" s="1"/>
      <c r="E58" s="1"/>
      <c r="F58" s="1"/>
      <c r="G58" s="1"/>
      <c r="H58" s="2"/>
    </row>
    <row r="59" spans="2:8" ht="20.100000000000001" customHeight="1">
      <c r="B59" s="143" t="s">
        <v>139</v>
      </c>
      <c r="C59" s="42" t="s">
        <v>314</v>
      </c>
      <c r="D59" s="137" t="s">
        <v>244</v>
      </c>
      <c r="E59" s="157"/>
      <c r="F59" s="144" t="s">
        <v>299</v>
      </c>
      <c r="G59" s="145" t="s">
        <v>300</v>
      </c>
      <c r="H59" s="121"/>
    </row>
    <row r="60" spans="2:8" ht="20.100000000000001" customHeight="1">
      <c r="B60" s="143" t="s">
        <v>142</v>
      </c>
      <c r="C60" s="42" t="s">
        <v>143</v>
      </c>
      <c r="D60" s="137" t="s">
        <v>244</v>
      </c>
      <c r="E60" s="157"/>
      <c r="F60" s="144" t="s">
        <v>299</v>
      </c>
      <c r="G60" s="145" t="s">
        <v>300</v>
      </c>
      <c r="H60" s="121"/>
    </row>
    <row r="61" spans="2:8" ht="20.100000000000001" customHeight="1">
      <c r="B61" s="143" t="s">
        <v>145</v>
      </c>
      <c r="C61" s="42" t="s">
        <v>315</v>
      </c>
      <c r="D61" s="137" t="s">
        <v>244</v>
      </c>
      <c r="E61" s="157"/>
      <c r="F61" s="144" t="s">
        <v>299</v>
      </c>
      <c r="G61" s="145" t="s">
        <v>300</v>
      </c>
      <c r="H61" s="121"/>
    </row>
    <row r="62" spans="2:8" ht="20.100000000000001" customHeight="1">
      <c r="B62" s="143" t="s">
        <v>148</v>
      </c>
      <c r="C62" s="42" t="s">
        <v>316</v>
      </c>
      <c r="D62" s="137" t="s">
        <v>244</v>
      </c>
      <c r="E62" s="157"/>
      <c r="F62" s="144" t="s">
        <v>299</v>
      </c>
      <c r="G62" s="145" t="s">
        <v>300</v>
      </c>
      <c r="H62" s="121"/>
    </row>
    <row r="63" spans="2:8" ht="18" customHeight="1">
      <c r="B63" s="143" t="s">
        <v>151</v>
      </c>
      <c r="C63" s="42" t="s">
        <v>152</v>
      </c>
      <c r="D63" s="1"/>
      <c r="E63" s="1"/>
      <c r="F63" s="1"/>
      <c r="G63" s="1"/>
      <c r="H63" s="2"/>
    </row>
    <row r="64" spans="2:8" ht="30" customHeight="1">
      <c r="B64" s="143" t="s">
        <v>154</v>
      </c>
      <c r="C64" s="177" t="s">
        <v>155</v>
      </c>
      <c r="D64" s="199"/>
      <c r="E64" s="199"/>
      <c r="F64" s="199"/>
      <c r="G64" s="199"/>
      <c r="H64" s="200"/>
    </row>
    <row r="65" spans="2:8" ht="20.100000000000001" customHeight="1">
      <c r="B65" s="141" t="s">
        <v>297</v>
      </c>
      <c r="C65" s="142" t="s">
        <v>298</v>
      </c>
      <c r="D65" s="1"/>
      <c r="E65" s="1"/>
      <c r="F65" s="1"/>
      <c r="G65" s="1"/>
      <c r="H65" s="2"/>
    </row>
    <row r="67" spans="2:8" ht="30" customHeight="1">
      <c r="B67" s="147" t="s">
        <v>317</v>
      </c>
      <c r="C67" s="170" t="s">
        <v>318</v>
      </c>
      <c r="D67" s="199"/>
      <c r="E67" s="199"/>
      <c r="F67" s="199"/>
      <c r="G67" s="199"/>
      <c r="H67" s="200"/>
    </row>
  </sheetData>
  <mergeCells count="8">
    <mergeCell ref="C67:H67"/>
    <mergeCell ref="C16:H16"/>
    <mergeCell ref="C50:H50"/>
    <mergeCell ref="N12:O12"/>
    <mergeCell ref="C64:H64"/>
    <mergeCell ref="C56:H56"/>
    <mergeCell ref="H12:M12"/>
    <mergeCell ref="C34:H34"/>
  </mergeCells>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C76F44-5930-4593-A7CD-52BD2DA0B37D}">
  <dimension ref="B1:AV41"/>
  <sheetViews>
    <sheetView tabSelected="1" workbookViewId="0">
      <pane xSplit="8" ySplit="3" topLeftCell="I11" activePane="bottomRight" state="frozen"/>
      <selection pane="bottomRight" activeCell="F16" sqref="F16"/>
      <selection pane="bottomLeft" activeCell="B57" sqref="B57"/>
      <selection pane="topRight" activeCell="B57" sqref="B57"/>
    </sheetView>
  </sheetViews>
  <sheetFormatPr defaultRowHeight="15" customHeight="1"/>
  <cols>
    <col min="1" max="1" width="2" customWidth="1"/>
    <col min="2" max="3" width="20" customWidth="1"/>
    <col min="4" max="5" width="18" customWidth="1"/>
    <col min="6" max="6" width="20" customWidth="1"/>
    <col min="7" max="8" width="14" customWidth="1"/>
    <col min="9" max="43" width="9" customWidth="1"/>
  </cols>
  <sheetData>
    <row r="1" spans="2:48" ht="30" customHeight="1">
      <c r="B1" s="67" t="s">
        <v>157</v>
      </c>
      <c r="C1" s="67"/>
      <c r="D1" s="68"/>
      <c r="E1" s="68"/>
      <c r="F1" s="68"/>
      <c r="G1" s="68"/>
      <c r="H1" s="68"/>
      <c r="I1" s="68"/>
      <c r="J1" s="68"/>
      <c r="K1" s="68"/>
      <c r="L1" s="68"/>
      <c r="M1" s="68"/>
      <c r="N1" s="68"/>
      <c r="O1" s="68"/>
      <c r="P1" s="68"/>
      <c r="Q1" s="68"/>
      <c r="R1" s="68"/>
      <c r="S1" s="68"/>
      <c r="T1" s="68"/>
      <c r="U1" s="68"/>
      <c r="V1" s="68"/>
      <c r="W1" s="68"/>
      <c r="X1" s="68"/>
      <c r="Y1" s="68"/>
      <c r="Z1" s="68"/>
      <c r="AA1" s="68"/>
      <c r="AB1" s="68"/>
      <c r="AC1" s="68"/>
      <c r="AD1" s="68"/>
      <c r="AE1" s="68"/>
      <c r="AF1" s="68"/>
      <c r="AG1" s="68"/>
      <c r="AH1" s="68"/>
      <c r="AI1" s="68"/>
      <c r="AJ1" s="68"/>
      <c r="AK1" s="68"/>
      <c r="AL1" s="68"/>
      <c r="AM1" s="68"/>
      <c r="AN1" s="68"/>
      <c r="AO1" s="68"/>
      <c r="AP1" s="68"/>
      <c r="AQ1" s="68"/>
    </row>
    <row r="2" spans="2:48" ht="18" customHeight="1">
      <c r="B2" s="69"/>
      <c r="C2" s="69"/>
      <c r="D2" s="69"/>
      <c r="E2" s="69"/>
      <c r="F2" s="69"/>
      <c r="G2" s="69"/>
      <c r="H2" s="69"/>
      <c r="I2" s="70" t="s">
        <v>51</v>
      </c>
      <c r="J2" s="70"/>
      <c r="K2" s="70"/>
      <c r="L2" s="70"/>
      <c r="M2" s="71" t="s">
        <v>65</v>
      </c>
      <c r="N2" s="71"/>
      <c r="O2" s="71"/>
      <c r="P2" s="71"/>
      <c r="Q2" s="71"/>
      <c r="R2" s="71"/>
      <c r="S2" s="71"/>
      <c r="T2" s="71"/>
      <c r="U2" s="71"/>
      <c r="V2" s="72" t="s">
        <v>87</v>
      </c>
      <c r="W2" s="72"/>
      <c r="X2" s="72"/>
      <c r="Y2" s="72"/>
      <c r="Z2" s="72"/>
      <c r="AA2" s="72"/>
      <c r="AB2" s="72"/>
      <c r="AC2" s="70" t="s">
        <v>109</v>
      </c>
      <c r="AD2" s="70"/>
      <c r="AE2" s="70"/>
      <c r="AF2" s="70"/>
      <c r="AG2" s="71" t="s">
        <v>122</v>
      </c>
      <c r="AH2" s="71"/>
      <c r="AI2" s="71"/>
      <c r="AJ2" s="71"/>
      <c r="AK2" s="71"/>
      <c r="AL2" s="70" t="s">
        <v>138</v>
      </c>
      <c r="AM2" s="70"/>
      <c r="AN2" s="70"/>
      <c r="AO2" s="70"/>
      <c r="AP2" s="70"/>
      <c r="AQ2" s="70"/>
    </row>
    <row r="3" spans="2:48" ht="54.95" customHeight="1">
      <c r="B3" s="73" t="s">
        <v>17</v>
      </c>
      <c r="C3" s="73" t="s">
        <v>446</v>
      </c>
      <c r="D3" s="74" t="s">
        <v>158</v>
      </c>
      <c r="E3" s="75" t="s">
        <v>1</v>
      </c>
      <c r="F3" s="76" t="s">
        <v>159</v>
      </c>
      <c r="G3" s="77" t="s">
        <v>447</v>
      </c>
      <c r="H3" s="78" t="s">
        <v>161</v>
      </c>
      <c r="I3" s="163" t="s">
        <v>53</v>
      </c>
      <c r="J3" s="79" t="s">
        <v>57</v>
      </c>
      <c r="K3" s="79" t="s">
        <v>60</v>
      </c>
      <c r="L3" s="79" t="s">
        <v>63</v>
      </c>
      <c r="M3" s="163" t="s">
        <v>67</v>
      </c>
      <c r="N3" s="163" t="s">
        <v>70</v>
      </c>
      <c r="O3" s="80" t="s">
        <v>72</v>
      </c>
      <c r="P3" s="80" t="s">
        <v>74</v>
      </c>
      <c r="Q3" s="163" t="s">
        <v>76</v>
      </c>
      <c r="R3" s="80" t="s">
        <v>78</v>
      </c>
      <c r="S3" s="163" t="s">
        <v>80</v>
      </c>
      <c r="T3" s="80" t="s">
        <v>82</v>
      </c>
      <c r="U3" s="80" t="s">
        <v>85</v>
      </c>
      <c r="V3" s="81" t="s">
        <v>89</v>
      </c>
      <c r="W3" s="81" t="s">
        <v>92</v>
      </c>
      <c r="X3" s="81" t="s">
        <v>95</v>
      </c>
      <c r="Y3" s="81" t="s">
        <v>98</v>
      </c>
      <c r="Z3" s="81" t="s">
        <v>101</v>
      </c>
      <c r="AA3" s="81" t="s">
        <v>104</v>
      </c>
      <c r="AB3" s="81" t="s">
        <v>107</v>
      </c>
      <c r="AC3" s="163" t="s">
        <v>111</v>
      </c>
      <c r="AD3" s="163" t="s">
        <v>114</v>
      </c>
      <c r="AE3" s="82" t="s">
        <v>117</v>
      </c>
      <c r="AF3" s="163" t="s">
        <v>120</v>
      </c>
      <c r="AG3" s="80" t="s">
        <v>124</v>
      </c>
      <c r="AH3" s="80" t="s">
        <v>127</v>
      </c>
      <c r="AI3" s="80" t="s">
        <v>130</v>
      </c>
      <c r="AJ3" s="80" t="s">
        <v>133</v>
      </c>
      <c r="AK3" s="80" t="s">
        <v>136</v>
      </c>
      <c r="AL3" s="79" t="s">
        <v>140</v>
      </c>
      <c r="AM3" s="79" t="s">
        <v>143</v>
      </c>
      <c r="AN3" s="79" t="s">
        <v>146</v>
      </c>
      <c r="AO3" s="79" t="s">
        <v>149</v>
      </c>
      <c r="AP3" s="79" t="s">
        <v>152</v>
      </c>
      <c r="AQ3" s="79" t="s">
        <v>155</v>
      </c>
      <c r="AR3" t="s">
        <v>448</v>
      </c>
      <c r="AS3" t="s">
        <v>449</v>
      </c>
      <c r="AT3" t="s">
        <v>450</v>
      </c>
      <c r="AU3" s="162" t="s">
        <v>451</v>
      </c>
      <c r="AV3" s="164"/>
    </row>
    <row r="4" spans="2:48" ht="20.100000000000001" customHeight="1">
      <c r="B4" s="83" t="s">
        <v>162</v>
      </c>
      <c r="C4" s="162" t="str">
        <f>IFERROR(VLOOKUP("Company (Real)",'[1]Company 1'!$B:$C,2,0),"")</f>
        <v>Tom &amp; Co</v>
      </c>
      <c r="D4" s="84" t="str">
        <f>IFERROR(VLOOKUP("Interviewee Position",'[1]Company 1'!$B:$C,2,0),"")</f>
        <v>Chief of Staff</v>
      </c>
      <c r="E4" s="84" t="str">
        <f>IFERROR(VLOOKUP("Company Industry",'[1]Company 1'!$B:$C,2,0),"")</f>
        <v>Specialty Retail</v>
      </c>
      <c r="F4" s="84" t="str">
        <f>IFERROR(VLOOKUP("Company Sub-Industry",'[1]Company 1'!$B:$C,2,0),"")</f>
        <v>Specialty Retail</v>
      </c>
      <c r="G4" s="3">
        <f>IFERROR(VLOOKUP("Company Size (Turnover)",'[1]Company 1'!$B:$C,2,0),"")</f>
        <v>160000000</v>
      </c>
      <c r="H4" s="84" t="str">
        <f>IFERROR(VLOOKUP("Country",'[1]Company 1'!$B:$C,2,0),"")</f>
        <v>Belgium</v>
      </c>
      <c r="I4" s="165">
        <v>3.5</v>
      </c>
      <c r="J4" s="85">
        <f>IFERROR(VLOOKUP("B2_SHARING",'[1]Company 1'!$B:$E,4,0),"")</f>
        <v>1</v>
      </c>
      <c r="K4" s="85">
        <f>IFERROR(VLOOKUP("B3_MONETIZE",'[1]Company 1'!$B:$E,4,0),"")</f>
        <v>1</v>
      </c>
      <c r="L4" s="85" t="s">
        <v>452</v>
      </c>
      <c r="M4" s="85">
        <f>IFERROR(VLOOKUP("M1_AUTOMATED",'[1]Company 1'!$B:$E,4,0),"")</f>
        <v>3</v>
      </c>
      <c r="N4" s="85">
        <f>IFERROR(VLOOKUP("M2_REALTIME",'[1]Company 1'!$B:$E,4,0),"")</f>
        <v>2</v>
      </c>
      <c r="O4" s="85">
        <f>IFERROR(VLOOKUP("M3_STRATEGIC",'[1]Company 1'!$B:$E,4,0),"")</f>
        <v>2</v>
      </c>
      <c r="P4" s="85">
        <f>IFERROR(VLOOKUP("M4_BREADTH",'[1]Company 1'!$B:$E,4,0),"")</f>
        <v>2</v>
      </c>
      <c r="Q4" s="85">
        <f>IFERROR(VLOOKUP("M5_DATATYPES",'[1]Company 1'!$B:$E,4,0),"")</f>
        <v>2</v>
      </c>
      <c r="R4" s="85">
        <f>IFERROR(VLOOKUP("M6_TRUST",'[1]Company 1'!$B:$E,4,0),"")</f>
        <v>4</v>
      </c>
      <c r="S4" s="85">
        <f>IFERROR(VLOOKUP("M7_BARRIERS",'[1]Company 1'!$B:$E,4,0),"")</f>
        <v>3</v>
      </c>
      <c r="T4" s="85">
        <f>IFERROR(VLOOKUP("M8_IMPACT",'[1]Company 1'!$B:$E,4,0),"")</f>
        <v>0</v>
      </c>
      <c r="U4" s="85">
        <f>IFERROR(VLOOKUP("M9_WILLINGNESS",'[1]Company 1'!$B:$E,4,0),"")</f>
        <v>6</v>
      </c>
      <c r="V4" s="85">
        <f>IFERROR(VLOOKUP("SV1_PRICING",'[1]Company 1'!$B:$E,4,0),"")</f>
        <v>0</v>
      </c>
      <c r="W4" s="85">
        <f>IFERROR(VLOOKUP("SV2_PROMOTIONS",'[1]Company 1'!$B:$E,4,0),"")</f>
        <v>0</v>
      </c>
      <c r="X4" s="85">
        <f>IFERROR(VLOOKUP("SV3_SUPPLYCHAIN",'[1]Company 1'!$B:$E,4,0),"")</f>
        <v>0</v>
      </c>
      <c r="Y4" s="85">
        <f>IFERROR(VLOOKUP("SV4_CATEGORY",'[1]Company 1'!$B:$E,4,0),"")</f>
        <v>1</v>
      </c>
      <c r="Z4" s="85">
        <f>IFERROR(VLOOKUP("SV5_DEMAND",'[1]Company 1'!$B:$E,4,0),"")</f>
        <v>0</v>
      </c>
      <c r="AA4" s="85">
        <f>IFERROR(VLOOKUP("SV6_ACCOUNT",'[1]Company 1'!$B:$E,4,0),"")</f>
        <v>0</v>
      </c>
      <c r="AB4" s="85">
        <f>IFERROR(VLOOKUP("SV7_OPS",'[1]Company 1'!$B:$E,4,0),"")</f>
        <v>0</v>
      </c>
      <c r="AC4" s="85">
        <f>IFERROR(VLOOKUP("SC1_DATASENS",'[1]Company 1'!$B:$E,4,0),"")</f>
        <v>1</v>
      </c>
      <c r="AD4" s="85">
        <f>IFERROR(VLOOKUP("SC2_COMPLIANCE",'[1]Company 1'!$B:$E,4,0),"")</f>
        <v>0</v>
      </c>
      <c r="AE4" s="85">
        <f>IFERROR(VLOOKUP("SC3_TRUST",'[1]Company 1'!$B:$E,4,0),"")</f>
        <v>0</v>
      </c>
      <c r="AF4" s="85">
        <f>IFERROR(VLOOKUP("SC4_DATAPROC",'[1]Company 1'!$B:$E,4,0),"")</f>
        <v>0</v>
      </c>
      <c r="AG4" s="85">
        <f>IFERROR(VLOOKUP("SF1_REALTIME",'[1]Company 1'!$B:$E,4,0),"")</f>
        <v>0</v>
      </c>
      <c r="AH4" s="85">
        <f>IFERROR(VLOOKUP("SF2_ACCESS",'[1]Company 1'!$B:$E,4,0),"")</f>
        <v>0</v>
      </c>
      <c r="AI4" s="85">
        <f>IFERROR(VLOOKUP("SF3_UX",'[1]Company 1'!$B:$E,4,0),"")</f>
        <v>0</v>
      </c>
      <c r="AJ4" s="85">
        <f>IFERROR(VLOOKUP("SF4_DECISION",'[1]Company 1'!$B:$E,4,0),"")</f>
        <v>0</v>
      </c>
      <c r="AK4" s="85">
        <f>IFERROR(VLOOKUP("SF5_MASKING",'[1]Company 1'!$B:$E,4,0),"")</f>
        <v>1</v>
      </c>
      <c r="AL4" s="85">
        <f>IFERROR(VLOOKUP("SD1_TRENDS",'[1]Company 1'!$B:$E,4,0),"")</f>
        <v>1</v>
      </c>
      <c r="AM4" s="85">
        <f>IFERROR(VLOOKUP("SD2_MARKET",'[1]Company 1'!$B:$E,4,0),"")</f>
        <v>1</v>
      </c>
      <c r="AN4" s="85">
        <f>IFERROR(VLOOKUP("SD3_CATEGORY",'[1]Company 1'!$B:$E,4,0),"")</f>
        <v>1</v>
      </c>
      <c r="AO4" s="85">
        <f>IFERROR(VLOOKUP("SD4_SHIPMENT",'[1]Company 1'!$B:$E,4,0),"")</f>
        <v>0</v>
      </c>
      <c r="AP4" s="85">
        <f>IFERROR(VLOOKUP("SD5_LEAD",'[1]Company 1'!$B:$E,4,0),"")</f>
        <v>0</v>
      </c>
      <c r="AQ4" s="85">
        <f>IFERROR(VLOOKUP("SD6_CONJOINT",'[1]Company 1'!$B:$E,4,0),"")</f>
        <v>0</v>
      </c>
      <c r="AR4" s="5">
        <v>3.75</v>
      </c>
      <c r="AS4" s="166" t="s">
        <v>453</v>
      </c>
      <c r="AT4" s="166" t="s">
        <v>454</v>
      </c>
      <c r="AU4" s="166" t="s">
        <v>455</v>
      </c>
      <c r="AV4" s="164"/>
    </row>
    <row r="5" spans="2:48" ht="20.100000000000001" customHeight="1">
      <c r="B5" s="83" t="s">
        <v>163</v>
      </c>
      <c r="C5" s="162" t="str">
        <f>IFERROR(VLOOKUP("Company (Real)",'[1]Company 2'!$B:$C,2,0),"")</f>
        <v>Shell Belgium</v>
      </c>
      <c r="D5" s="84" t="str">
        <f>IFERROR(VLOOKUP("Interviewee Position",'[1]Company 2'!$B:$C,2,0),"")</f>
        <v>President and Managing Director Belgian Shell</v>
      </c>
      <c r="E5" s="84" t="str">
        <f>IFERROR(VLOOKUP("Company Industry",'[1]Company 2'!$B:$C,2,0),"")</f>
        <v>Oil &amp; Gas</v>
      </c>
      <c r="F5" s="84" t="str">
        <f>IFERROR(VLOOKUP("Company Sub-Industry",'[1]Company 2'!$B:$C,2,0),"")</f>
        <v>Specialty Retail</v>
      </c>
      <c r="G5" s="3">
        <f>IFERROR(VLOOKUP("Company Size (Turnover)",'[1]Company 2'!$B:$C,2,0),"")</f>
        <v>2000000000</v>
      </c>
      <c r="H5" s="84" t="str">
        <f>IFERROR(VLOOKUP("Country",'[1]Company 2'!$B:$C,2,0),"")</f>
        <v>UK</v>
      </c>
      <c r="I5" s="165">
        <v>1</v>
      </c>
      <c r="J5" s="85">
        <f>IFERROR(VLOOKUP("B2_SHARING",'[1]Company 2'!$B:$E,4,0),"")</f>
        <v>1</v>
      </c>
      <c r="K5" s="85">
        <f>IFERROR(VLOOKUP("B3_MONETIZE",'[1]Company 2'!$B:$E,4,0),"")</f>
        <v>0</v>
      </c>
      <c r="L5" s="85" t="s">
        <v>456</v>
      </c>
      <c r="M5" s="85">
        <f>IFERROR(VLOOKUP("M1_AUTOMATED",'[1]Company 2'!$B:$E,4,0),"")</f>
        <v>0</v>
      </c>
      <c r="N5" s="85">
        <f>IFERROR(VLOOKUP("M2_REALTIME",'[1]Company 2'!$B:$E,4,0),"")</f>
        <v>0</v>
      </c>
      <c r="O5" s="85">
        <f>IFERROR(VLOOKUP("M3_STRATEGIC",'[1]Company 2'!$B:$E,4,0),"")</f>
        <v>1</v>
      </c>
      <c r="P5" s="85">
        <f>IFERROR(VLOOKUP("M4_BREADTH",'[1]Company 2'!$B:$E,4,0),"")</f>
        <v>1</v>
      </c>
      <c r="Q5" s="85">
        <f>IFERROR(VLOOKUP("M5_DATATYPES",'[1]Company 2'!$B:$E,4,0),"")</f>
        <v>1</v>
      </c>
      <c r="R5" s="85">
        <f>IFERROR(VLOOKUP("M6_TRUST",'[1]Company 2'!$B:$E,4,0),"")</f>
        <v>0</v>
      </c>
      <c r="S5" s="85">
        <f>IFERROR(VLOOKUP("M7_BARRIERS",'[1]Company 2'!$B:$E,4,0),"")</f>
        <v>5</v>
      </c>
      <c r="T5" s="85">
        <f>IFERROR(VLOOKUP("M8_IMPACT",'[1]Company 2'!$B:$E,4,0),"")</f>
        <v>0</v>
      </c>
      <c r="U5" s="85">
        <f>IFERROR(VLOOKUP("M9_WILLINGNESS",'[1]Company 2'!$B:$E,4,0),"")</f>
        <v>2</v>
      </c>
      <c r="V5" s="85">
        <f>IFERROR(VLOOKUP("SV1_PRICING",'[1]Company 2'!$B:$E,4,0),"")</f>
        <v>0</v>
      </c>
      <c r="W5" s="85">
        <f>IFERROR(VLOOKUP("SV2_PROMOTIONS",'[1]Company 2'!$B:$E,4,0),"")</f>
        <v>0</v>
      </c>
      <c r="X5" s="85">
        <f>IFERROR(VLOOKUP("SV3_SUPPLYCHAIN",'[1]Company 2'!$B:$E,4,0),"")</f>
        <v>1</v>
      </c>
      <c r="Y5" s="85">
        <f>IFERROR(VLOOKUP("SV4_CATEGORY",'[1]Company 2'!$B:$E,4,0),"")</f>
        <v>0</v>
      </c>
      <c r="Z5" s="85">
        <f>IFERROR(VLOOKUP("SV5_DEMAND",'[1]Company 2'!$B:$E,4,0),"")</f>
        <v>0</v>
      </c>
      <c r="AA5" s="85">
        <f>IFERROR(VLOOKUP("SV6_ACCOUNT",'[1]Company 2'!$B:$E,4,0),"")</f>
        <v>0</v>
      </c>
      <c r="AB5" s="85">
        <f>IFERROR(VLOOKUP("SV7_OPS",'[1]Company 2'!$B:$E,4,0),"")</f>
        <v>0</v>
      </c>
      <c r="AC5" s="85">
        <f>IFERROR(VLOOKUP("SC1_DATASENS",'[1]Company 2'!$B:$E,4,0),"")</f>
        <v>1</v>
      </c>
      <c r="AD5" s="85">
        <f>IFERROR(VLOOKUP("SC2_COMPLIANCE",'[1]Company 2'!$B:$E,4,0),"")</f>
        <v>1</v>
      </c>
      <c r="AE5" s="85">
        <f>IFERROR(VLOOKUP("SC3_TRUST",'[1]Company 2'!$B:$E,4,0),"")</f>
        <v>0</v>
      </c>
      <c r="AF5" s="85">
        <f>IFERROR(VLOOKUP("SC4_DATAPROC",'[1]Company 2'!$B:$E,4,0),"")</f>
        <v>1</v>
      </c>
      <c r="AG5" s="85">
        <f>IFERROR(VLOOKUP("SF1_REALTIME",'[1]Company 2'!$B:$E,4,0),"")</f>
        <v>0</v>
      </c>
      <c r="AH5" s="85">
        <f>IFERROR(VLOOKUP("SF2_ACCESS",'[1]Company 2'!$B:$E,4,0),"")</f>
        <v>0</v>
      </c>
      <c r="AI5" s="85">
        <f>IFERROR(VLOOKUP("SF3_UX",'[1]Company 2'!$B:$E,4,0),"")</f>
        <v>0</v>
      </c>
      <c r="AJ5" s="85">
        <f>IFERROR(VLOOKUP("SF4_DECISION",'[1]Company 2'!$B:$E,4,0),"")</f>
        <v>0</v>
      </c>
      <c r="AK5" s="85">
        <f>IFERROR(VLOOKUP("SF5_MASKING",'[1]Company 2'!$B:$E,4,0),"")</f>
        <v>1</v>
      </c>
      <c r="AL5" s="85">
        <f>IFERROR(VLOOKUP("SD1_TRENDS",'[1]Company 2'!$B:$E,4,0),"")</f>
        <v>0</v>
      </c>
      <c r="AM5" s="85">
        <f>IFERROR(VLOOKUP("SD2_MARKET",'[1]Company 2'!$B:$E,4,0),"")</f>
        <v>1</v>
      </c>
      <c r="AN5" s="85">
        <f>IFERROR(VLOOKUP("SD3_CATEGORY",'[1]Company 2'!$B:$E,4,0),"")</f>
        <v>0</v>
      </c>
      <c r="AO5" s="85">
        <f>IFERROR(VLOOKUP("SD4_SHIPMENT",'[1]Company 2'!$B:$E,4,0),"")</f>
        <v>0</v>
      </c>
      <c r="AP5" s="85">
        <f>IFERROR(VLOOKUP("SD5_LEAD",'[1]Company 2'!$B:$E,4,0),"")</f>
        <v>0</v>
      </c>
      <c r="AQ5" s="85">
        <f>IFERROR(VLOOKUP("SD6_CONJOINT",'[1]Company 2'!$B:$E,4,0),"")</f>
        <v>0</v>
      </c>
      <c r="AR5" s="5">
        <v>0.75</v>
      </c>
      <c r="AS5" s="167" t="s">
        <v>457</v>
      </c>
      <c r="AT5" s="166" t="s">
        <v>458</v>
      </c>
      <c r="AU5" s="166" t="s">
        <v>459</v>
      </c>
      <c r="AV5" s="164"/>
    </row>
    <row r="6" spans="2:48" ht="20.100000000000001" customHeight="1">
      <c r="B6" s="83" t="s">
        <v>164</v>
      </c>
      <c r="C6" s="162" t="str">
        <f>IFERROR(VLOOKUP("Company (Real)",'[1]Company 3'!$B:$C,2,0),"")</f>
        <v>Solucious</v>
      </c>
      <c r="D6" s="84" t="str">
        <f>IFERROR(VLOOKUP("Interviewee Position",'[1]Company 3'!$B:$C,2,0),"")</f>
        <v>Business Development / Media Services Manager</v>
      </c>
      <c r="E6" s="84" t="str">
        <f>IFERROR(VLOOKUP("Company Industry",'[1]Company 3'!$B:$C,2,0),"")</f>
        <v>B2B Food Service Distribution</v>
      </c>
      <c r="F6" s="84" t="str">
        <f>IFERROR(VLOOKUP("Company Sub-Industry",'[1]Company 3'!$B:$C,2,0),"")</f>
        <v>Wholesaler</v>
      </c>
      <c r="G6" s="3">
        <f>IFERROR(VLOOKUP("Company Size (Turnover)",'[1]Company 3'!$B:$C,2,0),"")</f>
        <v>332000000</v>
      </c>
      <c r="H6" s="84" t="str">
        <f>IFERROR(VLOOKUP("Country",'[1]Company 3'!$B:$C,2,0),"")</f>
        <v>Belgium</v>
      </c>
      <c r="I6" s="165">
        <v>3.5</v>
      </c>
      <c r="J6" s="85">
        <f>IFERROR(VLOOKUP("B2_SHARING",'[1]Company 3'!$B:$E,4,0),"")</f>
        <v>1</v>
      </c>
      <c r="K6" s="85">
        <f>IFERROR(VLOOKUP("B3_MONETIZE",'[1]Company 3'!$B:$E,4,0),"")</f>
        <v>1</v>
      </c>
      <c r="L6" s="85" t="s">
        <v>452</v>
      </c>
      <c r="M6" s="85">
        <f>IFERROR(VLOOKUP("M1_AUTOMATED",'[1]Company 3'!$B:$E,4,0),"")</f>
        <v>4</v>
      </c>
      <c r="N6" s="85">
        <f>IFERROR(VLOOKUP("M2_REALTIME",'[1]Company 3'!$B:$E,4,0),"")</f>
        <v>4</v>
      </c>
      <c r="O6" s="85">
        <f>IFERROR(VLOOKUP("M3_STRATEGIC",'[1]Company 3'!$B:$E,4,0),"")</f>
        <v>4</v>
      </c>
      <c r="P6" s="85">
        <f>IFERROR(VLOOKUP("M4_BREADTH",'[1]Company 3'!$B:$E,4,0),"")</f>
        <v>5</v>
      </c>
      <c r="Q6" s="85">
        <f>IFERROR(VLOOKUP("M5_DATATYPES",'[1]Company 3'!$B:$E,4,0),"")</f>
        <v>4</v>
      </c>
      <c r="R6" s="85">
        <f>IFERROR(VLOOKUP("M6_TRUST",'[1]Company 3'!$B:$E,4,0),"")</f>
        <v>3</v>
      </c>
      <c r="S6" s="85">
        <f>IFERROR(VLOOKUP("M7_BARRIERS",'[1]Company 3'!$B:$E,4,0),"")</f>
        <v>4</v>
      </c>
      <c r="T6" s="85">
        <f>IFERROR(VLOOKUP("M8_IMPACT",'[1]Company 3'!$B:$E,4,0),"")</f>
        <v>3</v>
      </c>
      <c r="U6" s="85">
        <f>IFERROR(VLOOKUP("M9_WILLINGNESS",'[1]Company 3'!$B:$E,4,0),"")</f>
        <v>8</v>
      </c>
      <c r="V6" s="85">
        <f>IFERROR(VLOOKUP("SV1_PRICING",'[1]Company 3'!$B:$E,4,0),"")</f>
        <v>1</v>
      </c>
      <c r="W6" s="85">
        <f>IFERROR(VLOOKUP("SV2_PROMOTIONS",'[1]Company 3'!$B:$E,4,0),"")</f>
        <v>1</v>
      </c>
      <c r="X6" s="85">
        <f>IFERROR(VLOOKUP("SV3_SUPPLYCHAIN",'[1]Company 3'!$B:$E,4,0),"")</f>
        <v>0</v>
      </c>
      <c r="Y6" s="85">
        <f>IFERROR(VLOOKUP("SV4_CATEGORY",'[1]Company 3'!$B:$E,4,0),"")</f>
        <v>1</v>
      </c>
      <c r="Z6" s="85">
        <f>IFERROR(VLOOKUP("SV5_DEMAND",'[1]Company 3'!$B:$E,4,0),"")</f>
        <v>0</v>
      </c>
      <c r="AA6" s="85">
        <f>IFERROR(VLOOKUP("SV6_ACCOUNT",'[1]Company 3'!$B:$E,4,0),"")</f>
        <v>0</v>
      </c>
      <c r="AB6" s="85">
        <f>IFERROR(VLOOKUP("SV7_OPS",'[1]Company 3'!$B:$E,4,0),"")</f>
        <v>0</v>
      </c>
      <c r="AC6" s="85">
        <f>IFERROR(VLOOKUP("SC1_DATASENS",'[1]Company 3'!$B:$E,4,0),"")</f>
        <v>1</v>
      </c>
      <c r="AD6" s="85">
        <f>IFERROR(VLOOKUP("SC2_COMPLIANCE",'[1]Company 3'!$B:$E,4,0),"")</f>
        <v>1</v>
      </c>
      <c r="AE6" s="85">
        <f>IFERROR(VLOOKUP("SC3_TRUST",'[1]Company 3'!$B:$E,4,0),"")</f>
        <v>1</v>
      </c>
      <c r="AF6" s="85">
        <f>IFERROR(VLOOKUP("SC4_DATAPROC",'[1]Company 3'!$B:$E,4,0),"")</f>
        <v>1</v>
      </c>
      <c r="AG6" s="85">
        <f>IFERROR(VLOOKUP("SF1_REALTIME",'[1]Company 3'!$B:$E,4,0),"")</f>
        <v>1</v>
      </c>
      <c r="AH6" s="85">
        <f>IFERROR(VLOOKUP("SF2_ACCESS",'[1]Company 3'!$B:$E,4,0),"")</f>
        <v>1</v>
      </c>
      <c r="AI6" s="85">
        <f>IFERROR(VLOOKUP("SF3_UX",'[1]Company 3'!$B:$E,4,0),"")</f>
        <v>0</v>
      </c>
      <c r="AJ6" s="85">
        <f>IFERROR(VLOOKUP("SF4_DECISION",'[1]Company 3'!$B:$E,4,0),"")</f>
        <v>1</v>
      </c>
      <c r="AK6" s="85">
        <f>IFERROR(VLOOKUP("SF5_MASKING",'[1]Company 3'!$B:$E,4,0),"")</f>
        <v>0</v>
      </c>
      <c r="AL6" s="85">
        <f>IFERROR(VLOOKUP("SD1_TRENDS",'[1]Company 3'!$B:$E,4,0),"")</f>
        <v>0</v>
      </c>
      <c r="AM6" s="85">
        <f>IFERROR(VLOOKUP("SD2_MARKET",'[1]Company 3'!$B:$E,4,0),"")</f>
        <v>0</v>
      </c>
      <c r="AN6" s="85">
        <f>IFERROR(VLOOKUP("SD3_CATEGORY",'[1]Company 3'!$B:$E,4,0),"")</f>
        <v>1</v>
      </c>
      <c r="AO6" s="85">
        <f>IFERROR(VLOOKUP("SD4_SHIPMENT",'[1]Company 3'!$B:$E,4,0),"")</f>
        <v>0</v>
      </c>
      <c r="AP6" s="85">
        <f>IFERROR(VLOOKUP("SD5_LEAD",'[1]Company 3'!$B:$E,4,0),"")</f>
        <v>0</v>
      </c>
      <c r="AQ6" s="85">
        <f>IFERROR(VLOOKUP("SD6_CONJOINT",'[1]Company 3'!$B:$E,4,0),"")</f>
        <v>0</v>
      </c>
      <c r="AR6" s="5">
        <v>1.5</v>
      </c>
      <c r="AS6" s="166" t="s">
        <v>460</v>
      </c>
      <c r="AT6" s="166" t="s">
        <v>461</v>
      </c>
      <c r="AU6" s="166" t="s">
        <v>462</v>
      </c>
      <c r="AV6" s="164"/>
    </row>
    <row r="7" spans="2:48" ht="20.100000000000001" customHeight="1">
      <c r="B7" s="83" t="s">
        <v>165</v>
      </c>
      <c r="C7" s="162" t="str">
        <f>IFERROR(VLOOKUP("Company (Real)",'[1]Company 5'!$B:$C,2,0),"")</f>
        <v>Dicofoods</v>
      </c>
      <c r="D7" s="84" t="str">
        <f>IFERROR(VLOOKUP("Interviewee Position",'[1]Company 5'!$B:$C,2,0),"")</f>
        <v>Supply Chain Director</v>
      </c>
      <c r="E7" s="84" t="str">
        <f>IFERROR(VLOOKUP("Company Industry",'[1]Company 5'!$B:$C,2,0),"")</f>
        <v>Food Manufacturing</v>
      </c>
      <c r="F7" s="84" t="str">
        <f>IFERROR(VLOOKUP("Company Sub-Industry",'[1]Company 5'!$B:$C,2,0),"")</f>
        <v>Manufacturer</v>
      </c>
      <c r="G7" s="3">
        <f>IFERROR(VLOOKUP("Company Size (Turnover)",'[1]Company 5'!$B:$C,2,0),"")</f>
        <v>134000000</v>
      </c>
      <c r="H7" s="84" t="str">
        <f>IFERROR(VLOOKUP("Country",'[1]Company 5'!$B:$C,2,0),"")</f>
        <v>Belgium</v>
      </c>
      <c r="I7" s="165">
        <v>5</v>
      </c>
      <c r="J7" s="85">
        <f>IFERROR(VLOOKUP("B2_SHARING",'[1]Company 5'!$B:$E,4,0),"")</f>
        <v>1</v>
      </c>
      <c r="K7" s="85">
        <f>IFERROR(VLOOKUP("B3_MONETIZE",'[1]Company 5'!$B:$E,4,0),"")</f>
        <v>0</v>
      </c>
      <c r="L7" s="85" t="s">
        <v>452</v>
      </c>
      <c r="M7" s="85">
        <f>IFERROR(VLOOKUP("M1_AUTOMATED",'[1]Company 5'!$B:$E,4,0),"")</f>
        <v>2</v>
      </c>
      <c r="N7" s="85">
        <f>IFERROR(VLOOKUP("M2_REALTIME",'[1]Company 5'!$B:$E,4,0),"")</f>
        <v>2</v>
      </c>
      <c r="O7" s="85">
        <f>IFERROR(VLOOKUP("M3_STRATEGIC",'[1]Company 5'!$B:$E,4,0),"")</f>
        <v>2</v>
      </c>
      <c r="P7" s="85">
        <f>IFERROR(VLOOKUP("M4_BREADTH",'[1]Company 5'!$B:$E,4,0),"")</f>
        <v>4</v>
      </c>
      <c r="Q7" s="85">
        <f>IFERROR(VLOOKUP("M5_DATATYPES",'[1]Company 5'!$B:$E,4,0),"")</f>
        <v>2</v>
      </c>
      <c r="R7" s="85">
        <f>IFERROR(VLOOKUP("M6_TRUST",'[1]Company 5'!$B:$E,4,0),"")</f>
        <v>2</v>
      </c>
      <c r="S7" s="85">
        <f>IFERROR(VLOOKUP("M7_BARRIERS",'[1]Company 5'!$B:$E,4,0),"")</f>
        <v>4</v>
      </c>
      <c r="T7" s="85">
        <f>IFERROR(VLOOKUP("M8_IMPACT",'[1]Company 5'!$B:$E,4,0),"")</f>
        <v>2</v>
      </c>
      <c r="U7" s="85">
        <f>IFERROR(VLOOKUP("M9_WILLINGNESS",'[1]Company 5'!$B:$E,4,0),"")</f>
        <v>10</v>
      </c>
      <c r="V7" s="85">
        <f>IFERROR(VLOOKUP("SV1_PRICING",'[1]Company 5'!$B:$E,4,0),"")</f>
        <v>1</v>
      </c>
      <c r="W7" s="85">
        <f>IFERROR(VLOOKUP("SV2_PROMOTIONS",'[1]Company 5'!$B:$E,4,0),"")</f>
        <v>1</v>
      </c>
      <c r="X7" s="85">
        <f>IFERROR(VLOOKUP("SV3_SUPPLYCHAIN",'[1]Company 5'!$B:$E,4,0),"")</f>
        <v>1</v>
      </c>
      <c r="Y7" s="85">
        <f>IFERROR(VLOOKUP("SV4_CATEGORY",'[1]Company 5'!$B:$E,4,0),"")</f>
        <v>0</v>
      </c>
      <c r="Z7" s="85">
        <f>IFERROR(VLOOKUP("SV5_DEMAND",'[1]Company 5'!$B:$E,4,0),"")</f>
        <v>1</v>
      </c>
      <c r="AA7" s="85">
        <f>IFERROR(VLOOKUP("SV6_ACCOUNT",'[1]Company 5'!$B:$E,4,0),"")</f>
        <v>1</v>
      </c>
      <c r="AB7" s="85">
        <f>IFERROR(VLOOKUP("SV7_OPS",'[1]Company 5'!$B:$E,4,0),"")</f>
        <v>1</v>
      </c>
      <c r="AC7" s="85">
        <f>IFERROR(VLOOKUP("SC1_DATASENS",'[1]Company 5'!$B:$E,4,0),"")</f>
        <v>1</v>
      </c>
      <c r="AD7" s="85">
        <f>IFERROR(VLOOKUP("SC2_COMPLIANCE",'[1]Company 5'!$B:$E,4,0),"")</f>
        <v>0</v>
      </c>
      <c r="AE7" s="85">
        <f>IFERROR(VLOOKUP("SC3_TRUST",'[1]Company 5'!$B:$E,4,0),"")</f>
        <v>1</v>
      </c>
      <c r="AF7" s="85">
        <f>IFERROR(VLOOKUP("SC4_DATAPROC",'[1]Company 5'!$B:$E,4,0),"")</f>
        <v>1</v>
      </c>
      <c r="AG7" s="85">
        <f>IFERROR(VLOOKUP("SF1_REALTIME",'[1]Company 5'!$B:$E,4,0),"")</f>
        <v>1</v>
      </c>
      <c r="AH7" s="85">
        <f>IFERROR(VLOOKUP("SF2_ACCESS",'[1]Company 5'!$B:$E,4,0),"")</f>
        <v>0</v>
      </c>
      <c r="AI7" s="85">
        <f>IFERROR(VLOOKUP("SF3_UX",'[1]Company 5'!$B:$E,4,0),"")</f>
        <v>1</v>
      </c>
      <c r="AJ7" s="85">
        <f>IFERROR(VLOOKUP("SF4_DECISION",'[1]Company 5'!$B:$E,4,0),"")</f>
        <v>1</v>
      </c>
      <c r="AK7" s="85">
        <f>IFERROR(VLOOKUP("SF5_MASKING",'[1]Company 5'!$B:$E,4,0),"")</f>
        <v>0</v>
      </c>
      <c r="AL7" s="85">
        <f>IFERROR(VLOOKUP("SD1_TRENDS",'[1]Company 5'!$B:$E,4,0),"")</f>
        <v>0</v>
      </c>
      <c r="AM7" s="85">
        <f>IFERROR(VLOOKUP("SD2_MARKET",'[1]Company 5'!$B:$E,4,0),"")</f>
        <v>0</v>
      </c>
      <c r="AN7" s="85">
        <f>IFERROR(VLOOKUP("SD3_CATEGORY",'[1]Company 5'!$B:$E,4,0),"")</f>
        <v>0</v>
      </c>
      <c r="AO7" s="85">
        <f>IFERROR(VLOOKUP("SD4_SHIPMENT",'[1]Company 5'!$B:$E,4,0),"")</f>
        <v>1</v>
      </c>
      <c r="AP7" s="85">
        <f>IFERROR(VLOOKUP("SD5_LEAD",'[1]Company 5'!$B:$E,4,0),"")</f>
        <v>1</v>
      </c>
      <c r="AQ7" s="85">
        <f>IFERROR(VLOOKUP("SD6_CONJOINT",'[1]Company 5'!$B:$E,4,0),"")</f>
        <v>0</v>
      </c>
      <c r="AR7" s="5">
        <v>4.25</v>
      </c>
      <c r="AS7" s="166" t="s">
        <v>463</v>
      </c>
      <c r="AT7" s="166" t="s">
        <v>464</v>
      </c>
      <c r="AU7" s="166" t="s">
        <v>465</v>
      </c>
      <c r="AV7" s="164"/>
    </row>
    <row r="8" spans="2:48" ht="20.100000000000001" customHeight="1">
      <c r="B8" s="83" t="s">
        <v>166</v>
      </c>
      <c r="C8" s="162" t="str">
        <f>IFERROR(VLOOKUP("Company (Real)",'[1]Company 6'!$B:$C,2,0),"")</f>
        <v>Spadel</v>
      </c>
      <c r="D8" s="84" t="str">
        <f>IFERROR(VLOOKUP("Interviewee Position",'[1]Company 6'!$B:$C,2,0),"")</f>
        <v>Sales Director</v>
      </c>
      <c r="E8" s="84" t="str">
        <f>IFERROR(VLOOKUP("Company Industry",'[1]Company 6'!$B:$C,2,0),"")</f>
        <v>FMCG</v>
      </c>
      <c r="F8" s="84" t="str">
        <f>IFERROR(VLOOKUP("Company Sub-Industry",'[1]Company 6'!$B:$C,2,0),"")</f>
        <v>Manufacturer</v>
      </c>
      <c r="G8" s="3">
        <f>IFERROR(VLOOKUP("Company Size (Turnover)",'[1]Company 6'!$B:$C,2,0),"")</f>
        <v>380000000</v>
      </c>
      <c r="H8" s="84" t="str">
        <f>IFERROR(VLOOKUP("Country",'[1]Company 6'!$B:$C,2,0),"")</f>
        <v>Belgium</v>
      </c>
      <c r="I8" s="165">
        <v>4</v>
      </c>
      <c r="J8" s="85">
        <f>IFERROR(VLOOKUP("B2_SHARING",'[1]Company 6'!$B:$E,4,0),"")</f>
        <v>1</v>
      </c>
      <c r="K8" s="85">
        <f>IFERROR(VLOOKUP("B3_MONETIZE",'[1]Company 6'!$B:$E,4,0),"")</f>
        <v>0</v>
      </c>
      <c r="L8" s="85" t="s">
        <v>456</v>
      </c>
      <c r="M8" s="85">
        <f>IFERROR(VLOOKUP("M1_AUTOMATED",'[1]Company 6'!$B:$E,4,0),"")</f>
        <v>5</v>
      </c>
      <c r="N8" s="85">
        <f>IFERROR(VLOOKUP("M2_REALTIME",'[1]Company 6'!$B:$E,4,0),"")</f>
        <v>4</v>
      </c>
      <c r="O8" s="85">
        <f>IFERROR(VLOOKUP("M3_STRATEGIC",'[1]Company 6'!$B:$E,4,0),"")</f>
        <v>4</v>
      </c>
      <c r="P8" s="85">
        <f>IFERROR(VLOOKUP("M4_BREADTH",'[1]Company 6'!$B:$E,4,0),"")</f>
        <v>3</v>
      </c>
      <c r="Q8" s="85">
        <f>IFERROR(VLOOKUP("M5_DATATYPES",'[1]Company 6'!$B:$E,4,0),"")</f>
        <v>5</v>
      </c>
      <c r="R8" s="85">
        <f>IFERROR(VLOOKUP("M6_TRUST",'[1]Company 6'!$B:$E,4,0),"")</f>
        <v>2</v>
      </c>
      <c r="S8" s="85">
        <f>IFERROR(VLOOKUP("M7_BARRIERS",'[1]Company 6'!$B:$E,4,0),"")</f>
        <v>5</v>
      </c>
      <c r="T8" s="85">
        <f>IFERROR(VLOOKUP("M8_IMPACT",'[1]Company 6'!$B:$E,4,0),"")</f>
        <v>5</v>
      </c>
      <c r="U8" s="85">
        <f>IFERROR(VLOOKUP("M9_WILLINGNESS",'[1]Company 6'!$B:$E,4,0),"")</f>
        <v>6</v>
      </c>
      <c r="V8" s="85">
        <f>IFERROR(VLOOKUP("SV1_PRICING",'[1]Company 6'!$B:$E,4,0),"")</f>
        <v>1</v>
      </c>
      <c r="W8" s="85">
        <f>IFERROR(VLOOKUP("SV2_PROMOTIONS",'[1]Company 6'!$B:$E,4,0),"")</f>
        <v>1</v>
      </c>
      <c r="X8" s="85">
        <f>IFERROR(VLOOKUP("SV3_SUPPLYCHAIN",'[1]Company 6'!$B:$E,4,0),"")</f>
        <v>1</v>
      </c>
      <c r="Y8" s="85">
        <f>IFERROR(VLOOKUP("SV4_CATEGORY",'[1]Company 6'!$B:$E,4,0),"")</f>
        <v>1</v>
      </c>
      <c r="Z8" s="85">
        <f>IFERROR(VLOOKUP("SV5_DEMAND",'[1]Company 6'!$B:$E,4,0),"")</f>
        <v>1</v>
      </c>
      <c r="AA8" s="85">
        <f>IFERROR(VLOOKUP("SV6_ACCOUNT",'[1]Company 6'!$B:$E,4,0),"")</f>
        <v>1</v>
      </c>
      <c r="AB8" s="85">
        <f>IFERROR(VLOOKUP("SV7_OPS",'[1]Company 6'!$B:$E,4,0),"")</f>
        <v>1</v>
      </c>
      <c r="AC8" s="85">
        <f>IFERROR(VLOOKUP("SC1_DATASENS",'[1]Company 6'!$B:$E,4,0),"")</f>
        <v>1</v>
      </c>
      <c r="AD8" s="85">
        <f>IFERROR(VLOOKUP("SC2_COMPLIANCE",'[1]Company 6'!$B:$E,4,0),"")</f>
        <v>1</v>
      </c>
      <c r="AE8" s="85">
        <f>IFERROR(VLOOKUP("SC3_TRUST",'[1]Company 6'!$B:$E,4,0),"")</f>
        <v>1</v>
      </c>
      <c r="AF8" s="85">
        <f>IFERROR(VLOOKUP("SC4_DATAPROC",'[1]Company 6'!$B:$E,4,0),"")</f>
        <v>1</v>
      </c>
      <c r="AG8" s="85">
        <f>IFERROR(VLOOKUP("SF1_REALTIME",'[1]Company 6'!$B:$E,4,0),"")</f>
        <v>1</v>
      </c>
      <c r="AH8" s="85">
        <f>IFERROR(VLOOKUP("SF2_ACCESS",'[1]Company 6'!$B:$E,4,0),"")</f>
        <v>1</v>
      </c>
      <c r="AI8" s="85">
        <f>IFERROR(VLOOKUP("SF3_UX",'[1]Company 6'!$B:$E,4,0),"")</f>
        <v>0</v>
      </c>
      <c r="AJ8" s="85">
        <f>IFERROR(VLOOKUP("SF4_DECISION",'[1]Company 6'!$B:$E,4,0),"")</f>
        <v>1</v>
      </c>
      <c r="AK8" s="85">
        <f>IFERROR(VLOOKUP("SF5_MASKING",'[1]Company 6'!$B:$E,4,0),"")</f>
        <v>0</v>
      </c>
      <c r="AL8" s="85">
        <f>IFERROR(VLOOKUP("SD1_TRENDS",'[1]Company 6'!$B:$E,4,0),"")</f>
        <v>1</v>
      </c>
      <c r="AM8" s="85">
        <f>IFERROR(VLOOKUP("SD2_MARKET",'[1]Company 6'!$B:$E,4,0),"")</f>
        <v>1</v>
      </c>
      <c r="AN8" s="85">
        <f>IFERROR(VLOOKUP("SD3_CATEGORY",'[1]Company 6'!$B:$E,4,0),"")</f>
        <v>1</v>
      </c>
      <c r="AO8" s="85">
        <f>IFERROR(VLOOKUP("SD4_SHIPMENT",'[1]Company 6'!$B:$E,4,0),"")</f>
        <v>1</v>
      </c>
      <c r="AP8" s="85">
        <f>IFERROR(VLOOKUP("SD5_LEAD",'[1]Company 6'!$B:$E,4,0),"")</f>
        <v>0</v>
      </c>
      <c r="AQ8" s="85">
        <f>IFERROR(VLOOKUP("SD6_CONJOINT",'[1]Company 6'!$B:$E,4,0),"")</f>
        <v>0</v>
      </c>
      <c r="AR8" s="5">
        <v>0.5</v>
      </c>
      <c r="AS8" s="166" t="s">
        <v>466</v>
      </c>
      <c r="AT8" s="166" t="s">
        <v>467</v>
      </c>
      <c r="AU8" s="166" t="s">
        <v>468</v>
      </c>
      <c r="AV8" s="164"/>
    </row>
    <row r="9" spans="2:48" ht="20.100000000000001" customHeight="1">
      <c r="B9" s="83" t="s">
        <v>167</v>
      </c>
      <c r="C9" s="162" t="str">
        <f>IFERROR(VLOOKUP("Company (Real)",'[1]Company 7'!$B:$C,2,0),"")</f>
        <v>Spuntini Group</v>
      </c>
      <c r="D9" s="84" t="str">
        <f>IFERROR(VLOOKUP("Interviewee Position",'[1]Company 7'!$B:$C,2,0),"")</f>
        <v>CEO</v>
      </c>
      <c r="E9" s="84" t="str">
        <f>IFERROR(VLOOKUP("Company Industry",'[1]Company 7'!$B:$C,2,0),"")</f>
        <v>Food Service / Wholesale Distribution</v>
      </c>
      <c r="F9" s="84" t="str">
        <f>IFERROR(VLOOKUP("Company Sub-Industry",'[1]Company 7'!$B:$C,2,0),"")</f>
        <v>Wholesaler</v>
      </c>
      <c r="G9" s="3">
        <f>IFERROR(VLOOKUP("Company Size (Turnover)",'[1]Company 7'!$B:$C,2,0),"")</f>
        <v>7800000</v>
      </c>
      <c r="H9" s="84" t="str">
        <f>IFERROR(VLOOKUP("Country",'[1]Company 7'!$B:$C,2,0),"")</f>
        <v>Belgium</v>
      </c>
      <c r="I9" s="165">
        <v>4</v>
      </c>
      <c r="J9" s="85">
        <f>IFERROR(VLOOKUP("B2_SHARING",'[1]Company 7'!$B:$E,4,0),"")</f>
        <v>1</v>
      </c>
      <c r="K9" s="85">
        <f>IFERROR(VLOOKUP("B3_MONETIZE",'[1]Company 7'!$B:$E,4,0),"")</f>
        <v>1</v>
      </c>
      <c r="L9" s="85" t="s">
        <v>452</v>
      </c>
      <c r="M9" s="85">
        <f>IFERROR(VLOOKUP("M1_AUTOMATED",'[1]Company 7'!$B:$E,4,0),"")</f>
        <v>1</v>
      </c>
      <c r="N9" s="85">
        <f>IFERROR(VLOOKUP("M2_REALTIME",'[1]Company 7'!$B:$E,4,0),"")</f>
        <v>2</v>
      </c>
      <c r="O9" s="85">
        <f>IFERROR(VLOOKUP("M3_STRATEGIC",'[1]Company 7'!$B:$E,4,0),"")</f>
        <v>4</v>
      </c>
      <c r="P9" s="85">
        <f>IFERROR(VLOOKUP("M4_BREADTH",'[1]Company 7'!$B:$E,4,0),"")</f>
        <v>3</v>
      </c>
      <c r="Q9" s="85">
        <f>IFERROR(VLOOKUP("M5_DATATYPES",'[1]Company 7'!$B:$E,4,0),"")</f>
        <v>3</v>
      </c>
      <c r="R9" s="85">
        <f>IFERROR(VLOOKUP("M6_TRUST",'[1]Company 7'!$B:$E,4,0),"")</f>
        <v>0</v>
      </c>
      <c r="S9" s="85">
        <f>IFERROR(VLOOKUP("M7_BARRIERS",'[1]Company 7'!$B:$E,4,0),"")</f>
        <v>2</v>
      </c>
      <c r="T9" s="85">
        <f>IFERROR(VLOOKUP("M8_IMPACT",'[1]Company 7'!$B:$E,4,0),"")</f>
        <v>3</v>
      </c>
      <c r="U9" s="85">
        <f>IFERROR(VLOOKUP("M9_WILLINGNESS",'[1]Company 7'!$B:$E,4,0),"")</f>
        <v>8</v>
      </c>
      <c r="V9" s="85">
        <f>IFERROR(VLOOKUP("SV1_PRICING",'[1]Company 7'!$B:$E,4,0),"")</f>
        <v>0</v>
      </c>
      <c r="W9" s="85">
        <f>IFERROR(VLOOKUP("SV2_PROMOTIONS",'[1]Company 7'!$B:$E,4,0),"")</f>
        <v>0</v>
      </c>
      <c r="X9" s="85">
        <f>IFERROR(VLOOKUP("SV3_SUPPLYCHAIN",'[1]Company 7'!$B:$E,4,0),"")</f>
        <v>0</v>
      </c>
      <c r="Y9" s="85">
        <f>IFERROR(VLOOKUP("SV4_CATEGORY",'[1]Company 7'!$B:$E,4,0),"")</f>
        <v>1</v>
      </c>
      <c r="Z9" s="85">
        <f>IFERROR(VLOOKUP("SV5_DEMAND",'[1]Company 7'!$B:$E,4,0),"")</f>
        <v>0</v>
      </c>
      <c r="AA9" s="85">
        <f>IFERROR(VLOOKUP("SV6_ACCOUNT",'[1]Company 7'!$B:$E,4,0),"")</f>
        <v>0</v>
      </c>
      <c r="AB9" s="85">
        <f>IFERROR(VLOOKUP("SV7_OPS",'[1]Company 7'!$B:$E,4,0),"")</f>
        <v>1</v>
      </c>
      <c r="AC9" s="85">
        <f>IFERROR(VLOOKUP("SC1_DATASENS",'[1]Company 7'!$B:$E,4,0),"")</f>
        <v>0</v>
      </c>
      <c r="AD9" s="85">
        <f>IFERROR(VLOOKUP("SC2_COMPLIANCE",'[1]Company 7'!$B:$E,4,0),"")</f>
        <v>0</v>
      </c>
      <c r="AE9" s="85">
        <f>IFERROR(VLOOKUP("SC3_TRUST",'[1]Company 7'!$B:$E,4,0),"")</f>
        <v>0</v>
      </c>
      <c r="AF9" s="85">
        <f>IFERROR(VLOOKUP("SC4_DATAPROC",'[1]Company 7'!$B:$E,4,0),"")</f>
        <v>1</v>
      </c>
      <c r="AG9" s="85">
        <f>IFERROR(VLOOKUP("SF1_REALTIME",'[1]Company 7'!$B:$E,4,0),"")</f>
        <v>1</v>
      </c>
      <c r="AH9" s="85">
        <f>IFERROR(VLOOKUP("SF2_ACCESS",'[1]Company 7'!$B:$E,4,0),"")</f>
        <v>0</v>
      </c>
      <c r="AI9" s="85">
        <f>IFERROR(VLOOKUP("SF3_UX",'[1]Company 7'!$B:$E,4,0),"")</f>
        <v>1</v>
      </c>
      <c r="AJ9" s="85">
        <f>IFERROR(VLOOKUP("SF4_DECISION",'[1]Company 7'!$B:$E,4,0),"")</f>
        <v>0</v>
      </c>
      <c r="AK9" s="85">
        <f>IFERROR(VLOOKUP("SF5_MASKING",'[1]Company 7'!$B:$E,4,0),"")</f>
        <v>0</v>
      </c>
      <c r="AL9" s="85">
        <f>IFERROR(VLOOKUP("SD1_TRENDS",'[1]Company 7'!$B:$E,4,0),"")</f>
        <v>0</v>
      </c>
      <c r="AM9" s="85">
        <f>IFERROR(VLOOKUP("SD2_MARKET",'[1]Company 7'!$B:$E,4,0),"")</f>
        <v>1</v>
      </c>
      <c r="AN9" s="85">
        <f>IFERROR(VLOOKUP("SD3_CATEGORY",'[1]Company 7'!$B:$E,4,0),"")</f>
        <v>1</v>
      </c>
      <c r="AO9" s="85">
        <f>IFERROR(VLOOKUP("SD4_SHIPMENT",'[1]Company 7'!$B:$E,4,0),"")</f>
        <v>0</v>
      </c>
      <c r="AP9" s="85">
        <f>IFERROR(VLOOKUP("SD5_LEAD",'[1]Company 7'!$B:$E,4,0),"")</f>
        <v>0</v>
      </c>
      <c r="AQ9" s="85">
        <f>IFERROR(VLOOKUP("SD6_CONJOINT",'[1]Company 7'!$B:$E,4,0),"")</f>
        <v>0</v>
      </c>
      <c r="AR9" s="5">
        <v>4.25</v>
      </c>
      <c r="AS9" s="168" t="s">
        <v>469</v>
      </c>
      <c r="AT9" s="168" t="s">
        <v>470</v>
      </c>
      <c r="AU9" s="169" t="s">
        <v>471</v>
      </c>
      <c r="AV9" s="164"/>
    </row>
    <row r="10" spans="2:48" ht="20.100000000000001" customHeight="1">
      <c r="B10" s="83" t="s">
        <v>168</v>
      </c>
      <c r="C10" s="162" t="s">
        <v>27</v>
      </c>
      <c r="D10" s="84" t="str">
        <f>IFERROR(VLOOKUP("Interviewee Position",'[1]Company 8'!$B:$C,2,0),"")</f>
        <v>CFO / Finance Lead EMEA &amp; LATAM</v>
      </c>
      <c r="E10" s="84" t="str">
        <f>IFERROR(VLOOKUP("Company Industry",'[1]Company 8'!$B:$C,2,0),"")</f>
        <v>Pet Food &amp; Products</v>
      </c>
      <c r="F10" s="84" t="str">
        <f>IFERROR(VLOOKUP("Company Sub-Industry",'[1]Company 8'!$B:$C,2,0),"")</f>
        <v>Manufacturer</v>
      </c>
      <c r="G10" s="3">
        <f>IFERROR(VLOOKUP("Company Size (Turnover)",'[1]Company 8'!$B:$C,2,0),"")</f>
        <v>90000000</v>
      </c>
      <c r="H10" s="84" t="str">
        <f>IFERROR(VLOOKUP("Country",'[1]Company 8'!$B:$C,2,0),"")</f>
        <v>US</v>
      </c>
      <c r="I10" s="165">
        <v>4</v>
      </c>
      <c r="J10" s="85">
        <f>IFERROR(VLOOKUP("B2_SHARING",'[1]Company 8'!$B:$E,4,0),"")</f>
        <v>1</v>
      </c>
      <c r="K10" s="85">
        <f>IFERROR(VLOOKUP("B3_MONETIZE",'[1]Company 8'!$B:$E,4,0),"")</f>
        <v>0</v>
      </c>
      <c r="L10" s="85" t="s">
        <v>452</v>
      </c>
      <c r="M10" s="85">
        <f>IFERROR(VLOOKUP("M1_AUTOMATED",'[1]Company 8'!$B:$E,4,0),"")</f>
        <v>3</v>
      </c>
      <c r="N10" s="85">
        <f>IFERROR(VLOOKUP("M2_REALTIME",'[1]Company 8'!$B:$E,4,0),"")</f>
        <v>2</v>
      </c>
      <c r="O10" s="85">
        <f>IFERROR(VLOOKUP("M3_STRATEGIC",'[1]Company 8'!$B:$E,4,0),"")</f>
        <v>4</v>
      </c>
      <c r="P10" s="85">
        <f>IFERROR(VLOOKUP("M4_BREADTH",'[1]Company 8'!$B:$E,4,0),"")</f>
        <v>3</v>
      </c>
      <c r="Q10" s="85">
        <f>IFERROR(VLOOKUP("M5_DATATYPES",'[1]Company 8'!$B:$E,4,0),"")</f>
        <v>4</v>
      </c>
      <c r="R10" s="85">
        <f>IFERROR(VLOOKUP("M6_TRUST",'[1]Company 8'!$B:$E,4,0),"")</f>
        <v>4</v>
      </c>
      <c r="S10" s="85">
        <f>IFERROR(VLOOKUP("M7_BARRIERS",'[1]Company 8'!$B:$E,4,0),"")</f>
        <v>4</v>
      </c>
      <c r="T10" s="85">
        <f>IFERROR(VLOOKUP("M8_IMPACT",'[1]Company 8'!$B:$E,4,0),"")</f>
        <v>2</v>
      </c>
      <c r="U10" s="85">
        <f>IFERROR(VLOOKUP("M9_WILLINGNESS",'[1]Company 8'!$B:$E,4,0),"")</f>
        <v>8</v>
      </c>
      <c r="V10" s="85">
        <f>IFERROR(VLOOKUP("SV1_PRICING",'[1]Company 8'!$B:$E,4,0),"")</f>
        <v>1</v>
      </c>
      <c r="W10" s="85">
        <f>IFERROR(VLOOKUP("SV2_PROMOTIONS",'[1]Company 8'!$B:$E,4,0),"")</f>
        <v>1</v>
      </c>
      <c r="X10" s="85">
        <f>IFERROR(VLOOKUP("SV3_SUPPLYCHAIN",'[1]Company 8'!$B:$E,4,0),"")</f>
        <v>0</v>
      </c>
      <c r="Y10" s="85">
        <f>IFERROR(VLOOKUP("SV4_CATEGORY",'[1]Company 8'!$B:$E,4,0),"")</f>
        <v>1</v>
      </c>
      <c r="Z10" s="85">
        <f>IFERROR(VLOOKUP("SV5_DEMAND",'[1]Company 8'!$B:$E,4,0),"")</f>
        <v>0</v>
      </c>
      <c r="AA10" s="85">
        <f>IFERROR(VLOOKUP("SV6_ACCOUNT",'[1]Company 8'!$B:$E,4,0),"")</f>
        <v>0</v>
      </c>
      <c r="AB10" s="85">
        <f>IFERROR(VLOOKUP("SV7_OPS",'[1]Company 8'!$B:$E,4,0),"")</f>
        <v>0</v>
      </c>
      <c r="AC10" s="85">
        <f>IFERROR(VLOOKUP("SC1_DATASENS",'[1]Company 8'!$B:$E,4,0),"")</f>
        <v>1</v>
      </c>
      <c r="AD10" s="85">
        <f>IFERROR(VLOOKUP("SC2_COMPLIANCE",'[1]Company 8'!$B:$E,4,0),"")</f>
        <v>1</v>
      </c>
      <c r="AE10" s="85">
        <f>IFERROR(VLOOKUP("SC3_TRUST",'[1]Company 8'!$B:$E,4,0),"")</f>
        <v>0</v>
      </c>
      <c r="AF10" s="85">
        <f>IFERROR(VLOOKUP("SC4_DATAPROC",'[1]Company 8'!$B:$E,4,0),"")</f>
        <v>0</v>
      </c>
      <c r="AG10" s="85">
        <f>IFERROR(VLOOKUP("SF1_REALTIME",'[1]Company 8'!$B:$E,4,0),"")</f>
        <v>0</v>
      </c>
      <c r="AH10" s="85">
        <f>IFERROR(VLOOKUP("SF2_ACCESS",'[1]Company 8'!$B:$E,4,0),"")</f>
        <v>0</v>
      </c>
      <c r="AI10" s="85">
        <f>IFERROR(VLOOKUP("SF3_UX",'[1]Company 8'!$B:$E,4,0),"")</f>
        <v>0</v>
      </c>
      <c r="AJ10" s="85">
        <f>IFERROR(VLOOKUP("SF4_DECISION",'[1]Company 8'!$B:$E,4,0),"")</f>
        <v>0</v>
      </c>
      <c r="AK10" s="85">
        <f>IFERROR(VLOOKUP("SF5_MASKING",'[1]Company 8'!$B:$E,4,0),"")</f>
        <v>0</v>
      </c>
      <c r="AL10" s="85">
        <f>IFERROR(VLOOKUP("SD1_TRENDS",'[1]Company 8'!$B:$E,4,0),"")</f>
        <v>1</v>
      </c>
      <c r="AM10" s="85">
        <f>IFERROR(VLOOKUP("SD2_MARKET",'[1]Company 8'!$B:$E,4,0),"")</f>
        <v>1</v>
      </c>
      <c r="AN10" s="85">
        <f>IFERROR(VLOOKUP("SD3_CATEGORY",'[1]Company 8'!$B:$E,4,0),"")</f>
        <v>1</v>
      </c>
      <c r="AO10" s="85">
        <f>IFERROR(VLOOKUP("SD4_SHIPMENT",'[1]Company 8'!$B:$E,4,0),"")</f>
        <v>0</v>
      </c>
      <c r="AP10" s="85">
        <f>IFERROR(VLOOKUP("SD5_LEAD",'[1]Company 8'!$B:$E,4,0),"")</f>
        <v>0</v>
      </c>
      <c r="AQ10" s="85">
        <f>IFERROR(VLOOKUP("SD6_CONJOINT",'[1]Company 8'!$B:$E,4,0),"")</f>
        <v>0</v>
      </c>
      <c r="AR10" s="5">
        <v>3.5</v>
      </c>
      <c r="AS10" s="166" t="s">
        <v>472</v>
      </c>
      <c r="AT10" s="166" t="s">
        <v>473</v>
      </c>
      <c r="AU10" s="167" t="s">
        <v>474</v>
      </c>
      <c r="AV10" s="164"/>
    </row>
    <row r="11" spans="2:48" ht="20.100000000000001" customHeight="1">
      <c r="B11" s="83" t="s">
        <v>169</v>
      </c>
      <c r="C11" s="162" t="str">
        <f>IFERROR(VLOOKUP("Company (Real)",'[1]Company 9'!$B:$C,2,0),"")</f>
        <v>Conway</v>
      </c>
      <c r="D11" s="84" t="str">
        <f>IFERROR(VLOOKUP("Interviewee Position",'[1]Company 9'!$B:$C,2,0),"")</f>
        <v>Commercial Director</v>
      </c>
      <c r="E11" s="84" t="str">
        <f>IFERROR(VLOOKUP("Company Industry",'[1]Company 9'!$B:$C,2,0),"")</f>
        <v>Wholesale</v>
      </c>
      <c r="F11" s="84" t="str">
        <f>IFERROR(VLOOKUP("Company Sub-Industry",'[1]Company 9'!$B:$C,2,0),"")</f>
        <v>Wholesaler</v>
      </c>
      <c r="G11" s="3">
        <f>IFERROR(VLOOKUP("Company Size (Turnover)",'[1]Company 9'!$B:$C,2,0),"")</f>
        <v>2000000000</v>
      </c>
      <c r="H11" s="84" t="str">
        <f>IFERROR(VLOOKUP("Country",'[1]Company 9'!$B:$C,2,0),"")</f>
        <v>Belgium</v>
      </c>
      <c r="I11" s="165">
        <v>4</v>
      </c>
      <c r="J11" s="85">
        <f>IFERROR(VLOOKUP("B2_SHARING",'[1]Company 9'!$B:$E,4,0),"")</f>
        <v>1</v>
      </c>
      <c r="K11" s="85">
        <f>IFERROR(VLOOKUP("B3_MONETIZE",'[1]Company 9'!$B:$E,4,0),"")</f>
        <v>1</v>
      </c>
      <c r="L11" s="85" t="s">
        <v>452</v>
      </c>
      <c r="M11" s="85">
        <f>IFERROR(VLOOKUP("M1_AUTOMATED",'[1]Company 9'!$B:$E,4,0),"")</f>
        <v>3</v>
      </c>
      <c r="N11" s="85">
        <f>IFERROR(VLOOKUP("M2_REALTIME",'[1]Company 9'!$B:$E,4,0),"")</f>
        <v>2</v>
      </c>
      <c r="O11" s="85">
        <f>IFERROR(VLOOKUP("M3_STRATEGIC",'[1]Company 9'!$B:$E,4,0),"")</f>
        <v>4</v>
      </c>
      <c r="P11" s="85">
        <f>IFERROR(VLOOKUP("M4_BREADTH",'[1]Company 9'!$B:$E,4,0),"")</f>
        <v>2</v>
      </c>
      <c r="Q11" s="85">
        <f>IFERROR(VLOOKUP("M5_DATATYPES",'[1]Company 9'!$B:$E,4,0),"")</f>
        <v>5</v>
      </c>
      <c r="R11" s="85">
        <f>IFERROR(VLOOKUP("M6_TRUST",'[1]Company 9'!$B:$E,4,0),"")</f>
        <v>2</v>
      </c>
      <c r="S11" s="85">
        <f>IFERROR(VLOOKUP("M7_BARRIERS",'[1]Company 9'!$B:$E,4,0),"")</f>
        <v>4</v>
      </c>
      <c r="T11" s="85">
        <f>IFERROR(VLOOKUP("M8_IMPACT",'[1]Company 9'!$B:$E,4,0),"")</f>
        <v>4</v>
      </c>
      <c r="U11" s="85">
        <f>IFERROR(VLOOKUP("M9_WILLINGNESS",'[1]Company 9'!$B:$E,4,0),"")</f>
        <v>6</v>
      </c>
      <c r="V11" s="85">
        <f>IFERROR(VLOOKUP("SV1_PRICING",'[1]Company 9'!$B:$E,4,0),"")</f>
        <v>0</v>
      </c>
      <c r="W11" s="85">
        <f>IFERROR(VLOOKUP("SV2_PROMOTIONS",'[1]Company 9'!$B:$E,4,0),"")</f>
        <v>0</v>
      </c>
      <c r="X11" s="85">
        <f>IFERROR(VLOOKUP("SV3_SUPPLYCHAIN",'[1]Company 9'!$B:$E,4,0),"")</f>
        <v>0</v>
      </c>
      <c r="Y11" s="85">
        <f>IFERROR(VLOOKUP("SV4_CATEGORY",'[1]Company 9'!$B:$E,4,0),"")</f>
        <v>1</v>
      </c>
      <c r="Z11" s="85">
        <f>IFERROR(VLOOKUP("SV5_DEMAND",'[1]Company 9'!$B:$E,4,0),"")</f>
        <v>1</v>
      </c>
      <c r="AA11" s="85">
        <f>IFERROR(VLOOKUP("SV6_ACCOUNT",'[1]Company 9'!$B:$E,4,0),"")</f>
        <v>0</v>
      </c>
      <c r="AB11" s="85">
        <f>IFERROR(VLOOKUP("SV7_OPS",'[1]Company 9'!$B:$E,4,0),"")</f>
        <v>0</v>
      </c>
      <c r="AC11" s="85">
        <f>IFERROR(VLOOKUP("SC1_DATASENS",'[1]Company 9'!$B:$E,4,0),"")</f>
        <v>1</v>
      </c>
      <c r="AD11" s="85">
        <f>IFERROR(VLOOKUP("SC2_COMPLIANCE",'[1]Company 9'!$B:$E,4,0),"")</f>
        <v>0</v>
      </c>
      <c r="AE11" s="85">
        <f>IFERROR(VLOOKUP("SC3_TRUST",'[1]Company 9'!$B:$E,4,0),"")</f>
        <v>0</v>
      </c>
      <c r="AF11" s="85">
        <f>IFERROR(VLOOKUP("SC4_DATAPROC",'[1]Company 9'!$B:$E,4,0),"")</f>
        <v>0</v>
      </c>
      <c r="AG11" s="85">
        <f>IFERROR(VLOOKUP("SF1_REALTIME",'[1]Company 9'!$B:$E,4,0),"")</f>
        <v>0</v>
      </c>
      <c r="AH11" s="85">
        <f>IFERROR(VLOOKUP("SF2_ACCESS",'[1]Company 9'!$B:$E,4,0),"")</f>
        <v>1</v>
      </c>
      <c r="AI11" s="85">
        <f>IFERROR(VLOOKUP("SF3_UX",'[1]Company 9'!$B:$E,4,0),"")</f>
        <v>1</v>
      </c>
      <c r="AJ11" s="85">
        <f>IFERROR(VLOOKUP("SF4_DECISION",'[1]Company 9'!$B:$E,4,0),"")</f>
        <v>0</v>
      </c>
      <c r="AK11" s="85">
        <f>IFERROR(VLOOKUP("SF5_MASKING",'[1]Company 9'!$B:$E,4,0),"")</f>
        <v>0</v>
      </c>
      <c r="AL11" s="85">
        <f>IFERROR(VLOOKUP("SD1_TRENDS",'[1]Company 9'!$B:$E,4,0),"")</f>
        <v>1</v>
      </c>
      <c r="AM11" s="85">
        <f>IFERROR(VLOOKUP("SD2_MARKET",'[1]Company 9'!$B:$E,4,0),"")</f>
        <v>1</v>
      </c>
      <c r="AN11" s="85">
        <f>IFERROR(VLOOKUP("SD3_CATEGORY",'[1]Company 9'!$B:$E,4,0),"")</f>
        <v>1</v>
      </c>
      <c r="AO11" s="85">
        <f>IFERROR(VLOOKUP("SD4_SHIPMENT",'[1]Company 9'!$B:$E,4,0),"")</f>
        <v>1</v>
      </c>
      <c r="AP11" s="85">
        <f>IFERROR(VLOOKUP("SD5_LEAD",'[1]Company 9'!$B:$E,4,0),"")</f>
        <v>0</v>
      </c>
      <c r="AQ11" s="85">
        <f>IFERROR(VLOOKUP("SD6_CONJOINT",'[1]Company 9'!$B:$E,4,0),"")</f>
        <v>0</v>
      </c>
      <c r="AR11" s="5">
        <v>2.5</v>
      </c>
      <c r="AS11" s="166" t="s">
        <v>475</v>
      </c>
      <c r="AT11" s="167" t="s">
        <v>476</v>
      </c>
      <c r="AU11" s="167" t="s">
        <v>477</v>
      </c>
      <c r="AV11" s="164"/>
    </row>
    <row r="12" spans="2:48" ht="20.100000000000001" customHeight="1">
      <c r="B12" s="83" t="s">
        <v>170</v>
      </c>
      <c r="C12" s="162" t="str">
        <f>IFERROR(VLOOKUP("Company (Real)",'[1]Company 10'!$B:$C,2,0),"")</f>
        <v>Arla</v>
      </c>
      <c r="D12" s="84" t="str">
        <f>IFERROR(VLOOKUP("Interviewee Position",'[1]Company 10'!$B:$C,2,0),"")</f>
        <v>Data Insights Team</v>
      </c>
      <c r="E12" s="84" t="str">
        <f>IFERROR(VLOOKUP("Company Industry",'[1]Company 10'!$B:$C,2,0),"")</f>
        <v>FMCG</v>
      </c>
      <c r="F12" s="84" t="str">
        <f>IFERROR(VLOOKUP("Company Sub-Industry",'[1]Company 10'!$B:$C,2,0),"")</f>
        <v>Manufacturer</v>
      </c>
      <c r="G12" s="3">
        <f>IFERROR(VLOOKUP("Company Size (Turnover)",'[1]Company 10'!$B:$C,2,0),"")</f>
        <v>52000000</v>
      </c>
      <c r="H12" s="84" t="str">
        <f>IFERROR(VLOOKUP("Country",'[1]Company 10'!$B:$C,2,0),"")</f>
        <v>Denmark</v>
      </c>
      <c r="I12" s="165">
        <v>3.5</v>
      </c>
      <c r="J12" s="85">
        <f>IFERROR(VLOOKUP("B2_SHARING",'[1]Company 10'!$B:$E,4,0),"")</f>
        <v>1</v>
      </c>
      <c r="K12" s="85">
        <f>IFERROR(VLOOKUP("B3_MONETIZE",'[1]Company 10'!$B:$E,4,0),"")</f>
        <v>0</v>
      </c>
      <c r="L12" s="85" t="s">
        <v>456</v>
      </c>
      <c r="M12" s="85">
        <f>IFERROR(VLOOKUP("M1_AUTOMATED",'[1]Company 10'!$B:$E,4,0),"")</f>
        <v>2</v>
      </c>
      <c r="N12" s="85">
        <f>IFERROR(VLOOKUP("M2_REALTIME",'[1]Company 10'!$B:$E,4,0),"")</f>
        <v>2</v>
      </c>
      <c r="O12" s="85">
        <f>IFERROR(VLOOKUP("M3_STRATEGIC",'[1]Company 10'!$B:$E,4,0),"")</f>
        <v>5</v>
      </c>
      <c r="P12" s="85">
        <f>IFERROR(VLOOKUP("M4_BREADTH",'[1]Company 10'!$B:$E,4,0),"")</f>
        <v>3</v>
      </c>
      <c r="Q12" s="85">
        <f>IFERROR(VLOOKUP("M5_DATATYPES",'[1]Company 10'!$B:$E,4,0),"")</f>
        <v>5</v>
      </c>
      <c r="R12" s="85">
        <f>IFERROR(VLOOKUP("M6_TRUST",'[1]Company 10'!$B:$E,4,0),"")</f>
        <v>3</v>
      </c>
      <c r="S12" s="85">
        <f>IFERROR(VLOOKUP("M7_BARRIERS",'[1]Company 10'!$B:$E,4,0),"")</f>
        <v>4</v>
      </c>
      <c r="T12" s="85">
        <f>IFERROR(VLOOKUP("M8_IMPACT",'[1]Company 10'!$B:$E,4,0),"")</f>
        <v>4</v>
      </c>
      <c r="U12" s="85">
        <f>IFERROR(VLOOKUP("M9_WILLINGNESS",'[1]Company 10'!$B:$E,4,0),"")</f>
        <v>7</v>
      </c>
      <c r="V12" s="85">
        <f>IFERROR(VLOOKUP("SV1_PRICING",'[1]Company 10'!$B:$E,4,0),"")</f>
        <v>1</v>
      </c>
      <c r="W12" s="85">
        <f>IFERROR(VLOOKUP("SV2_PROMOTIONS",'[1]Company 10'!$B:$E,4,0),"")</f>
        <v>0</v>
      </c>
      <c r="X12" s="85">
        <f>IFERROR(VLOOKUP("SV3_SUPPLYCHAIN",'[1]Company 10'!$B:$E,4,0),"")</f>
        <v>1</v>
      </c>
      <c r="Y12" s="85">
        <f>IFERROR(VLOOKUP("SV4_CATEGORY",'[1]Company 10'!$B:$E,4,0),"")</f>
        <v>1</v>
      </c>
      <c r="Z12" s="85">
        <f>IFERROR(VLOOKUP("SV5_DEMAND",'[1]Company 10'!$B:$E,4,0),"")</f>
        <v>0</v>
      </c>
      <c r="AA12" s="85">
        <f>IFERROR(VLOOKUP("SV6_ACCOUNT",'[1]Company 10'!$B:$E,4,0),"")</f>
        <v>0</v>
      </c>
      <c r="AB12" s="85">
        <f>IFERROR(VLOOKUP("SV7_OPS",'[1]Company 10'!$B:$E,4,0),"")</f>
        <v>0</v>
      </c>
      <c r="AC12" s="85">
        <f>IFERROR(VLOOKUP("SC1_DATASENS",'[1]Company 10'!$B:$E,4,0),"")</f>
        <v>1</v>
      </c>
      <c r="AD12" s="85">
        <f>IFERROR(VLOOKUP("SC2_COMPLIANCE",'[1]Company 10'!$B:$E,4,0),"")</f>
        <v>1</v>
      </c>
      <c r="AE12" s="85">
        <f>IFERROR(VLOOKUP("SC3_TRUST",'[1]Company 10'!$B:$E,4,0),"")</f>
        <v>0</v>
      </c>
      <c r="AF12" s="85">
        <f>IFERROR(VLOOKUP("SC4_DATAPROC",'[1]Company 10'!$B:$E,4,0),"")</f>
        <v>1</v>
      </c>
      <c r="AG12" s="85">
        <f>IFERROR(VLOOKUP("SF1_REALTIME",'[1]Company 10'!$B:$E,4,0),"")</f>
        <v>1</v>
      </c>
      <c r="AH12" s="85">
        <f>IFERROR(VLOOKUP("SF2_ACCESS",'[1]Company 10'!$B:$E,4,0),"")</f>
        <v>0</v>
      </c>
      <c r="AI12" s="85">
        <f>IFERROR(VLOOKUP("SF3_UX",'[1]Company 10'!$B:$E,4,0),"")</f>
        <v>1</v>
      </c>
      <c r="AJ12" s="85">
        <f>IFERROR(VLOOKUP("SF4_DECISION",'[1]Company 10'!$B:$E,4,0),"")</f>
        <v>0</v>
      </c>
      <c r="AK12" s="85">
        <f>IFERROR(VLOOKUP("SF5_MASKING",'[1]Company 10'!$B:$E,4,0),"")</f>
        <v>0</v>
      </c>
      <c r="AL12" s="85">
        <f>IFERROR(VLOOKUP("SD1_TRENDS",'[1]Company 10'!$B:$E,4,0),"")</f>
        <v>1</v>
      </c>
      <c r="AM12" s="85">
        <f>IFERROR(VLOOKUP("SD2_MARKET",'[1]Company 10'!$B:$E,4,0),"")</f>
        <v>1</v>
      </c>
      <c r="AN12" s="85">
        <f>IFERROR(VLOOKUP("SD3_CATEGORY",'[1]Company 10'!$B:$E,4,0),"")</f>
        <v>1</v>
      </c>
      <c r="AO12" s="85">
        <f>IFERROR(VLOOKUP("SD4_SHIPMENT",'[1]Company 10'!$B:$E,4,0),"")</f>
        <v>0</v>
      </c>
      <c r="AP12" s="85">
        <f>IFERROR(VLOOKUP("SD5_LEAD",'[1]Company 10'!$B:$E,4,0),"")</f>
        <v>0</v>
      </c>
      <c r="AQ12" s="85">
        <f>IFERROR(VLOOKUP("SD6_CONJOINT",'[1]Company 10'!$B:$E,4,0),"")</f>
        <v>0</v>
      </c>
      <c r="AR12" s="5">
        <v>3.25</v>
      </c>
      <c r="AS12" s="166" t="s">
        <v>478</v>
      </c>
      <c r="AT12" s="166" t="s">
        <v>479</v>
      </c>
      <c r="AU12" s="166" t="s">
        <v>480</v>
      </c>
      <c r="AV12" s="164"/>
    </row>
    <row r="13" spans="2:48" ht="20.100000000000001" customHeight="1">
      <c r="B13" s="83" t="s">
        <v>171</v>
      </c>
      <c r="C13" s="162" t="str">
        <f>IFERROR(VLOOKUP("Company (Real)",'[1]Company 11'!$B:$C,2,0),"")</f>
        <v>Familia Pharmacies</v>
      </c>
      <c r="D13" s="84" t="str">
        <f>IFERROR(VLOOKUP("Interviewee Position",'[1]Company 11'!$B:$C,2,0),"")</f>
        <v>Marketing Strategic Role</v>
      </c>
      <c r="E13" s="84" t="str">
        <f>IFERROR(VLOOKUP("Company Industry",'[1]Company 11'!$B:$C,2,0),"")</f>
        <v>Pharmacy/Healthcare Retail</v>
      </c>
      <c r="F13" s="84" t="str">
        <f>IFERROR(VLOOKUP("Company Sub-Industry",'[1]Company 11'!$B:$C,2,0),"")</f>
        <v>Specialty Retail</v>
      </c>
      <c r="G13" s="3">
        <f>IFERROR(VLOOKUP("Company Size (Turnover)",'[1]Company 11'!$B:$C,2,0),"")</f>
        <v>140000000</v>
      </c>
      <c r="H13" s="84" t="str">
        <f>IFERROR(VLOOKUP("Country",'[1]Company 11'!$B:$C,2,0),"")</f>
        <v xml:space="preserve">Belgium </v>
      </c>
      <c r="I13" s="165">
        <v>4.5</v>
      </c>
      <c r="J13" s="85">
        <f>IFERROR(VLOOKUP("B2_SHARING",'[1]Company 11'!$B:$E,4,0),"")</f>
        <v>1</v>
      </c>
      <c r="K13" s="85">
        <f>IFERROR(VLOOKUP("B3_MONETIZE",'[1]Company 11'!$B:$E,4,0),"")</f>
        <v>0</v>
      </c>
      <c r="L13" s="85" t="s">
        <v>452</v>
      </c>
      <c r="M13" s="85">
        <f>IFERROR(VLOOKUP("M1_AUTOMATED",'[1]Company 11'!$B:$E,4,0),"")</f>
        <v>1</v>
      </c>
      <c r="N13" s="85">
        <f>IFERROR(VLOOKUP("M2_REALTIME",'[1]Company 11'!$B:$E,4,0),"")</f>
        <v>1</v>
      </c>
      <c r="O13" s="85">
        <f>IFERROR(VLOOKUP("M3_STRATEGIC",'[1]Company 11'!$B:$E,4,0),"")</f>
        <v>2</v>
      </c>
      <c r="P13" s="85">
        <f>IFERROR(VLOOKUP("M4_BREADTH",'[1]Company 11'!$B:$E,4,0),"")</f>
        <v>2</v>
      </c>
      <c r="Q13" s="85">
        <f>IFERROR(VLOOKUP("M5_DATATYPES",'[1]Company 11'!$B:$E,4,0),"")</f>
        <v>2</v>
      </c>
      <c r="R13" s="85">
        <f>IFERROR(VLOOKUP("M6_TRUST",'[1]Company 11'!$B:$E,4,0),"")</f>
        <v>0</v>
      </c>
      <c r="S13" s="85">
        <f>IFERROR(VLOOKUP("M7_BARRIERS",'[1]Company 11'!$B:$E,4,0),"")</f>
        <v>2</v>
      </c>
      <c r="T13" s="85">
        <f>IFERROR(VLOOKUP("M8_IMPACT",'[1]Company 11'!$B:$E,4,0),"")</f>
        <v>0</v>
      </c>
      <c r="U13" s="85">
        <f>IFERROR(VLOOKUP("M9_WILLINGNESS",'[1]Company 11'!$B:$E,4,0),"")</f>
        <v>9</v>
      </c>
      <c r="V13" s="85">
        <f>IFERROR(VLOOKUP("SV1_PRICING",'[1]Company 11'!$B:$E,4,0),"")</f>
        <v>1</v>
      </c>
      <c r="W13" s="85">
        <f>IFERROR(VLOOKUP("SV2_PROMOTIONS",'[1]Company 11'!$B:$E,4,0),"")</f>
        <v>1</v>
      </c>
      <c r="X13" s="85">
        <f>IFERROR(VLOOKUP("SV3_SUPPLYCHAIN",'[1]Company 11'!$B:$E,4,0),"")</f>
        <v>1</v>
      </c>
      <c r="Y13" s="85">
        <f>IFERROR(VLOOKUP("SV4_CATEGORY",'[1]Company 11'!$B:$E,4,0),"")</f>
        <v>1</v>
      </c>
      <c r="Z13" s="85">
        <f>IFERROR(VLOOKUP("SV5_DEMAND",'[1]Company 11'!$B:$E,4,0),"")</f>
        <v>0</v>
      </c>
      <c r="AA13" s="85">
        <f>IFERROR(VLOOKUP("SV6_ACCOUNT",'[1]Company 11'!$B:$E,4,0),"")</f>
        <v>0</v>
      </c>
      <c r="AB13" s="85">
        <f>IFERROR(VLOOKUP("SV7_OPS",'[1]Company 11'!$B:$E,4,0),"")</f>
        <v>0</v>
      </c>
      <c r="AC13" s="85">
        <f>IFERROR(VLOOKUP("SC1_DATASENS",'[1]Company 11'!$B:$E,4,0),"")</f>
        <v>1</v>
      </c>
      <c r="AD13" s="85">
        <f>IFERROR(VLOOKUP("SC2_COMPLIANCE",'[1]Company 11'!$B:$E,4,0),"")</f>
        <v>0</v>
      </c>
      <c r="AE13" s="85">
        <f>IFERROR(VLOOKUP("SC3_TRUST",'[1]Company 11'!$B:$E,4,0),"")</f>
        <v>0</v>
      </c>
      <c r="AF13" s="85">
        <f>IFERROR(VLOOKUP("SC4_DATAPROC",'[1]Company 11'!$B:$E,4,0),"")</f>
        <v>1</v>
      </c>
      <c r="AG13" s="85">
        <f>IFERROR(VLOOKUP("SF1_REALTIME",'[1]Company 11'!$B:$E,4,0),"")</f>
        <v>0</v>
      </c>
      <c r="AH13" s="85">
        <f>IFERROR(VLOOKUP("SF2_ACCESS",'[1]Company 11'!$B:$E,4,0),"")</f>
        <v>0</v>
      </c>
      <c r="AI13" s="85">
        <f>IFERROR(VLOOKUP("SF3_UX",'[1]Company 11'!$B:$E,4,0),"")</f>
        <v>1</v>
      </c>
      <c r="AJ13" s="85">
        <f>IFERROR(VLOOKUP("SF4_DECISION",'[1]Company 11'!$B:$E,4,0),"")</f>
        <v>0</v>
      </c>
      <c r="AK13" s="85">
        <f>IFERROR(VLOOKUP("SF5_MASKING",'[1]Company 11'!$B:$E,4,0),"")</f>
        <v>0</v>
      </c>
      <c r="AL13" s="85">
        <f>IFERROR(VLOOKUP("SD1_TRENDS",'[1]Company 11'!$B:$E,4,0),"")</f>
        <v>1</v>
      </c>
      <c r="AM13" s="85">
        <f>IFERROR(VLOOKUP("SD2_MARKET",'[1]Company 11'!$B:$E,4,0),"")</f>
        <v>1</v>
      </c>
      <c r="AN13" s="85">
        <f>IFERROR(VLOOKUP("SD3_CATEGORY",'[1]Company 11'!$B:$E,4,0),"")</f>
        <v>1</v>
      </c>
      <c r="AO13" s="85">
        <f>IFERROR(VLOOKUP("SD4_SHIPMENT",'[1]Company 11'!$B:$E,4,0),"")</f>
        <v>0</v>
      </c>
      <c r="AP13" s="85">
        <f>IFERROR(VLOOKUP("SD5_LEAD",'[1]Company 11'!$B:$E,4,0),"")</f>
        <v>0</v>
      </c>
      <c r="AQ13" s="85">
        <f>IFERROR(VLOOKUP("SD6_CONJOINT",'[1]Company 11'!$B:$E,4,0),"")</f>
        <v>0</v>
      </c>
      <c r="AR13" s="5">
        <v>4.25</v>
      </c>
      <c r="AS13" s="166" t="s">
        <v>481</v>
      </c>
      <c r="AT13" s="166" t="s">
        <v>482</v>
      </c>
      <c r="AU13" s="166" t="s">
        <v>483</v>
      </c>
      <c r="AV13" s="164"/>
    </row>
    <row r="14" spans="2:48" ht="20.100000000000001" customHeight="1">
      <c r="B14" s="83" t="s">
        <v>172</v>
      </c>
      <c r="C14" s="162" t="str">
        <f>IFERROR(VLOOKUP("Company (Real)",'[1]Company 12'!$B:$C,2,0),"")</f>
        <v>Lidl Belgium</v>
      </c>
      <c r="D14" s="84" t="str">
        <f>IFERROR(VLOOKUP("Interviewee Position",'[1]Company 12'!$B:$C,2,0),"")</f>
        <v>Marketing / Commercial Director</v>
      </c>
      <c r="E14" s="84" t="str">
        <f>IFERROR(VLOOKUP("Company Industry",'[1]Company 12'!$B:$C,2,0),"")</f>
        <v>Grocery Retail</v>
      </c>
      <c r="F14" s="84" t="str">
        <f>IFERROR(VLOOKUP("Company Sub-Industry",'[1]Company 12'!$B:$C,2,0),"")</f>
        <v>Retailer</v>
      </c>
      <c r="G14" s="3">
        <f>IFERROR(VLOOKUP("Company Size (Turnover)",'[1]Company 12'!$B:$C,2,0),"")</f>
        <v>3240000000</v>
      </c>
      <c r="H14" s="84" t="str">
        <f>IFERROR(VLOOKUP("Country",'[1]Company 12'!$B:$C,2,0),"")</f>
        <v>Germany</v>
      </c>
      <c r="I14" s="165">
        <v>1.5</v>
      </c>
      <c r="J14" s="85">
        <f>IFERROR(VLOOKUP("B2_SHARING",'[1]Company 12'!$B:$E,4,0),"")</f>
        <v>1</v>
      </c>
      <c r="K14" s="85">
        <f>IFERROR(VLOOKUP("B3_MONETIZE",'[1]Company 12'!$B:$E,4,0),"")</f>
        <v>0</v>
      </c>
      <c r="L14" s="85" t="s">
        <v>456</v>
      </c>
      <c r="M14" s="85">
        <f>IFERROR(VLOOKUP("M1_AUTOMATED",'[1]Company 12'!$B:$E,4,0),"")</f>
        <v>0</v>
      </c>
      <c r="N14" s="85">
        <f>IFERROR(VLOOKUP("M2_REALTIME",'[1]Company 12'!$B:$E,4,0),"")</f>
        <v>0</v>
      </c>
      <c r="O14" s="85">
        <f>IFERROR(VLOOKUP("M3_STRATEGIC",'[1]Company 12'!$B:$E,4,0),"")</f>
        <v>2</v>
      </c>
      <c r="P14" s="85">
        <f>IFERROR(VLOOKUP("M4_BREADTH",'[1]Company 12'!$B:$E,4,0),"")</f>
        <v>1</v>
      </c>
      <c r="Q14" s="85">
        <f>IFERROR(VLOOKUP("M5_DATATYPES",'[1]Company 12'!$B:$E,4,0),"")</f>
        <v>2</v>
      </c>
      <c r="R14" s="85">
        <f>IFERROR(VLOOKUP("M6_TRUST",'[1]Company 12'!$B:$E,4,0),"")</f>
        <v>0</v>
      </c>
      <c r="S14" s="85">
        <f>IFERROR(VLOOKUP("M7_BARRIERS",'[1]Company 12'!$B:$E,4,0),"")</f>
        <v>4</v>
      </c>
      <c r="T14" s="85">
        <f>IFERROR(VLOOKUP("M8_IMPACT",'[1]Company 12'!$B:$E,4,0),"")</f>
        <v>4</v>
      </c>
      <c r="U14" s="85">
        <f>IFERROR(VLOOKUP("M9_WILLINGNESS",'[1]Company 12'!$B:$E,4,0),"")</f>
        <v>3</v>
      </c>
      <c r="V14" s="85">
        <f>IFERROR(VLOOKUP("SV1_PRICING",'[1]Company 12'!$B:$E,4,0),"")</f>
        <v>0</v>
      </c>
      <c r="W14" s="85">
        <f>IFERROR(VLOOKUP("SV2_PROMOTIONS",'[1]Company 12'!$B:$E,4,0),"")</f>
        <v>1</v>
      </c>
      <c r="X14" s="85">
        <f>IFERROR(VLOOKUP("SV3_SUPPLYCHAIN",'[1]Company 12'!$B:$E,4,0),"")</f>
        <v>1</v>
      </c>
      <c r="Y14" s="85">
        <f>IFERROR(VLOOKUP("SV4_CATEGORY",'[1]Company 12'!$B:$E,4,0),"")</f>
        <v>0</v>
      </c>
      <c r="Z14" s="85">
        <f>IFERROR(VLOOKUP("SV5_DEMAND",'[1]Company 12'!$B:$E,4,0),"")</f>
        <v>1</v>
      </c>
      <c r="AA14" s="85">
        <f>IFERROR(VLOOKUP("SV6_ACCOUNT",'[1]Company 12'!$B:$E,4,0),"")</f>
        <v>0</v>
      </c>
      <c r="AB14" s="85">
        <f>IFERROR(VLOOKUP("SV7_OPS",'[1]Company 12'!$B:$E,4,0),"")</f>
        <v>0</v>
      </c>
      <c r="AC14" s="85">
        <f>IFERROR(VLOOKUP("SC1_DATASENS",'[1]Company 12'!$B:$E,4,0),"")</f>
        <v>1</v>
      </c>
      <c r="AD14" s="85">
        <f>IFERROR(VLOOKUP("SC2_COMPLIANCE",'[1]Company 12'!$B:$E,4,0),"")</f>
        <v>1</v>
      </c>
      <c r="AE14" s="85">
        <f>IFERROR(VLOOKUP("SC3_TRUST",'[1]Company 12'!$B:$E,4,0),"")</f>
        <v>0</v>
      </c>
      <c r="AF14" s="85">
        <f>IFERROR(VLOOKUP("SC4_DATAPROC",'[1]Company 12'!$B:$E,4,0),"")</f>
        <v>0</v>
      </c>
      <c r="AG14" s="85">
        <f>IFERROR(VLOOKUP("SF1_REALTIME",'[1]Company 12'!$B:$E,4,0),"")</f>
        <v>0</v>
      </c>
      <c r="AH14" s="85">
        <f>IFERROR(VLOOKUP("SF2_ACCESS",'[1]Company 12'!$B:$E,4,0),"")</f>
        <v>0</v>
      </c>
      <c r="AI14" s="85">
        <f>IFERROR(VLOOKUP("SF3_UX",'[1]Company 12'!$B:$E,4,0),"")</f>
        <v>0</v>
      </c>
      <c r="AJ14" s="85">
        <f>IFERROR(VLOOKUP("SF4_DECISION",'[1]Company 12'!$B:$E,4,0),"")</f>
        <v>0</v>
      </c>
      <c r="AK14" s="85">
        <f>IFERROR(VLOOKUP("SF5_MASKING",'[1]Company 12'!$B:$E,4,0),"")</f>
        <v>1</v>
      </c>
      <c r="AL14" s="85">
        <f>IFERROR(VLOOKUP("SD1_TRENDS",'[1]Company 12'!$B:$E,4,0),"")</f>
        <v>1</v>
      </c>
      <c r="AM14" s="85">
        <f>IFERROR(VLOOKUP("SD2_MARKET",'[1]Company 12'!$B:$E,4,0),"")</f>
        <v>1</v>
      </c>
      <c r="AN14" s="85">
        <f>IFERROR(VLOOKUP("SD3_CATEGORY",'[1]Company 12'!$B:$E,4,0),"")</f>
        <v>0</v>
      </c>
      <c r="AO14" s="85">
        <f>IFERROR(VLOOKUP("SD4_SHIPMENT",'[1]Company 12'!$B:$E,4,0),"")</f>
        <v>1</v>
      </c>
      <c r="AP14" s="85">
        <f>IFERROR(VLOOKUP("SD5_LEAD",'[1]Company 12'!$B:$E,4,0),"")</f>
        <v>0</v>
      </c>
      <c r="AQ14" s="85">
        <f>IFERROR(VLOOKUP("SD6_CONJOINT",'[1]Company 12'!$B:$E,4,0),"")</f>
        <v>0</v>
      </c>
      <c r="AR14" s="5">
        <v>1.5</v>
      </c>
      <c r="AS14" s="167" t="s">
        <v>484</v>
      </c>
      <c r="AT14" s="166" t="s">
        <v>485</v>
      </c>
      <c r="AU14" s="167" t="s">
        <v>486</v>
      </c>
      <c r="AV14" s="164"/>
    </row>
    <row r="15" spans="2:48" ht="20.100000000000001" customHeight="1">
      <c r="B15" s="83" t="s">
        <v>173</v>
      </c>
      <c r="C15" s="162" t="str">
        <f>IFERROR(VLOOKUP("Company (Real)",'[1]Company 13'!$B:$C,2,0),"")</f>
        <v>Edgard &amp; Cooper</v>
      </c>
      <c r="D15" s="84" t="str">
        <f>IFERROR(VLOOKUP("Interviewee Position",'[1]Company 13'!$B:$C,2,0),"")</f>
        <v>Data Lead / Head of IT &amp; ERP</v>
      </c>
      <c r="E15" s="84" t="str">
        <f>IFERROR(VLOOKUP("Company Industry",'[1]Company 13'!$B:$C,2,0),"")</f>
        <v>Pet Food Manufacturing</v>
      </c>
      <c r="F15" s="84" t="str">
        <f>IFERROR(VLOOKUP("Company Sub-Industry",'[1]Company 13'!$B:$C,2,0),"")</f>
        <v>Manufacturer</v>
      </c>
      <c r="G15" s="3">
        <f>IFERROR(VLOOKUP("Company Size (Turnover)",'[1]Company 13'!$B:$C,2,0),"")</f>
        <v>140000000</v>
      </c>
      <c r="H15" s="84" t="str">
        <f>IFERROR(VLOOKUP("Country",'[1]Company 13'!$B:$C,2,0),"")</f>
        <v>Belgium</v>
      </c>
      <c r="I15" s="165">
        <v>4.5</v>
      </c>
      <c r="J15" s="85">
        <f>IFERROR(VLOOKUP("B2_SHARING",'[1]Company 13'!$B:$E,4,0),"")</f>
        <v>1</v>
      </c>
      <c r="K15" s="85">
        <f>IFERROR(VLOOKUP("B3_MONETIZE",'[1]Company 13'!$B:$E,4,0),"")</f>
        <v>0</v>
      </c>
      <c r="L15" s="85" t="s">
        <v>452</v>
      </c>
      <c r="M15" s="85">
        <f>IFERROR(VLOOKUP("M1_AUTOMATED",'[1]Company 13'!$B:$E,4,0),"")</f>
        <v>3</v>
      </c>
      <c r="N15" s="85">
        <f>IFERROR(VLOOKUP("M2_REALTIME",'[1]Company 13'!$B:$E,4,0),"")</f>
        <v>3</v>
      </c>
      <c r="O15" s="85">
        <f>IFERROR(VLOOKUP("M3_STRATEGIC",'[1]Company 13'!$B:$E,4,0),"")</f>
        <v>4</v>
      </c>
      <c r="P15" s="85">
        <f>IFERROR(VLOOKUP("M4_BREADTH",'[1]Company 13'!$B:$E,4,0),"")</f>
        <v>3</v>
      </c>
      <c r="Q15" s="85">
        <f>IFERROR(VLOOKUP("M5_DATATYPES",'[1]Company 13'!$B:$E,4,0),"")</f>
        <v>4</v>
      </c>
      <c r="R15" s="85">
        <f>IFERROR(VLOOKUP("M6_TRUST",'[1]Company 13'!$B:$E,4,0),"")</f>
        <v>2</v>
      </c>
      <c r="S15" s="85">
        <f>IFERROR(VLOOKUP("M7_BARRIERS",'[1]Company 13'!$B:$E,4,0),"")</f>
        <v>3</v>
      </c>
      <c r="T15" s="85">
        <f>IFERROR(VLOOKUP("M8_IMPACT",'[1]Company 13'!$B:$E,4,0),"")</f>
        <v>3</v>
      </c>
      <c r="U15" s="85">
        <f>IFERROR(VLOOKUP("M9_WILLINGNESS",'[1]Company 13'!$B:$E,4,0),"")</f>
        <v>9</v>
      </c>
      <c r="V15" s="85">
        <f>IFERROR(VLOOKUP("SV1_PRICING",'[1]Company 13'!$B:$E,4,0),"")</f>
        <v>0</v>
      </c>
      <c r="W15" s="85">
        <f>IFERROR(VLOOKUP("SV2_PROMOTIONS",'[1]Company 13'!$B:$E,4,0),"")</f>
        <v>1</v>
      </c>
      <c r="X15" s="85">
        <f>IFERROR(VLOOKUP("SV3_SUPPLYCHAIN",'[1]Company 13'!$B:$E,4,0),"")</f>
        <v>1</v>
      </c>
      <c r="Y15" s="85">
        <f>IFERROR(VLOOKUP("SV4_CATEGORY",'[1]Company 13'!$B:$E,4,0),"")</f>
        <v>1</v>
      </c>
      <c r="Z15" s="85">
        <f>IFERROR(VLOOKUP("SV5_DEMAND",'[1]Company 13'!$B:$E,4,0),"")</f>
        <v>0</v>
      </c>
      <c r="AA15" s="85">
        <f>IFERROR(VLOOKUP("SV6_ACCOUNT",'[1]Company 13'!$B:$E,4,0),"")</f>
        <v>0</v>
      </c>
      <c r="AB15" s="85">
        <f>IFERROR(VLOOKUP("SV7_OPS",'[1]Company 13'!$B:$E,4,0),"")</f>
        <v>1</v>
      </c>
      <c r="AC15" s="85">
        <f>IFERROR(VLOOKUP("SC1_DATASENS",'[1]Company 13'!$B:$E,4,0),"")</f>
        <v>1</v>
      </c>
      <c r="AD15" s="85">
        <f>IFERROR(VLOOKUP("SC2_COMPLIANCE",'[1]Company 13'!$B:$E,4,0),"")</f>
        <v>1</v>
      </c>
      <c r="AE15" s="85">
        <f>IFERROR(VLOOKUP("SC3_TRUST",'[1]Company 13'!$B:$E,4,0),"")</f>
        <v>1</v>
      </c>
      <c r="AF15" s="85">
        <f>IFERROR(VLOOKUP("SC4_DATAPROC",'[1]Company 13'!$B:$E,4,0),"")</f>
        <v>1</v>
      </c>
      <c r="AG15" s="85">
        <f>IFERROR(VLOOKUP("SF1_REALTIME",'[1]Company 13'!$B:$E,4,0),"")</f>
        <v>0</v>
      </c>
      <c r="AH15" s="85">
        <f>IFERROR(VLOOKUP("SF2_ACCESS",'[1]Company 13'!$B:$E,4,0),"")</f>
        <v>1</v>
      </c>
      <c r="AI15" s="85">
        <f>IFERROR(VLOOKUP("SF3_UX",'[1]Company 13'!$B:$E,4,0),"")</f>
        <v>0</v>
      </c>
      <c r="AJ15" s="85">
        <f>IFERROR(VLOOKUP("SF4_DECISION",'[1]Company 13'!$B:$E,4,0),"")</f>
        <v>1</v>
      </c>
      <c r="AK15" s="85">
        <f>IFERROR(VLOOKUP("SF5_MASKING",'[1]Company 13'!$B:$E,4,0),"")</f>
        <v>1</v>
      </c>
      <c r="AL15" s="85">
        <f>IFERROR(VLOOKUP("SD1_TRENDS",'[1]Company 13'!$B:$E,4,0),"")</f>
        <v>1</v>
      </c>
      <c r="AM15" s="85">
        <f>IFERROR(VLOOKUP("SD2_MARKET",'[1]Company 13'!$B:$E,4,0),"")</f>
        <v>1</v>
      </c>
      <c r="AN15" s="85">
        <f>IFERROR(VLOOKUP("SD3_CATEGORY",'[1]Company 13'!$B:$E,4,0),"")</f>
        <v>1</v>
      </c>
      <c r="AO15" s="85">
        <f>IFERROR(VLOOKUP("SD4_SHIPMENT",'[1]Company 13'!$B:$E,4,0),"")</f>
        <v>1</v>
      </c>
      <c r="AP15" s="85">
        <f>IFERROR(VLOOKUP("SD5_LEAD",'[1]Company 13'!$B:$E,4,0),"")</f>
        <v>1</v>
      </c>
      <c r="AQ15" s="85">
        <f>IFERROR(VLOOKUP("SD6_CONJOINT",'[1]Company 13'!$B:$E,4,0),"")</f>
        <v>0</v>
      </c>
      <c r="AR15" s="5">
        <v>3.5</v>
      </c>
      <c r="AS15" s="166" t="s">
        <v>487</v>
      </c>
      <c r="AT15" s="166" t="s">
        <v>488</v>
      </c>
      <c r="AU15" s="167" t="s">
        <v>489</v>
      </c>
      <c r="AV15" s="164"/>
    </row>
    <row r="16" spans="2:48" ht="20.100000000000001" customHeight="1">
      <c r="B16" s="83" t="s">
        <v>174</v>
      </c>
      <c r="C16" s="162" t="str">
        <f>IFERROR(VLOOKUP("Company (Real)",'[1]Company 14'!$B:$C,2,0),"")</f>
        <v>Roche Belgium</v>
      </c>
      <c r="D16" s="84" t="str">
        <f>IFERROR(VLOOKUP("Interviewee Position",'[1]Company 14'!$B:$C,2,0),"")</f>
        <v>Product Manager — Neuroscience/MS</v>
      </c>
      <c r="E16" s="84" t="str">
        <f>IFERROR(VLOOKUP("Company Industry",'[1]Company 14'!$B:$C,2,0),"")</f>
        <v>Pharma</v>
      </c>
      <c r="F16" s="84" t="str">
        <f>IFERROR(VLOOKUP("Company Sub-Industry",'[1]Company 11'!$B:$C,2,0),"")</f>
        <v>Specialty Retail</v>
      </c>
      <c r="G16" s="3">
        <f>IFERROR(VLOOKUP("Company Size (Turnover)",'[1]Company 14'!$B:$C,2,0),"")</f>
        <v>403337149</v>
      </c>
      <c r="H16" s="84" t="str">
        <f>IFERROR(VLOOKUP("Country",'[1]Company 14'!$B:$C,2,0),"")</f>
        <v>Switzerland</v>
      </c>
      <c r="I16" s="165">
        <v>1</v>
      </c>
      <c r="J16" s="85">
        <f>IFERROR(VLOOKUP("B2_SHARING",'[1]Company 14'!$B:$E,4,0),"")</f>
        <v>1</v>
      </c>
      <c r="K16" s="85">
        <f>IFERROR(VLOOKUP("B3_MONETIZE",'[1]Company 14'!$B:$E,4,0),"")</f>
        <v>0</v>
      </c>
      <c r="L16" s="85" t="s">
        <v>456</v>
      </c>
      <c r="M16" s="85">
        <f>IFERROR(VLOOKUP("M1_AUTOMATED",'[1]Company 14'!$B:$E,4,0),"")</f>
        <v>2</v>
      </c>
      <c r="N16" s="85">
        <f>IFERROR(VLOOKUP("M2_REALTIME",'[1]Company 14'!$B:$E,4,0),"")</f>
        <v>2</v>
      </c>
      <c r="O16" s="85">
        <f>IFERROR(VLOOKUP("M3_STRATEGIC",'[1]Company 14'!$B:$E,4,0),"")</f>
        <v>3</v>
      </c>
      <c r="P16" s="85">
        <f>IFERROR(VLOOKUP("M4_BREADTH",'[1]Company 14'!$B:$E,4,0),"")</f>
        <v>1</v>
      </c>
      <c r="Q16" s="85">
        <f>IFERROR(VLOOKUP("M5_DATATYPES",'[1]Company 14'!$B:$E,4,0),"")</f>
        <v>2</v>
      </c>
      <c r="R16" s="85">
        <f>IFERROR(VLOOKUP("M6_TRUST",'[1]Company 14'!$B:$E,4,0),"")</f>
        <v>2</v>
      </c>
      <c r="S16" s="85">
        <f>IFERROR(VLOOKUP("M7_BARRIERS",'[1]Company 14'!$B:$E,4,0),"")</f>
        <v>4</v>
      </c>
      <c r="T16" s="85">
        <f>IFERROR(VLOOKUP("M8_IMPACT",'[1]Company 14'!$B:$E,4,0),"")</f>
        <v>3</v>
      </c>
      <c r="U16" s="85">
        <f>IFERROR(VLOOKUP("M9_WILLINGNESS",'[1]Company 14'!$B:$E,4,0),"")</f>
        <v>2</v>
      </c>
      <c r="V16" s="85">
        <f>IFERROR(VLOOKUP("SV1_PRICING",'[1]Company 14'!$B:$E,4,0),"")</f>
        <v>0</v>
      </c>
      <c r="W16" s="85">
        <f>IFERROR(VLOOKUP("SV2_PROMOTIONS",'[1]Company 14'!$B:$E,4,0),"")</f>
        <v>0</v>
      </c>
      <c r="X16" s="85">
        <f>IFERROR(VLOOKUP("SV3_SUPPLYCHAIN",'[1]Company 14'!$B:$E,4,0),"")</f>
        <v>1</v>
      </c>
      <c r="Y16" s="85">
        <f>IFERROR(VLOOKUP("SV4_CATEGORY",'[1]Company 14'!$B:$E,4,0),"")</f>
        <v>0</v>
      </c>
      <c r="Z16" s="85">
        <f>IFERROR(VLOOKUP("SV5_DEMAND",'[1]Company 14'!$B:$E,4,0),"")</f>
        <v>1</v>
      </c>
      <c r="AA16" s="85">
        <f>IFERROR(VLOOKUP("SV6_ACCOUNT",'[1]Company 14'!$B:$E,4,0),"")</f>
        <v>0</v>
      </c>
      <c r="AB16" s="85">
        <f>IFERROR(VLOOKUP("SV7_OPS",'[1]Company 14'!$B:$E,4,0),"")</f>
        <v>0</v>
      </c>
      <c r="AC16" s="85">
        <f>IFERROR(VLOOKUP("SC1_DATASENS",'[1]Company 14'!$B:$E,4,0),"")</f>
        <v>1</v>
      </c>
      <c r="AD16" s="85">
        <f>IFERROR(VLOOKUP("SC2_COMPLIANCE",'[1]Company 14'!$B:$E,4,0),"")</f>
        <v>1</v>
      </c>
      <c r="AE16" s="85">
        <f>IFERROR(VLOOKUP("SC3_TRUST",'[1]Company 14'!$B:$E,4,0),"")</f>
        <v>1</v>
      </c>
      <c r="AF16" s="85">
        <f>IFERROR(VLOOKUP("SC4_DATAPROC",'[1]Company 14'!$B:$E,4,0),"")</f>
        <v>1</v>
      </c>
      <c r="AG16" s="85">
        <f>IFERROR(VLOOKUP("SF1_REALTIME",'[1]Company 14'!$B:$E,4,0),"")</f>
        <v>0</v>
      </c>
      <c r="AH16" s="85">
        <f>IFERROR(VLOOKUP("SF2_ACCESS",'[1]Company 14'!$B:$E,4,0),"")</f>
        <v>0</v>
      </c>
      <c r="AI16" s="85">
        <f>IFERROR(VLOOKUP("SF3_UX",'[1]Company 14'!$B:$E,4,0),"")</f>
        <v>1</v>
      </c>
      <c r="AJ16" s="85">
        <f>IFERROR(VLOOKUP("SF4_DECISION",'[1]Company 14'!$B:$E,4,0),"")</f>
        <v>0</v>
      </c>
      <c r="AK16" s="85">
        <f>IFERROR(VLOOKUP("SF5_MASKING",'[1]Company 14'!$B:$E,4,0),"")</f>
        <v>1</v>
      </c>
      <c r="AL16" s="85">
        <f>IFERROR(VLOOKUP("SD1_TRENDS",'[1]Company 14'!$B:$E,4,0),"")</f>
        <v>1</v>
      </c>
      <c r="AM16" s="85">
        <f>IFERROR(VLOOKUP("SD2_MARKET",'[1]Company 14'!$B:$E,4,0),"")</f>
        <v>1</v>
      </c>
      <c r="AN16" s="85">
        <f>IFERROR(VLOOKUP("SD3_CATEGORY",'[1]Company 14'!$B:$E,4,0),"")</f>
        <v>0</v>
      </c>
      <c r="AO16" s="85">
        <f>IFERROR(VLOOKUP("SD4_SHIPMENT",'[1]Company 14'!$B:$E,4,0),"")</f>
        <v>0</v>
      </c>
      <c r="AP16" s="85">
        <f>IFERROR(VLOOKUP("SD5_LEAD",'[1]Company 14'!$B:$E,4,0),"")</f>
        <v>0</v>
      </c>
      <c r="AQ16" s="85">
        <f>IFERROR(VLOOKUP("SD6_CONJOINT",'[1]Company 14'!$B:$E,4,0),"")</f>
        <v>0</v>
      </c>
      <c r="AR16" s="5">
        <v>0.5</v>
      </c>
      <c r="AS16" s="167" t="s">
        <v>490</v>
      </c>
      <c r="AT16" s="166" t="s">
        <v>491</v>
      </c>
      <c r="AU16" s="167" t="s">
        <v>492</v>
      </c>
    </row>
    <row r="17" spans="2:47" ht="20.100000000000001" customHeight="1">
      <c r="B17" s="83" t="s">
        <v>175</v>
      </c>
      <c r="C17" s="162" t="str">
        <f>IFERROR(VLOOKUP("Company (Real)",'[2]Company 15'!$B:$C,2,0),"")</f>
        <v>Ginger Jack</v>
      </c>
      <c r="D17" s="84" t="str">
        <f>IFERROR(VLOOKUP("Interviewee Position",'[2]Company 15'!$B:$C,2,0),"")</f>
        <v>CEO / Founder</v>
      </c>
      <c r="E17" s="84" t="str">
        <f>IFERROR(VLOOKUP("Company Industry",'[2]Company 15'!$B:$C,2,0),"")</f>
        <v>Beverage Manufacturing</v>
      </c>
      <c r="F17" s="84" t="str">
        <f>IFERROR(VLOOKUP("Company Sub-Industry",'[2]Company 15'!$B:$C,2,0),"")</f>
        <v>Manufacturer</v>
      </c>
      <c r="G17" s="3">
        <f>IFERROR(VLOOKUP("Company Size (Turnover)",'[2]Company 15'!$B:$C,2,0),"")</f>
        <v>3000000</v>
      </c>
      <c r="H17" s="84" t="str">
        <f>IFERROR(VLOOKUP("Country",'[2]Company 15'!$B:$C,2,0),"")</f>
        <v>Belgium</v>
      </c>
      <c r="I17" s="85">
        <f>IFERROR(VLOOKUP("B1_INTEREST",'[2]Company 15'!$B:$E,4,0),"")</f>
        <v>10</v>
      </c>
      <c r="J17" s="85">
        <f>IFERROR(VLOOKUP("B2_SHARING",'[2]Company 15'!$B:$E,4,0),"")</f>
        <v>1</v>
      </c>
      <c r="K17" s="85">
        <f>IFERROR(VLOOKUP("B3_MONETIZE",'[2]Company 15'!$B:$E,4,0),"")</f>
        <v>0</v>
      </c>
      <c r="L17" s="85" t="s">
        <v>452</v>
      </c>
      <c r="M17" s="85">
        <f>IFERROR(VLOOKUP("M1_AUTOMATED",'[2]Company 15'!$B:$E,4,0),"")</f>
        <v>3</v>
      </c>
      <c r="N17" s="85">
        <f>IFERROR(VLOOKUP("M2_REALTIME",'[2]Company 15'!$B:$E,4,0),"")</f>
        <v>3</v>
      </c>
      <c r="O17" s="85">
        <f>IFERROR(VLOOKUP("M3_STRATEGIC",'[2]Company 15'!$B:$E,4,0),"")</f>
        <v>3</v>
      </c>
      <c r="P17" s="85">
        <f>IFERROR(VLOOKUP("M4_BREADTH",'[2]Company 15'!$B:$E,4,0),"")</f>
        <v>2</v>
      </c>
      <c r="Q17" s="85">
        <f>IFERROR(VLOOKUP("M5_DATATYPES",'[2]Company 15'!$B:$E,4,0),"")</f>
        <v>2</v>
      </c>
      <c r="R17" s="85">
        <f>IFERROR(VLOOKUP("M6_TRUST",'[2]Company 15'!$B:$E,4,0),"")</f>
        <v>0</v>
      </c>
      <c r="S17" s="85">
        <f>IFERROR(VLOOKUP("M7_BARRIERS",'[2]Company 15'!$B:$E,4,0),"")</f>
        <v>3</v>
      </c>
      <c r="T17" s="85">
        <f>IFERROR(VLOOKUP("M8_IMPACT",'[2]Company 15'!$B:$E,4,0),"")</f>
        <v>2</v>
      </c>
      <c r="U17" s="85">
        <f>IFERROR(VLOOKUP("M9_WILLINGNESS",'[2]Company 15'!$B:$E,4,0),"")</f>
        <v>10</v>
      </c>
      <c r="V17" s="85">
        <f>IFERROR(VLOOKUP("SV1_PRICING",'[2]Company 15'!$B:$E,4,0),"")</f>
        <v>0</v>
      </c>
      <c r="W17" s="85">
        <f>IFERROR(VLOOKUP("SV2_PROMOTIONS",'[2]Company 15'!$B:$E,4,0),"")</f>
        <v>0</v>
      </c>
      <c r="X17" s="85">
        <f>IFERROR(VLOOKUP("SV3_SUPPLYCHAIN",'[2]Company 15'!$B:$E,4,0),"")</f>
        <v>1</v>
      </c>
      <c r="Y17" s="85">
        <f>IFERROR(VLOOKUP("SV4_CATEGORY",'[2]Company 15'!$B:$E,4,0),"")</f>
        <v>0</v>
      </c>
      <c r="Z17" s="85">
        <f>IFERROR(VLOOKUP("SV5_DEMAND",'[2]Company 15'!$B:$E,4,0),"")</f>
        <v>1</v>
      </c>
      <c r="AA17" s="85">
        <f>IFERROR(VLOOKUP("SV6_ACCOUNT",'[2]Company 15'!$B:$E,4,0),"")</f>
        <v>0</v>
      </c>
      <c r="AB17" s="85">
        <f>IFERROR(VLOOKUP("SV7_OPS",'[2]Company 15'!$B:$E,4,0),"")</f>
        <v>1</v>
      </c>
      <c r="AC17" s="85">
        <f>IFERROR(VLOOKUP("SC1_DATASENS",'[2]Company 15'!$B:$E,4,0),"")</f>
        <v>0</v>
      </c>
      <c r="AD17" s="85">
        <f>IFERROR(VLOOKUP("SC2_COMPLIANCE",'[2]Company 15'!$B:$E,4,0),"")</f>
        <v>0</v>
      </c>
      <c r="AE17" s="85">
        <f>IFERROR(VLOOKUP("SC3_TRUST",'[2]Company 15'!$B:$E,4,0),"")</f>
        <v>0</v>
      </c>
      <c r="AF17" s="85">
        <f>IFERROR(VLOOKUP("SC4_DATAPROC",'[2]Company 15'!$B:$E,4,0),"")</f>
        <v>0</v>
      </c>
      <c r="AG17" s="85">
        <f>IFERROR(VLOOKUP("SF1_REALTIME",'[2]Company 15'!$B:$E,4,0),"")</f>
        <v>1</v>
      </c>
      <c r="AH17" s="85">
        <f>IFERROR(VLOOKUP("SF2_ACCESS",'[2]Company 15'!$B:$E,4,0),"")</f>
        <v>0</v>
      </c>
      <c r="AI17" s="85">
        <f>IFERROR(VLOOKUP("SF3_UX",'[2]Company 15'!$B:$E,4,0),"")</f>
        <v>1</v>
      </c>
      <c r="AJ17" s="85">
        <f>IFERROR(VLOOKUP("SF4_DECISION",'[2]Company 15'!$B:$E,4,0),"")</f>
        <v>0</v>
      </c>
      <c r="AK17" s="85">
        <f>IFERROR(VLOOKUP("SF5_MASKING",'[2]Company 15'!$B:$E,4,0),"")</f>
        <v>0</v>
      </c>
      <c r="AL17" s="85">
        <f>IFERROR(VLOOKUP("SD1_TRENDS",'[2]Company 15'!$B:$E,4,0),"")</f>
        <v>0</v>
      </c>
      <c r="AM17" s="85">
        <f>IFERROR(VLOOKUP("SD2_MARKET",'[2]Company 15'!$B:$E,4,0),"")</f>
        <v>0</v>
      </c>
      <c r="AN17" s="85">
        <f>IFERROR(VLOOKUP("SD3_CATEGORY",'[2]Company 15'!$B:$E,4,0),"")</f>
        <v>0</v>
      </c>
      <c r="AO17" s="85">
        <f>IFERROR(VLOOKUP("SD4_SHIPMENT",'[2]Company 15'!$B:$E,4,0),"")</f>
        <v>1</v>
      </c>
      <c r="AP17" s="85">
        <f>IFERROR(VLOOKUP("SD5_LEAD",'[2]Company 15'!$B:$E,4,0),"")</f>
        <v>1</v>
      </c>
      <c r="AQ17" s="85">
        <f>IFERROR(VLOOKUP("SD6_CONJOINT",'[2]Company 15'!$B:$E,4,0),"")</f>
        <v>0</v>
      </c>
      <c r="AS17" s="166" t="s">
        <v>493</v>
      </c>
      <c r="AT17" s="166" t="s">
        <v>494</v>
      </c>
      <c r="AU17" s="166" t="s">
        <v>495</v>
      </c>
    </row>
    <row r="18" spans="2:47" ht="20.100000000000001" customHeight="1">
      <c r="B18" s="83" t="s">
        <v>176</v>
      </c>
      <c r="C18" s="162" t="str">
        <f>IFERROR(VLOOKUP("Company (Real)",'[2]Company 16'!$B:$C,2,0),"")</f>
        <v>Hanos Belgium</v>
      </c>
      <c r="D18" s="84" t="str">
        <f>IFERROR(VLOOKUP("Interviewee Position",'[2]Company 16'!$B:$C,2,0),"")</f>
        <v>Commercial Manager Belgium</v>
      </c>
      <c r="E18" s="84" t="str">
        <f>IFERROR(VLOOKUP("Company Industry",'[2]Company 16'!$B:$C,2,0),"")</f>
        <v>Food Wholesale</v>
      </c>
      <c r="F18" s="84" t="str">
        <f>IFERROR(VLOOKUP("Company Sub-Industry",'[2]Company 16'!$B:$C,2,0),"")</f>
        <v>Wholesaler</v>
      </c>
      <c r="G18" s="3">
        <f>IFERROR(VLOOKUP("Company Size (Turnover)",'[2]Company 16'!$B:$C,2,0),"")</f>
        <v>104000000</v>
      </c>
      <c r="H18" s="84" t="str">
        <f>IFERROR(VLOOKUP("Country",'[2]Company 16'!$B:$C,2,0),"")</f>
        <v>Belgium</v>
      </c>
      <c r="I18" s="85">
        <f>IFERROR(VLOOKUP("B1_INTEREST",'[2]Company 16'!$B:$E,4,0),"")</f>
        <v>2</v>
      </c>
      <c r="J18" s="85">
        <f>IFERROR(VLOOKUP("B2_SHARING",'[2]Company 16'!$B:$E,4,0),"")</f>
        <v>1</v>
      </c>
      <c r="K18" s="85">
        <f>IFERROR(VLOOKUP("B3_MONETIZE",'[2]Company 16'!$B:$E,4,0),"")</f>
        <v>0</v>
      </c>
      <c r="L18" s="85" t="s">
        <v>456</v>
      </c>
      <c r="M18" s="85">
        <f>IFERROR(VLOOKUP("M1_AUTOMATED",'[2]Company 16'!$B:$E,4,0),"")</f>
        <v>2</v>
      </c>
      <c r="N18" s="85">
        <f>IFERROR(VLOOKUP("M2_REALTIME",'[2]Company 16'!$B:$E,4,0),"")</f>
        <v>2</v>
      </c>
      <c r="O18" s="85">
        <f>IFERROR(VLOOKUP("M3_STRATEGIC",'[2]Company 16'!$B:$E,4,0),"")</f>
        <v>2</v>
      </c>
      <c r="P18" s="85">
        <f>IFERROR(VLOOKUP("M4_BREADTH",'[2]Company 16'!$B:$E,4,0),"")</f>
        <v>2</v>
      </c>
      <c r="Q18" s="85">
        <f>IFERROR(VLOOKUP("M5_DATATYPES",'[2]Company 16'!$B:$E,4,0),"")</f>
        <v>2</v>
      </c>
      <c r="R18" s="85">
        <f>IFERROR(VLOOKUP("M6_TRUST",'[2]Company 16'!$B:$E,4,0),"")</f>
        <v>2</v>
      </c>
      <c r="S18" s="85">
        <f>IFERROR(VLOOKUP("M7_BARRIERS",'[2]Company 16'!$B:$E,4,0),"")</f>
        <v>2</v>
      </c>
      <c r="T18" s="85">
        <f>IFERROR(VLOOKUP("M8_IMPACT",'[2]Company 16'!$B:$E,4,0),"")</f>
        <v>2</v>
      </c>
      <c r="U18" s="85">
        <f>IFERROR(VLOOKUP("M9_WILLINGNESS",'[2]Company 16'!$B:$E,4,0),"")</f>
        <v>2</v>
      </c>
      <c r="V18" s="85">
        <f>IFERROR(VLOOKUP("SV1_PRICING",'[2]Company 16'!$B:$E,4,0),"")</f>
        <v>1</v>
      </c>
      <c r="W18" s="85">
        <f>IFERROR(VLOOKUP("SV2_PROMOTIONS",'[2]Company 16'!$B:$E,4,0),"")</f>
        <v>1</v>
      </c>
      <c r="X18" s="85">
        <f>IFERROR(VLOOKUP("SV3_SUPPLYCHAIN",'[2]Company 16'!$B:$E,4,0),"")</f>
        <v>1</v>
      </c>
      <c r="Y18" s="85">
        <f>IFERROR(VLOOKUP("SV4_CATEGORY",'[2]Company 16'!$B:$E,4,0),"")</f>
        <v>1</v>
      </c>
      <c r="Z18" s="85">
        <f>IFERROR(VLOOKUP("SV5_DEMAND",'[2]Company 16'!$B:$E,4,0),"")</f>
        <v>1</v>
      </c>
      <c r="AA18" s="85">
        <f>IFERROR(VLOOKUP("SV6_ACCOUNT",'[2]Company 16'!$B:$E,4,0),"")</f>
        <v>0</v>
      </c>
      <c r="AB18" s="85">
        <f>IFERROR(VLOOKUP("SV7_OPS",'[2]Company 16'!$B:$E,4,0),"")</f>
        <v>0</v>
      </c>
      <c r="AC18" s="85">
        <f>IFERROR(VLOOKUP("SC1_DATASENS",'[2]Company 16'!$B:$E,4,0),"")</f>
        <v>1</v>
      </c>
      <c r="AD18" s="85">
        <f>IFERROR(VLOOKUP("SC2_COMPLIANCE",'[2]Company 16'!$B:$E,4,0),"")</f>
        <v>0</v>
      </c>
      <c r="AE18" s="85">
        <f>IFERROR(VLOOKUP("SC3_TRUST",'[2]Company 16'!$B:$E,4,0),"")</f>
        <v>1</v>
      </c>
      <c r="AF18" s="85">
        <f>IFERROR(VLOOKUP("SC4_DATAPROC",'[2]Company 16'!$B:$E,4,0),"")</f>
        <v>0</v>
      </c>
      <c r="AG18" s="85">
        <f>IFERROR(VLOOKUP("SF1_REALTIME",'[2]Company 16'!$B:$E,4,0),"")</f>
        <v>0</v>
      </c>
      <c r="AH18" s="85">
        <f>IFERROR(VLOOKUP("SF2_ACCESS",'[2]Company 16'!$B:$E,4,0),"")</f>
        <v>0</v>
      </c>
      <c r="AI18" s="85">
        <f>IFERROR(VLOOKUP("SF3_UX",'[2]Company 16'!$B:$E,4,0),"")</f>
        <v>0</v>
      </c>
      <c r="AJ18" s="85">
        <f>IFERROR(VLOOKUP("SF4_DECISION",'[2]Company 16'!$B:$E,4,0),"")</f>
        <v>0</v>
      </c>
      <c r="AK18" s="85">
        <f>IFERROR(VLOOKUP("SF5_MASKING",'[2]Company 16'!$B:$E,4,0),"")</f>
        <v>0</v>
      </c>
      <c r="AL18" s="85">
        <f>IFERROR(VLOOKUP("SD1_TRENDS",'[2]Company 16'!$B:$E,4,0),"")</f>
        <v>1</v>
      </c>
      <c r="AM18" s="85">
        <f>IFERROR(VLOOKUP("SD2_MARKET",'[2]Company 16'!$B:$E,4,0),"")</f>
        <v>1</v>
      </c>
      <c r="AN18" s="85">
        <f>IFERROR(VLOOKUP("SD3_CATEGORY",'[2]Company 16'!$B:$E,4,0),"")</f>
        <v>1</v>
      </c>
      <c r="AO18" s="85">
        <f>IFERROR(VLOOKUP("SD4_SHIPMENT",'[2]Company 16'!$B:$E,4,0),"")</f>
        <v>0</v>
      </c>
      <c r="AP18" s="85">
        <f>IFERROR(VLOOKUP("SD5_LEAD",'[2]Company 16'!$B:$E,4,0),"")</f>
        <v>0</v>
      </c>
      <c r="AQ18" s="85">
        <f>IFERROR(VLOOKUP("SD6_CONJOINT",'[2]Company 16'!$B:$E,4,0),"")</f>
        <v>0</v>
      </c>
      <c r="AS18" s="166" t="s">
        <v>496</v>
      </c>
      <c r="AT18" s="166" t="s">
        <v>497</v>
      </c>
      <c r="AU18" s="167" t="s">
        <v>498</v>
      </c>
    </row>
    <row r="19" spans="2:47" ht="20.100000000000001" customHeight="1">
      <c r="B19" s="83" t="s">
        <v>177</v>
      </c>
      <c r="C19" s="162" t="str">
        <f>IFERROR(VLOOKUP("Company (Real)",'[2]Company 17'!$B:$C,2,0),"")</f>
        <v>SPAR International</v>
      </c>
      <c r="D19" s="84" t="str">
        <f>IFERROR(VLOOKUP("Interviewee Position",'[2]Company 17'!$B:$C,2,0),"")</f>
        <v>Category Buyer — Private Label</v>
      </c>
      <c r="E19" s="84" t="str">
        <f>IFERROR(VLOOKUP("Company Industry",'[2]Company 17'!$B:$C,2,0),"")</f>
        <v>Grocery Retail</v>
      </c>
      <c r="F19" s="84" t="str">
        <f>IFERROR(VLOOKUP("Company Sub-Industry",'[2]Company 17'!$B:$C,2,0),"")</f>
        <v>Retailer</v>
      </c>
      <c r="G19" s="3">
        <f>IFERROR(VLOOKUP("Company Size (Turnover)",'[2]Company 17'!$B:$C,2,0),"")</f>
        <v>150000000</v>
      </c>
      <c r="H19" s="84" t="str">
        <f>IFERROR(VLOOKUP("Country",'[2]Company 17'!$B:$C,2,0),"")</f>
        <v>Austria</v>
      </c>
      <c r="I19" s="85">
        <f>IFERROR(VLOOKUP("B1_INTEREST",'[2]Company 17'!$B:$E,4,0),"")</f>
        <v>6</v>
      </c>
      <c r="J19" s="85">
        <f>IFERROR(VLOOKUP("B2_SHARING",'[2]Company 17'!$B:$E,4,0),"")</f>
        <v>1</v>
      </c>
      <c r="K19" s="85">
        <f>IFERROR(VLOOKUP("B3_MONETIZE",'[2]Company 17'!$B:$E,4,0),"")</f>
        <v>0</v>
      </c>
      <c r="L19" s="85" t="s">
        <v>452</v>
      </c>
      <c r="M19" s="85">
        <f>IFERROR(VLOOKUP("M1_AUTOMATED",'[2]Company 17'!$B:$E,4,0),"")</f>
        <v>2</v>
      </c>
      <c r="N19" s="85">
        <f>IFERROR(VLOOKUP("M2_REALTIME",'[2]Company 17'!$B:$E,4,0),"")</f>
        <v>2</v>
      </c>
      <c r="O19" s="85">
        <f>IFERROR(VLOOKUP("M3_STRATEGIC",'[2]Company 17'!$B:$E,4,0),"")</f>
        <v>4</v>
      </c>
      <c r="P19" s="85">
        <f>IFERROR(VLOOKUP("M4_BREADTH",'[2]Company 17'!$B:$E,4,0),"")</f>
        <v>3</v>
      </c>
      <c r="Q19" s="85">
        <f>IFERROR(VLOOKUP("M5_DATATYPES",'[2]Company 17'!$B:$E,4,0),"")</f>
        <v>3</v>
      </c>
      <c r="R19" s="85">
        <f>IFERROR(VLOOKUP("M6_TRUST",'[2]Company 17'!$B:$E,4,0),"")</f>
        <v>4</v>
      </c>
      <c r="S19" s="85">
        <f>IFERROR(VLOOKUP("M7_BARRIERS",'[2]Company 17'!$B:$E,4,0),"")</f>
        <v>3</v>
      </c>
      <c r="T19" s="85">
        <f>IFERROR(VLOOKUP("M8_IMPACT",'[2]Company 17'!$B:$E,4,0),"")</f>
        <v>3</v>
      </c>
      <c r="U19" s="85">
        <f>IFERROR(VLOOKUP("M9_WILLINGNESS",'[2]Company 17'!$B:$E,4,0),"")</f>
        <v>6</v>
      </c>
      <c r="V19" s="85">
        <f>IFERROR(VLOOKUP("SV1_PRICING",'[2]Company 17'!$B:$E,4,0),"")</f>
        <v>1</v>
      </c>
      <c r="W19" s="85">
        <f>IFERROR(VLOOKUP("SV2_PROMOTIONS",'[2]Company 17'!$B:$E,4,0),"")</f>
        <v>0</v>
      </c>
      <c r="X19" s="85">
        <f>IFERROR(VLOOKUP("SV3_SUPPLYCHAIN",'[2]Company 17'!$B:$E,4,0),"")</f>
        <v>1</v>
      </c>
      <c r="Y19" s="85">
        <f>IFERROR(VLOOKUP("SV4_CATEGORY",'[2]Company 17'!$B:$E,4,0),"")</f>
        <v>0</v>
      </c>
      <c r="Z19" s="85">
        <f>IFERROR(VLOOKUP("SV5_DEMAND",'[2]Company 17'!$B:$E,4,0),"")</f>
        <v>0</v>
      </c>
      <c r="AA19" s="85">
        <f>IFERROR(VLOOKUP("SV6_ACCOUNT",'[2]Company 17'!$B:$E,4,0),"")</f>
        <v>0</v>
      </c>
      <c r="AB19" s="85">
        <f>IFERROR(VLOOKUP("SV7_OPS",'[2]Company 17'!$B:$E,4,0),"")</f>
        <v>0</v>
      </c>
      <c r="AC19" s="85">
        <f>IFERROR(VLOOKUP("SC1_DATASENS",'[2]Company 17'!$B:$E,4,0),"")</f>
        <v>1</v>
      </c>
      <c r="AD19" s="85">
        <f>IFERROR(VLOOKUP("SC2_COMPLIANCE",'[2]Company 17'!$B:$E,4,0),"")</f>
        <v>1</v>
      </c>
      <c r="AE19" s="85">
        <f>IFERROR(VLOOKUP("SC3_TRUST",'[2]Company 17'!$B:$E,4,0),"")</f>
        <v>1</v>
      </c>
      <c r="AF19" s="85">
        <f>IFERROR(VLOOKUP("SC4_DATAPROC",'[2]Company 17'!$B:$E,4,0),"")</f>
        <v>1</v>
      </c>
      <c r="AG19" s="85">
        <f>IFERROR(VLOOKUP("SF1_REALTIME",'[2]Company 17'!$B:$E,4,0),"")</f>
        <v>0</v>
      </c>
      <c r="AH19" s="85">
        <f>IFERROR(VLOOKUP("SF2_ACCESS",'[2]Company 17'!$B:$E,4,0),"")</f>
        <v>1</v>
      </c>
      <c r="AI19" s="85">
        <f>IFERROR(VLOOKUP("SF3_UX",'[2]Company 17'!$B:$E,4,0),"")</f>
        <v>0</v>
      </c>
      <c r="AJ19" s="85">
        <f>IFERROR(VLOOKUP("SF4_DECISION",'[2]Company 17'!$B:$E,4,0),"")</f>
        <v>0</v>
      </c>
      <c r="AK19" s="85">
        <f>IFERROR(VLOOKUP("SF5_MASKING",'[2]Company 17'!$B:$E,4,0),"")</f>
        <v>0</v>
      </c>
      <c r="AL19" s="85">
        <f>IFERROR(VLOOKUP("SD1_TRENDS",'[2]Company 17'!$B:$E,4,0),"")</f>
        <v>1</v>
      </c>
      <c r="AM19" s="85">
        <f>IFERROR(VLOOKUP("SD2_MARKET",'[2]Company 17'!$B:$E,4,0),"")</f>
        <v>1</v>
      </c>
      <c r="AN19" s="85">
        <f>IFERROR(VLOOKUP("SD3_CATEGORY",'[2]Company 17'!$B:$E,4,0),"")</f>
        <v>0</v>
      </c>
      <c r="AO19" s="85">
        <f>IFERROR(VLOOKUP("SD4_SHIPMENT",'[2]Company 17'!$B:$E,4,0),"")</f>
        <v>0</v>
      </c>
      <c r="AP19" s="85">
        <f>IFERROR(VLOOKUP("SD5_LEAD",'[2]Company 17'!$B:$E,4,0),"")</f>
        <v>0</v>
      </c>
      <c r="AQ19" s="85">
        <f>IFERROR(VLOOKUP("SD6_CONJOINT",'[2]Company 17'!$B:$E,4,0),"")</f>
        <v>0</v>
      </c>
      <c r="AS19" s="167" t="s">
        <v>499</v>
      </c>
      <c r="AT19" s="167" t="s">
        <v>500</v>
      </c>
      <c r="AU19" s="167" t="s">
        <v>501</v>
      </c>
    </row>
    <row r="20" spans="2:47" ht="20.100000000000001" customHeight="1">
      <c r="B20" s="83" t="s">
        <v>178</v>
      </c>
      <c r="C20" s="84" t="str">
        <f>IFERROR(VLOOKUP("Company (Real)",'[3]Company 18'!$B:$C,2,0),"")</f>
        <v>Mars Benelux</v>
      </c>
      <c r="D20" s="84" t="str">
        <f>IFERROR(VLOOKUP("Interviewee Position",'[3]Company 18'!$B:$C,2,0),"")</f>
        <v>Food Business Lead — Rice &amp; Sauces (Benelux)</v>
      </c>
      <c r="E20" s="84" t="str">
        <f>IFERROR(VLOOKUP("Company Industry",'[3]Company 18'!$B:$C,2,0),"")</f>
        <v>FMCG / Food Manufacturing</v>
      </c>
      <c r="F20" s="84" t="str">
        <f>IFERROR(VLOOKUP("Company Sub-Industry",'[3]Company 18'!$B:$C,2,0),"")</f>
        <v>Manufacturer</v>
      </c>
      <c r="G20" s="3">
        <v>350000000</v>
      </c>
      <c r="H20" s="84" t="s">
        <v>233</v>
      </c>
      <c r="I20" s="85">
        <f>IFERROR(VLOOKUP("B1_INTEREST",'[3]Company 18'!$B:$E,4,0),"")</f>
        <v>8</v>
      </c>
      <c r="J20" s="85">
        <f>IFERROR(VLOOKUP("B2_SHARING",'[3]Company 18'!$B:$E,4,0),"")</f>
        <v>1</v>
      </c>
      <c r="K20" s="85">
        <f>IFERROR(VLOOKUP("B3_MONETIZE",'[3]Company 18'!$B:$E,4,0),"")</f>
        <v>0</v>
      </c>
      <c r="L20" s="85" t="s">
        <v>452</v>
      </c>
      <c r="M20" s="85">
        <f>IFERROR(VLOOKUP("M1_AUTOMATED",'[3]Company 18'!$B:$E,4,0),"")</f>
        <v>2</v>
      </c>
      <c r="N20" s="85">
        <f>IFERROR(VLOOKUP("M2_REALTIME",'[3]Company 18'!$B:$E,4,0),"")</f>
        <v>2</v>
      </c>
      <c r="O20" s="85">
        <f>IFERROR(VLOOKUP("M3_STRATEGIC",'[3]Company 18'!$B:$E,4,0),"")</f>
        <v>4</v>
      </c>
      <c r="P20" s="85">
        <f>IFERROR(VLOOKUP("M4_BREADTH",'[3]Company 18'!$B:$E,4,0),"")</f>
        <v>3</v>
      </c>
      <c r="Q20" s="85">
        <f>IFERROR(VLOOKUP("M5_DATATYPES",'[3]Company 18'!$B:$E,4,0),"")</f>
        <v>4</v>
      </c>
      <c r="R20" s="85">
        <f>IFERROR(VLOOKUP("M6_TRUST",'[3]Company 18'!$B:$E,4,0),"")</f>
        <v>2</v>
      </c>
      <c r="S20" s="85">
        <f>IFERROR(VLOOKUP("M7_BARRIERS",'[3]Company 18'!$B:$E,4,0),"")</f>
        <v>3</v>
      </c>
      <c r="T20" s="85">
        <f>IFERROR(VLOOKUP("M8_IMPACT",'[3]Company 18'!$B:$E,4,0),"")</f>
        <v>3</v>
      </c>
      <c r="U20" s="85">
        <f>IFERROR(VLOOKUP("M9_WILLINGNESS",'[3]Company 18'!$B:$E,4,0),"")</f>
        <v>8</v>
      </c>
      <c r="V20" s="85">
        <f>IFERROR(VLOOKUP("SV1_PRICING",'[3]Company 18'!$B:$E,4,0),"")</f>
        <v>1</v>
      </c>
      <c r="W20" s="85">
        <f>IFERROR(VLOOKUP("SV2_PROMOTIONS",'[3]Company 18'!$B:$E,4,0),"")</f>
        <v>1</v>
      </c>
      <c r="X20" s="85">
        <f>IFERROR(VLOOKUP("SV3_SUPPLYCHAIN",'[3]Company 18'!$B:$E,4,0),"")</f>
        <v>1</v>
      </c>
      <c r="Y20" s="85">
        <f>IFERROR(VLOOKUP("SV4_CATEGORY",'[3]Company 18'!$B:$E,4,0),"")</f>
        <v>1</v>
      </c>
      <c r="Z20" s="85">
        <f>IFERROR(VLOOKUP("SV5_DEMAND",'[3]Company 18'!$B:$E,4,0),"")</f>
        <v>1</v>
      </c>
      <c r="AA20" s="85">
        <f>IFERROR(VLOOKUP("SV6_ACCOUNT",'[3]Company 18'!$B:$E,4,0),"")</f>
        <v>0</v>
      </c>
      <c r="AB20" s="85">
        <f>IFERROR(VLOOKUP("SV7_OPS",'[3]Company 18'!$B:$E,4,0),"")</f>
        <v>1</v>
      </c>
      <c r="AC20" s="85">
        <f>IFERROR(VLOOKUP("SC1_DATASENS",'[3]Company 18'!$B:$E,4,0),"")</f>
        <v>1</v>
      </c>
      <c r="AD20" s="85">
        <f>IFERROR(VLOOKUP("SC2_COMPLIANCE",'[3]Company 18'!$B:$E,4,0),"")</f>
        <v>1</v>
      </c>
      <c r="AE20" s="85">
        <f>IFERROR(VLOOKUP("SC3_TRUST",'[3]Company 18'!$B:$E,4,0),"")</f>
        <v>1</v>
      </c>
      <c r="AF20" s="85">
        <f>IFERROR(VLOOKUP("SC4_DATAPROC",'[3]Company 18'!$B:$E,4,0),"")</f>
        <v>1</v>
      </c>
      <c r="AG20" s="85">
        <f>IFERROR(VLOOKUP("SF1_REALTIME",'[3]Company 18'!$B:$E,4,0),"")</f>
        <v>0</v>
      </c>
      <c r="AH20" s="85">
        <f>IFERROR(VLOOKUP("SF2_ACCESS",'[3]Company 18'!$B:$E,4,0),"")</f>
        <v>1</v>
      </c>
      <c r="AI20" s="85">
        <f>IFERROR(VLOOKUP("SF3_UX",'[3]Company 18'!$B:$E,4,0),"")</f>
        <v>1</v>
      </c>
      <c r="AJ20" s="85">
        <f>IFERROR(VLOOKUP("SF4_DECISION",'[3]Company 18'!$B:$E,4,0),"")</f>
        <v>0</v>
      </c>
      <c r="AK20" s="85">
        <f>IFERROR(VLOOKUP("SF5_MASKING",'[3]Company 18'!$B:$E,4,0),"")</f>
        <v>1</v>
      </c>
      <c r="AL20" s="85">
        <f>IFERROR(VLOOKUP("SD1_TRENDS",'[3]Company 18'!$B:$E,4,0),"")</f>
        <v>1</v>
      </c>
      <c r="AM20" s="85">
        <f>IFERROR(VLOOKUP("SD2_MARKET",'[3]Company 18'!$B:$E,4,0),"")</f>
        <v>1</v>
      </c>
      <c r="AN20" s="85">
        <f>IFERROR(VLOOKUP("SD3_CATEGORY",'[3]Company 18'!$B:$E,4,0),"")</f>
        <v>1</v>
      </c>
      <c r="AO20" s="85">
        <f>IFERROR(VLOOKUP("SD4_SHIPMENT",'[3]Company 18'!$B:$E,4,0),"")</f>
        <v>1</v>
      </c>
      <c r="AP20" s="85">
        <f>IFERROR(VLOOKUP("SD5_LEAD",'[3]Company 18'!$B:$E,4,0),"")</f>
        <v>0</v>
      </c>
      <c r="AQ20" s="85">
        <f>IFERROR(VLOOKUP("SD6_CONJOINT",'[3]Company 18'!$B:$E,4,0),"")</f>
        <v>0</v>
      </c>
      <c r="AS20" s="167" t="s">
        <v>502</v>
      </c>
      <c r="AT20" s="167" t="s">
        <v>503</v>
      </c>
      <c r="AU20" s="167" t="s">
        <v>504</v>
      </c>
    </row>
    <row r="21" spans="2:47" ht="20.100000000000001" customHeight="1">
      <c r="B21" s="83" t="s">
        <v>179</v>
      </c>
      <c r="C21" s="84" t="str">
        <f>IFERROR(VLOOKUP("Company (Real)",'[3]Company 4'!$B:$C,2,0),"")</f>
        <v>Greenyard</v>
      </c>
      <c r="D21" s="84" t="str">
        <f>IFERROR(VLOOKUP("Interviewee Position",'[3]Company 4'!$B:$C,2,0),"")</f>
        <v>Commercial Director / CCO</v>
      </c>
      <c r="E21" s="84" t="str">
        <f>IFERROR(VLOOKUP("Company Industry",'[3]Company 4'!$B:$C,2,0),"")</f>
        <v>Fresh Produce / Agri-Food</v>
      </c>
      <c r="F21" s="84" t="str">
        <f>IFERROR(VLOOKUP("Company Sub-Industry",'[3]Company 4'!$B:$C,2,0),"")</f>
        <v>Manufacturer</v>
      </c>
      <c r="G21" s="3">
        <f>IFERROR(VLOOKUP("Company Size (Turnover)",'[3]Company 4'!$B:$C,2,0),"")</f>
        <v>5360000000</v>
      </c>
      <c r="H21" s="84" t="str">
        <f>IFERROR(VLOOKUP("Country",'[3]Company 4'!$B:$C,2,0),"")</f>
        <v>Belgium</v>
      </c>
      <c r="I21" s="85">
        <f>IFERROR(VLOOKUP("B1_INTEREST",'[3]Company 4'!$B:$E,4,0),"")</f>
        <v>9</v>
      </c>
      <c r="J21" s="85">
        <f>IFERROR(VLOOKUP("B2_SHARING",'[3]Company 4'!$B:$E,4,0),"")</f>
        <v>1</v>
      </c>
      <c r="K21" s="85">
        <f>IFERROR(VLOOKUP("B3_MONETIZE",'[3]Company 4'!$B:$E,4,0),"")</f>
        <v>0</v>
      </c>
      <c r="L21" s="85" t="s">
        <v>452</v>
      </c>
      <c r="M21" s="85">
        <f>IFERROR(VLOOKUP("M1_AUTOMATED",'[3]Company 4'!$B:$E,4,0),"")</f>
        <v>4</v>
      </c>
      <c r="N21" s="85">
        <f>IFERROR(VLOOKUP("M2_REALTIME",'[3]Company 4'!$B:$E,4,0),"")</f>
        <v>4</v>
      </c>
      <c r="O21" s="85">
        <f>IFERROR(VLOOKUP("M3_STRATEGIC",'[3]Company 4'!$B:$E,4,0),"")</f>
        <v>5</v>
      </c>
      <c r="P21" s="85">
        <f>IFERROR(VLOOKUP("M4_BREADTH",'[3]Company 4'!$B:$E,4,0),"")</f>
        <v>2</v>
      </c>
      <c r="Q21" s="85">
        <f>IFERROR(VLOOKUP("M5_DATATYPES",'[3]Company 4'!$B:$E,4,0),"")</f>
        <v>4</v>
      </c>
      <c r="R21" s="85">
        <f>IFERROR(VLOOKUP("M6_TRUST",'[3]Company 4'!$B:$E,4,0),"")</f>
        <v>3</v>
      </c>
      <c r="S21" s="85">
        <f>IFERROR(VLOOKUP("M7_BARRIERS",'[3]Company 4'!$B:$E,4,0),"")</f>
        <v>4</v>
      </c>
      <c r="T21" s="85">
        <f>IFERROR(VLOOKUP("M8_IMPACT",'[3]Company 4'!$B:$E,4,0),"")</f>
        <v>2</v>
      </c>
      <c r="U21" s="85">
        <f>IFERROR(VLOOKUP("M9_WILLINGNESS",'[3]Company 4'!$B:$E,4,0),"")</f>
        <v>9</v>
      </c>
      <c r="V21" s="85">
        <f>IFERROR(VLOOKUP("SV1_PRICING",'[3]Company 4'!$B:$E,4,0),"")</f>
        <v>1</v>
      </c>
      <c r="W21" s="85">
        <f>IFERROR(VLOOKUP("SV2_PROMOTIONS",'[3]Company 4'!$B:$E,4,0),"")</f>
        <v>1</v>
      </c>
      <c r="X21" s="85">
        <f>IFERROR(VLOOKUP("SV3_SUPPLYCHAIN",'[3]Company 4'!$B:$E,4,0),"")</f>
        <v>1</v>
      </c>
      <c r="Y21" s="85">
        <f>IFERROR(VLOOKUP("SV4_CATEGORY",'[3]Company 4'!$B:$E,4,0),"")</f>
        <v>1</v>
      </c>
      <c r="Z21" s="85">
        <f>IFERROR(VLOOKUP("SV5_DEMAND",'[3]Company 4'!$B:$E,4,0),"")</f>
        <v>1</v>
      </c>
      <c r="AA21" s="85">
        <f>IFERROR(VLOOKUP("SV6_ACCOUNT",'[3]Company 4'!$B:$E,4,0),"")</f>
        <v>0</v>
      </c>
      <c r="AB21" s="85">
        <f>IFERROR(VLOOKUP("SV7_OPS",'[3]Company 4'!$B:$E,4,0),"")</f>
        <v>1</v>
      </c>
      <c r="AC21" s="85">
        <f>IFERROR(VLOOKUP("SC1_DATASENS",'[3]Company 4'!$B:$E,4,0),"")</f>
        <v>1</v>
      </c>
      <c r="AD21" s="85">
        <f>IFERROR(VLOOKUP("SC2_COMPLIANCE",'[3]Company 4'!$B:$E,4,0),"")</f>
        <v>0</v>
      </c>
      <c r="AE21" s="85">
        <f>IFERROR(VLOOKUP("SC3_TRUST",'[3]Company 4'!$B:$E,4,0),"")</f>
        <v>1</v>
      </c>
      <c r="AF21" s="85">
        <f>IFERROR(VLOOKUP("SC4_DATAPROC",'[3]Company 4'!$B:$E,4,0),"")</f>
        <v>0</v>
      </c>
      <c r="AG21" s="85">
        <f>IFERROR(VLOOKUP("SF1_REALTIME",'[3]Company 4'!$B:$E,4,0),"")</f>
        <v>1</v>
      </c>
      <c r="AH21" s="85">
        <f>IFERROR(VLOOKUP("SF2_ACCESS",'[3]Company 4'!$B:$E,4,0),"")</f>
        <v>1</v>
      </c>
      <c r="AI21" s="85">
        <f>IFERROR(VLOOKUP("SF3_UX",'[3]Company 4'!$B:$E,4,0),"")</f>
        <v>0</v>
      </c>
      <c r="AJ21" s="85">
        <f>IFERROR(VLOOKUP("SF4_DECISION",'[3]Company 4'!$B:$E,4,0),"")</f>
        <v>1</v>
      </c>
      <c r="AK21" s="85">
        <f>IFERROR(VLOOKUP("SF5_MASKING",'[3]Company 4'!$B:$E,4,0),"")</f>
        <v>0</v>
      </c>
      <c r="AL21" s="85">
        <f>IFERROR(VLOOKUP("SD1_TRENDS",'[3]Company 4'!$B:$E,4,0),"")</f>
        <v>1</v>
      </c>
      <c r="AM21" s="85">
        <f>IFERROR(VLOOKUP("SD2_MARKET",'[3]Company 4'!$B:$E,4,0),"")</f>
        <v>1</v>
      </c>
      <c r="AN21" s="85">
        <f>IFERROR(VLOOKUP("SD3_CATEGORY",'[3]Company 4'!$B:$E,4,0),"")</f>
        <v>1</v>
      </c>
      <c r="AO21" s="85">
        <f>IFERROR(VLOOKUP("SD4_SHIPMENT",'[3]Company 4'!$B:$E,4,0),"")</f>
        <v>1</v>
      </c>
      <c r="AP21" s="85">
        <f>IFERROR(VLOOKUP("SD5_LEAD",'[3]Company 4'!$B:$E,4,0),"")</f>
        <v>1</v>
      </c>
      <c r="AQ21" s="85">
        <f>IFERROR(VLOOKUP("SD6_CONJOINT",'[3]Company 4'!$B:$E,4,0),"")</f>
        <v>0</v>
      </c>
      <c r="AS21" s="167" t="s">
        <v>505</v>
      </c>
      <c r="AT21" s="167" t="s">
        <v>506</v>
      </c>
      <c r="AU21" s="167" t="s">
        <v>507</v>
      </c>
    </row>
    <row r="22" spans="2:47" ht="20.100000000000001" customHeight="1">
      <c r="B22" s="83" t="s">
        <v>180</v>
      </c>
      <c r="C22" s="162">
        <f>IFERROR(VLOOKUP("Company (Real)",'[1]Company 20'!$B:$C,2,0),"")</f>
        <v>0</v>
      </c>
      <c r="D22" s="84">
        <f>IFERROR(VLOOKUP("Interviewee Position",'[1]Company 20'!$B:$C,2,0),"")</f>
        <v>0</v>
      </c>
      <c r="E22" s="84">
        <f>IFERROR(VLOOKUP("Company Industry",'[1]Company 20'!$B:$C,2,0),"")</f>
        <v>0</v>
      </c>
      <c r="F22" s="84">
        <f>IFERROR(VLOOKUP("Company Sub-Industry",'[1]Company 20'!$B:$C,2,0),"")</f>
        <v>0</v>
      </c>
      <c r="G22" s="3">
        <f>IFERROR(VLOOKUP("Company Size (Turnover)",'[1]Company 20'!$B:$C,2,0),"")</f>
        <v>0</v>
      </c>
      <c r="H22" s="84">
        <f>IFERROR(VLOOKUP("Country",'[1]Company 20'!$B:$C,2,0),"")</f>
        <v>0</v>
      </c>
      <c r="I22" s="85">
        <f>IFERROR(VLOOKUP("B1_INTEREST",'[1]Company 20'!$B:$E,4,0),"")</f>
        <v>0</v>
      </c>
      <c r="J22" s="85">
        <f>IFERROR(VLOOKUP("B2_SHARING",'[1]Company 20'!$B:$E,4,0),"")</f>
        <v>0</v>
      </c>
      <c r="K22" s="85">
        <f>IFERROR(VLOOKUP("B3_MONETIZE",'[1]Company 20'!$B:$E,4,0),"")</f>
        <v>0</v>
      </c>
      <c r="L22" s="85">
        <f>IFERROR(VLOOKUP("B4_STRATEGIC",'[1]Company 20'!$B:$E,4,0),"")</f>
        <v>0</v>
      </c>
      <c r="M22" s="85">
        <f>IFERROR(VLOOKUP("M1_AUTOMATED",'[1]Company 20'!$B:$E,4,0),"")</f>
        <v>0</v>
      </c>
      <c r="N22" s="85">
        <f>IFERROR(VLOOKUP("M2_REALTIME",'[1]Company 20'!$B:$E,4,0),"")</f>
        <v>0</v>
      </c>
      <c r="O22" s="85">
        <f>IFERROR(VLOOKUP("M3_STRATEGIC",'[1]Company 20'!$B:$E,4,0),"")</f>
        <v>0</v>
      </c>
      <c r="P22" s="85">
        <f>IFERROR(VLOOKUP("M4_BREADTH",'[1]Company 20'!$B:$E,4,0),"")</f>
        <v>0</v>
      </c>
      <c r="Q22" s="85">
        <f>IFERROR(VLOOKUP("M5_DATATYPES",'[1]Company 20'!$B:$E,4,0),"")</f>
        <v>0</v>
      </c>
      <c r="R22" s="85">
        <f>IFERROR(VLOOKUP("M6_TRUST",'[1]Company 20'!$B:$E,4,0),"")</f>
        <v>0</v>
      </c>
      <c r="S22" s="85">
        <f>IFERROR(VLOOKUP("M7_BARRIERS",'[1]Company 20'!$B:$E,4,0),"")</f>
        <v>0</v>
      </c>
      <c r="T22" s="85">
        <f>IFERROR(VLOOKUP("M8_IMPACT",'[1]Company 20'!$B:$E,4,0),"")</f>
        <v>0</v>
      </c>
      <c r="U22" s="85">
        <f>IFERROR(VLOOKUP("M9_WILLINGNESS",'[1]Company 20'!$B:$E,4,0),"")</f>
        <v>0</v>
      </c>
      <c r="V22" s="85">
        <f>IFERROR(VLOOKUP("SV1_PRICING",'[1]Company 20'!$B:$E,4,0),"")</f>
        <v>0</v>
      </c>
      <c r="W22" s="85">
        <f>IFERROR(VLOOKUP("SV2_PROMOTIONS",'[1]Company 20'!$B:$E,4,0),"")</f>
        <v>0</v>
      </c>
      <c r="X22" s="85">
        <f>IFERROR(VLOOKUP("SV3_SUPPLYCHAIN",'[1]Company 20'!$B:$E,4,0),"")</f>
        <v>0</v>
      </c>
      <c r="Y22" s="85">
        <f>IFERROR(VLOOKUP("SV4_CATEGORY",'[1]Company 20'!$B:$E,4,0),"")</f>
        <v>0</v>
      </c>
      <c r="Z22" s="85">
        <f>IFERROR(VLOOKUP("SV5_DEMAND",'[1]Company 20'!$B:$E,4,0),"")</f>
        <v>0</v>
      </c>
      <c r="AA22" s="85">
        <f>IFERROR(VLOOKUP("SV6_ACCOUNT",'[1]Company 20'!$B:$E,4,0),"")</f>
        <v>0</v>
      </c>
      <c r="AB22" s="85">
        <f>IFERROR(VLOOKUP("SV7_OPS",'[1]Company 20'!$B:$E,4,0),"")</f>
        <v>0</v>
      </c>
      <c r="AC22" s="85">
        <f>IFERROR(VLOOKUP("SC1_DATASENS",'[1]Company 20'!$B:$E,4,0),"")</f>
        <v>0</v>
      </c>
      <c r="AD22" s="85">
        <f>IFERROR(VLOOKUP("SC2_COMPLIANCE",'[1]Company 20'!$B:$E,4,0),"")</f>
        <v>0</v>
      </c>
      <c r="AE22" s="85">
        <f>IFERROR(VLOOKUP("SC3_TRUST",'[1]Company 20'!$B:$E,4,0),"")</f>
        <v>0</v>
      </c>
      <c r="AF22" s="85">
        <f>IFERROR(VLOOKUP("SC4_DATAPROC",'[1]Company 20'!$B:$E,4,0),"")</f>
        <v>0</v>
      </c>
      <c r="AG22" s="85">
        <f>IFERROR(VLOOKUP("SF1_REALTIME",'[1]Company 20'!$B:$E,4,0),"")</f>
        <v>0</v>
      </c>
      <c r="AH22" s="85">
        <f>IFERROR(VLOOKUP("SF2_ACCESS",'[1]Company 20'!$B:$E,4,0),"")</f>
        <v>0</v>
      </c>
      <c r="AI22" s="85">
        <f>IFERROR(VLOOKUP("SF3_UX",'[1]Company 20'!$B:$E,4,0),"")</f>
        <v>0</v>
      </c>
      <c r="AJ22" s="85">
        <f>IFERROR(VLOOKUP("SF4_DECISION",'[1]Company 20'!$B:$E,4,0),"")</f>
        <v>0</v>
      </c>
      <c r="AK22" s="85">
        <f>IFERROR(VLOOKUP("SF5_MASKING",'[1]Company 20'!$B:$E,4,0),"")</f>
        <v>0</v>
      </c>
      <c r="AL22" s="85">
        <f>IFERROR(VLOOKUP("SD1_TRENDS",'[1]Company 20'!$B:$E,4,0),"")</f>
        <v>0</v>
      </c>
      <c r="AM22" s="85">
        <f>IFERROR(VLOOKUP("SD2_MARKET",'[1]Company 20'!$B:$E,4,0),"")</f>
        <v>0</v>
      </c>
      <c r="AN22" s="85">
        <f>IFERROR(VLOOKUP("SD3_CATEGORY",'[1]Company 20'!$B:$E,4,0),"")</f>
        <v>0</v>
      </c>
      <c r="AO22" s="85">
        <f>IFERROR(VLOOKUP("SD4_SHIPMENT",'[1]Company 20'!$B:$E,4,0),"")</f>
        <v>0</v>
      </c>
      <c r="AP22" s="85">
        <f>IFERROR(VLOOKUP("SD5_LEAD",'[1]Company 20'!$B:$E,4,0),"")</f>
        <v>0</v>
      </c>
      <c r="AQ22" s="85">
        <f>IFERROR(VLOOKUP("SD6_CONJOINT",'[1]Company 20'!$B:$E,4,0),"")</f>
        <v>0</v>
      </c>
    </row>
    <row r="23" spans="2:47" ht="20.100000000000001" customHeight="1">
      <c r="B23" s="83" t="s">
        <v>181</v>
      </c>
      <c r="C23" s="162">
        <f>IFERROR(VLOOKUP("Company (Real)",'[1]Company 21'!$B:$C,2,0),"")</f>
        <v>0</v>
      </c>
      <c r="D23" s="84">
        <f>IFERROR(VLOOKUP("Interviewee Position",'[1]Company 21'!$B:$C,2,0),"")</f>
        <v>0</v>
      </c>
      <c r="E23" s="84">
        <f>IFERROR(VLOOKUP("Company Industry",'[1]Company 21'!$B:$C,2,0),"")</f>
        <v>0</v>
      </c>
      <c r="F23" s="84">
        <f>IFERROR(VLOOKUP("Company Sub-Industry",'[1]Company 21'!$B:$C,2,0),"")</f>
        <v>0</v>
      </c>
      <c r="G23" s="3">
        <f>IFERROR(VLOOKUP("Company Size (Turnover)",'[1]Company 21'!$B:$C,2,0),"")</f>
        <v>0</v>
      </c>
      <c r="H23" s="84">
        <f>IFERROR(VLOOKUP("Country",'[1]Company 21'!$B:$C,2,0),"")</f>
        <v>0</v>
      </c>
      <c r="I23" s="85">
        <f>IFERROR(VLOOKUP("B1_INTEREST",'[1]Company 21'!$B:$E,4,0),"")</f>
        <v>0</v>
      </c>
      <c r="J23" s="85">
        <f>IFERROR(VLOOKUP("B2_SHARING",'[1]Company 21'!$B:$E,4,0),"")</f>
        <v>0</v>
      </c>
      <c r="K23" s="85">
        <f>IFERROR(VLOOKUP("B3_MONETIZE",'[1]Company 21'!$B:$E,4,0),"")</f>
        <v>0</v>
      </c>
      <c r="L23" s="85">
        <f>IFERROR(VLOOKUP("B4_STRATEGIC",'[1]Company 21'!$B:$E,4,0),"")</f>
        <v>0</v>
      </c>
      <c r="M23" s="85">
        <f>IFERROR(VLOOKUP("M1_AUTOMATED",'[1]Company 21'!$B:$E,4,0),"")</f>
        <v>0</v>
      </c>
      <c r="N23" s="85">
        <f>IFERROR(VLOOKUP("M2_REALTIME",'[1]Company 21'!$B:$E,4,0),"")</f>
        <v>0</v>
      </c>
      <c r="O23" s="85">
        <f>IFERROR(VLOOKUP("M3_STRATEGIC",'[1]Company 21'!$B:$E,4,0),"")</f>
        <v>0</v>
      </c>
      <c r="P23" s="85">
        <f>IFERROR(VLOOKUP("M4_BREADTH",'[1]Company 21'!$B:$E,4,0),"")</f>
        <v>0</v>
      </c>
      <c r="Q23" s="85">
        <f>IFERROR(VLOOKUP("M5_DATATYPES",'[1]Company 21'!$B:$E,4,0),"")</f>
        <v>0</v>
      </c>
      <c r="R23" s="85">
        <f>IFERROR(VLOOKUP("M6_TRUST",'[1]Company 21'!$B:$E,4,0),"")</f>
        <v>0</v>
      </c>
      <c r="S23" s="85">
        <f>IFERROR(VLOOKUP("M7_BARRIERS",'[1]Company 21'!$B:$E,4,0),"")</f>
        <v>0</v>
      </c>
      <c r="T23" s="85">
        <f>IFERROR(VLOOKUP("M8_IMPACT",'[1]Company 21'!$B:$E,4,0),"")</f>
        <v>0</v>
      </c>
      <c r="U23" s="85">
        <f>IFERROR(VLOOKUP("M9_WILLINGNESS",'[1]Company 21'!$B:$E,4,0),"")</f>
        <v>0</v>
      </c>
      <c r="V23" s="85">
        <f>IFERROR(VLOOKUP("SV1_PRICING",'[1]Company 21'!$B:$E,4,0),"")</f>
        <v>0</v>
      </c>
      <c r="W23" s="85">
        <f>IFERROR(VLOOKUP("SV2_PROMOTIONS",'[1]Company 21'!$B:$E,4,0),"")</f>
        <v>0</v>
      </c>
      <c r="X23" s="85">
        <f>IFERROR(VLOOKUP("SV3_SUPPLYCHAIN",'[1]Company 21'!$B:$E,4,0),"")</f>
        <v>0</v>
      </c>
      <c r="Y23" s="85">
        <f>IFERROR(VLOOKUP("SV4_CATEGORY",'[1]Company 21'!$B:$E,4,0),"")</f>
        <v>0</v>
      </c>
      <c r="Z23" s="85">
        <f>IFERROR(VLOOKUP("SV5_DEMAND",'[1]Company 21'!$B:$E,4,0),"")</f>
        <v>0</v>
      </c>
      <c r="AA23" s="85">
        <f>IFERROR(VLOOKUP("SV6_ACCOUNT",'[1]Company 21'!$B:$E,4,0),"")</f>
        <v>0</v>
      </c>
      <c r="AB23" s="85">
        <f>IFERROR(VLOOKUP("SV7_OPS",'[1]Company 21'!$B:$E,4,0),"")</f>
        <v>0</v>
      </c>
      <c r="AC23" s="85">
        <f>IFERROR(VLOOKUP("SC1_DATASENS",'[1]Company 21'!$B:$E,4,0),"")</f>
        <v>0</v>
      </c>
      <c r="AD23" s="85">
        <f>IFERROR(VLOOKUP("SC2_COMPLIANCE",'[1]Company 21'!$B:$E,4,0),"")</f>
        <v>0</v>
      </c>
      <c r="AE23" s="85">
        <f>IFERROR(VLOOKUP("SC3_TRUST",'[1]Company 21'!$B:$E,4,0),"")</f>
        <v>0</v>
      </c>
      <c r="AF23" s="85">
        <f>IFERROR(VLOOKUP("SC4_DATAPROC",'[1]Company 21'!$B:$E,4,0),"")</f>
        <v>0</v>
      </c>
      <c r="AG23" s="85">
        <f>IFERROR(VLOOKUP("SF1_REALTIME",'[1]Company 21'!$B:$E,4,0),"")</f>
        <v>0</v>
      </c>
      <c r="AH23" s="85">
        <f>IFERROR(VLOOKUP("SF2_ACCESS",'[1]Company 21'!$B:$E,4,0),"")</f>
        <v>0</v>
      </c>
      <c r="AI23" s="85">
        <f>IFERROR(VLOOKUP("SF3_UX",'[1]Company 21'!$B:$E,4,0),"")</f>
        <v>0</v>
      </c>
      <c r="AJ23" s="85">
        <f>IFERROR(VLOOKUP("SF4_DECISION",'[1]Company 21'!$B:$E,4,0),"")</f>
        <v>0</v>
      </c>
      <c r="AK23" s="85">
        <f>IFERROR(VLOOKUP("SF5_MASKING",'[1]Company 21'!$B:$E,4,0),"")</f>
        <v>0</v>
      </c>
      <c r="AL23" s="85">
        <f>IFERROR(VLOOKUP("SD1_TRENDS",'[1]Company 21'!$B:$E,4,0),"")</f>
        <v>0</v>
      </c>
      <c r="AM23" s="85">
        <f>IFERROR(VLOOKUP("SD2_MARKET",'[1]Company 21'!$B:$E,4,0),"")</f>
        <v>0</v>
      </c>
      <c r="AN23" s="85">
        <f>IFERROR(VLOOKUP("SD3_CATEGORY",'[1]Company 21'!$B:$E,4,0),"")</f>
        <v>0</v>
      </c>
      <c r="AO23" s="85">
        <f>IFERROR(VLOOKUP("SD4_SHIPMENT",'[1]Company 21'!$B:$E,4,0),"")</f>
        <v>0</v>
      </c>
      <c r="AP23" s="85">
        <f>IFERROR(VLOOKUP("SD5_LEAD",'[1]Company 21'!$B:$E,4,0),"")</f>
        <v>0</v>
      </c>
      <c r="AQ23" s="85">
        <f>IFERROR(VLOOKUP("SD6_CONJOINT",'[1]Company 21'!$B:$E,4,0),"")</f>
        <v>0</v>
      </c>
    </row>
    <row r="24" spans="2:47" ht="20.100000000000001" customHeight="1">
      <c r="B24" s="83" t="s">
        <v>182</v>
      </c>
      <c r="C24" s="162">
        <f>IFERROR(VLOOKUP("Company (Real)",'[1]Company 22'!$B:$C,2,0),"")</f>
        <v>0</v>
      </c>
      <c r="D24" s="84">
        <f>IFERROR(VLOOKUP("Interviewee Position",'[1]Company 22'!$B:$C,2,0),"")</f>
        <v>0</v>
      </c>
      <c r="E24" s="84">
        <f>IFERROR(VLOOKUP("Company Industry",'[1]Company 22'!$B:$C,2,0),"")</f>
        <v>0</v>
      </c>
      <c r="F24" s="84">
        <f>IFERROR(VLOOKUP("Company Sub-Industry",'[1]Company 22'!$B:$C,2,0),"")</f>
        <v>0</v>
      </c>
      <c r="G24" s="3">
        <f>IFERROR(VLOOKUP("Company Size (Turnover)",'[1]Company 22'!$B:$C,2,0),"")</f>
        <v>0</v>
      </c>
      <c r="H24" s="84">
        <f>IFERROR(VLOOKUP("Country",'[1]Company 22'!$B:$C,2,0),"")</f>
        <v>0</v>
      </c>
      <c r="I24" s="85">
        <f>IFERROR(VLOOKUP("B1_INTEREST",'[1]Company 22'!$B:$E,4,0),"")</f>
        <v>0</v>
      </c>
      <c r="J24" s="85">
        <f>IFERROR(VLOOKUP("B2_SHARING",'[1]Company 22'!$B:$E,4,0),"")</f>
        <v>0</v>
      </c>
      <c r="K24" s="85">
        <f>IFERROR(VLOOKUP("B3_MONETIZE",'[1]Company 22'!$B:$E,4,0),"")</f>
        <v>0</v>
      </c>
      <c r="L24" s="85">
        <f>IFERROR(VLOOKUP("B4_STRATEGIC",'[1]Company 22'!$B:$E,4,0),"")</f>
        <v>0</v>
      </c>
      <c r="M24" s="85">
        <f>IFERROR(VLOOKUP("M1_AUTOMATED",'[1]Company 22'!$B:$E,4,0),"")</f>
        <v>0</v>
      </c>
      <c r="N24" s="85">
        <f>IFERROR(VLOOKUP("M2_REALTIME",'[1]Company 22'!$B:$E,4,0),"")</f>
        <v>0</v>
      </c>
      <c r="O24" s="85">
        <f>IFERROR(VLOOKUP("M3_STRATEGIC",'[1]Company 22'!$B:$E,4,0),"")</f>
        <v>0</v>
      </c>
      <c r="P24" s="85">
        <f>IFERROR(VLOOKUP("M4_BREADTH",'[1]Company 22'!$B:$E,4,0),"")</f>
        <v>0</v>
      </c>
      <c r="Q24" s="85">
        <f>IFERROR(VLOOKUP("M5_DATATYPES",'[1]Company 22'!$B:$E,4,0),"")</f>
        <v>0</v>
      </c>
      <c r="R24" s="85">
        <f>IFERROR(VLOOKUP("M6_TRUST",'[1]Company 22'!$B:$E,4,0),"")</f>
        <v>0</v>
      </c>
      <c r="S24" s="85">
        <f>IFERROR(VLOOKUP("M7_BARRIERS",'[1]Company 22'!$B:$E,4,0),"")</f>
        <v>0</v>
      </c>
      <c r="T24" s="85">
        <f>IFERROR(VLOOKUP("M8_IMPACT",'[1]Company 22'!$B:$E,4,0),"")</f>
        <v>0</v>
      </c>
      <c r="U24" s="85">
        <f>IFERROR(VLOOKUP("M9_WILLINGNESS",'[1]Company 22'!$B:$E,4,0),"")</f>
        <v>0</v>
      </c>
      <c r="V24" s="85">
        <f>IFERROR(VLOOKUP("SV1_PRICING",'[1]Company 22'!$B:$E,4,0),"")</f>
        <v>0</v>
      </c>
      <c r="W24" s="85">
        <f>IFERROR(VLOOKUP("SV2_PROMOTIONS",'[1]Company 22'!$B:$E,4,0),"")</f>
        <v>0</v>
      </c>
      <c r="X24" s="85">
        <f>IFERROR(VLOOKUP("SV3_SUPPLYCHAIN",'[1]Company 22'!$B:$E,4,0),"")</f>
        <v>0</v>
      </c>
      <c r="Y24" s="85">
        <f>IFERROR(VLOOKUP("SV4_CATEGORY",'[1]Company 22'!$B:$E,4,0),"")</f>
        <v>0</v>
      </c>
      <c r="Z24" s="85">
        <f>IFERROR(VLOOKUP("SV5_DEMAND",'[1]Company 22'!$B:$E,4,0),"")</f>
        <v>0</v>
      </c>
      <c r="AA24" s="85">
        <f>IFERROR(VLOOKUP("SV6_ACCOUNT",'[1]Company 22'!$B:$E,4,0),"")</f>
        <v>0</v>
      </c>
      <c r="AB24" s="85">
        <f>IFERROR(VLOOKUP("SV7_OPS",'[1]Company 22'!$B:$E,4,0),"")</f>
        <v>0</v>
      </c>
      <c r="AC24" s="85">
        <f>IFERROR(VLOOKUP("SC1_DATASENS",'[1]Company 22'!$B:$E,4,0),"")</f>
        <v>0</v>
      </c>
      <c r="AD24" s="85">
        <f>IFERROR(VLOOKUP("SC2_COMPLIANCE",'[1]Company 22'!$B:$E,4,0),"")</f>
        <v>0</v>
      </c>
      <c r="AE24" s="85">
        <f>IFERROR(VLOOKUP("SC3_TRUST",'[1]Company 22'!$B:$E,4,0),"")</f>
        <v>0</v>
      </c>
      <c r="AF24" s="85">
        <f>IFERROR(VLOOKUP("SC4_DATAPROC",'[1]Company 22'!$B:$E,4,0),"")</f>
        <v>0</v>
      </c>
      <c r="AG24" s="85">
        <f>IFERROR(VLOOKUP("SF1_REALTIME",'[1]Company 22'!$B:$E,4,0),"")</f>
        <v>0</v>
      </c>
      <c r="AH24" s="85">
        <f>IFERROR(VLOOKUP("SF2_ACCESS",'[1]Company 22'!$B:$E,4,0),"")</f>
        <v>0</v>
      </c>
      <c r="AI24" s="85">
        <f>IFERROR(VLOOKUP("SF3_UX",'[1]Company 22'!$B:$E,4,0),"")</f>
        <v>0</v>
      </c>
      <c r="AJ24" s="85">
        <f>IFERROR(VLOOKUP("SF4_DECISION",'[1]Company 22'!$B:$E,4,0),"")</f>
        <v>0</v>
      </c>
      <c r="AK24" s="85">
        <f>IFERROR(VLOOKUP("SF5_MASKING",'[1]Company 22'!$B:$E,4,0),"")</f>
        <v>0</v>
      </c>
      <c r="AL24" s="85">
        <f>IFERROR(VLOOKUP("SD1_TRENDS",'[1]Company 22'!$B:$E,4,0),"")</f>
        <v>0</v>
      </c>
      <c r="AM24" s="85">
        <f>IFERROR(VLOOKUP("SD2_MARKET",'[1]Company 22'!$B:$E,4,0),"")</f>
        <v>0</v>
      </c>
      <c r="AN24" s="85">
        <f>IFERROR(VLOOKUP("SD3_CATEGORY",'[1]Company 22'!$B:$E,4,0),"")</f>
        <v>0</v>
      </c>
      <c r="AO24" s="85">
        <f>IFERROR(VLOOKUP("SD4_SHIPMENT",'[1]Company 22'!$B:$E,4,0),"")</f>
        <v>0</v>
      </c>
      <c r="AP24" s="85">
        <f>IFERROR(VLOOKUP("SD5_LEAD",'[1]Company 22'!$B:$E,4,0),"")</f>
        <v>0</v>
      </c>
      <c r="AQ24" s="85">
        <f>IFERROR(VLOOKUP("SD6_CONJOINT",'[1]Company 22'!$B:$E,4,0),"")</f>
        <v>0</v>
      </c>
    </row>
    <row r="25" spans="2:47" ht="20.100000000000001" customHeight="1">
      <c r="B25" s="83" t="s">
        <v>184</v>
      </c>
      <c r="C25" s="162">
        <f>IFERROR(VLOOKUP("Company (Real)",'[1]Company 23'!$B:$C,2,0),"")</f>
        <v>0</v>
      </c>
      <c r="D25" s="84">
        <f>IFERROR(VLOOKUP("Interviewee Position",'[1]Company 23'!$B:$C,2,0),"")</f>
        <v>0</v>
      </c>
      <c r="E25" s="84">
        <f>IFERROR(VLOOKUP("Company Industry",'[1]Company 23'!$B:$C,2,0),"")</f>
        <v>0</v>
      </c>
      <c r="F25" s="84">
        <f>IFERROR(VLOOKUP("Company Sub-Industry",'[1]Company 23'!$B:$C,2,0),"")</f>
        <v>0</v>
      </c>
      <c r="G25" s="3">
        <f>IFERROR(VLOOKUP("Company Size (Turnover)",'[1]Company 23'!$B:$C,2,0),"")</f>
        <v>0</v>
      </c>
      <c r="H25" s="84">
        <f>IFERROR(VLOOKUP("Country",'[1]Company 23'!$B:$C,2,0),"")</f>
        <v>0</v>
      </c>
      <c r="I25" s="85">
        <f>IFERROR(VLOOKUP("B1_INTEREST",'[1]Company 23'!$B:$E,4,0),"")</f>
        <v>0</v>
      </c>
      <c r="J25" s="85">
        <f>IFERROR(VLOOKUP("B2_SHARING",'[1]Company 23'!$B:$E,4,0),"")</f>
        <v>0</v>
      </c>
      <c r="K25" s="85">
        <f>IFERROR(VLOOKUP("B3_MONETIZE",'[1]Company 23'!$B:$E,4,0),"")</f>
        <v>0</v>
      </c>
      <c r="L25" s="85">
        <f>IFERROR(VLOOKUP("B4_STRATEGIC",'[1]Company 23'!$B:$E,4,0),"")</f>
        <v>0</v>
      </c>
      <c r="M25" s="85">
        <f>IFERROR(VLOOKUP("M1_AUTOMATED",'[1]Company 23'!$B:$E,4,0),"")</f>
        <v>0</v>
      </c>
      <c r="N25" s="85">
        <f>IFERROR(VLOOKUP("M2_REALTIME",'[1]Company 23'!$B:$E,4,0),"")</f>
        <v>0</v>
      </c>
      <c r="O25" s="85">
        <f>IFERROR(VLOOKUP("M3_STRATEGIC",'[1]Company 23'!$B:$E,4,0),"")</f>
        <v>0</v>
      </c>
      <c r="P25" s="85">
        <f>IFERROR(VLOOKUP("M4_BREADTH",'[1]Company 23'!$B:$E,4,0),"")</f>
        <v>0</v>
      </c>
      <c r="Q25" s="85">
        <f>IFERROR(VLOOKUP("M5_DATATYPES",'[1]Company 23'!$B:$E,4,0),"")</f>
        <v>0</v>
      </c>
      <c r="R25" s="85">
        <f>IFERROR(VLOOKUP("M6_TRUST",'[1]Company 23'!$B:$E,4,0),"")</f>
        <v>0</v>
      </c>
      <c r="S25" s="85">
        <f>IFERROR(VLOOKUP("M7_BARRIERS",'[1]Company 23'!$B:$E,4,0),"")</f>
        <v>0</v>
      </c>
      <c r="T25" s="85">
        <f>IFERROR(VLOOKUP("M8_IMPACT",'[1]Company 23'!$B:$E,4,0),"")</f>
        <v>0</v>
      </c>
      <c r="U25" s="85">
        <f>IFERROR(VLOOKUP("M9_WILLINGNESS",'[1]Company 23'!$B:$E,4,0),"")</f>
        <v>0</v>
      </c>
      <c r="V25" s="85">
        <f>IFERROR(VLOOKUP("SV1_PRICING",'[1]Company 23'!$B:$E,4,0),"")</f>
        <v>0</v>
      </c>
      <c r="W25" s="85">
        <f>IFERROR(VLOOKUP("SV2_PROMOTIONS",'[1]Company 23'!$B:$E,4,0),"")</f>
        <v>0</v>
      </c>
      <c r="X25" s="85">
        <f>IFERROR(VLOOKUP("SV3_SUPPLYCHAIN",'[1]Company 23'!$B:$E,4,0),"")</f>
        <v>0</v>
      </c>
      <c r="Y25" s="85">
        <f>IFERROR(VLOOKUP("SV4_CATEGORY",'[1]Company 23'!$B:$E,4,0),"")</f>
        <v>0</v>
      </c>
      <c r="Z25" s="85">
        <f>IFERROR(VLOOKUP("SV5_DEMAND",'[1]Company 23'!$B:$E,4,0),"")</f>
        <v>0</v>
      </c>
      <c r="AA25" s="85">
        <f>IFERROR(VLOOKUP("SV6_ACCOUNT",'[1]Company 23'!$B:$E,4,0),"")</f>
        <v>0</v>
      </c>
      <c r="AB25" s="85">
        <f>IFERROR(VLOOKUP("SV7_OPS",'[1]Company 23'!$B:$E,4,0),"")</f>
        <v>0</v>
      </c>
      <c r="AC25" s="85">
        <f>IFERROR(VLOOKUP("SC1_DATASENS",'[1]Company 23'!$B:$E,4,0),"")</f>
        <v>0</v>
      </c>
      <c r="AD25" s="85">
        <f>IFERROR(VLOOKUP("SC2_COMPLIANCE",'[1]Company 23'!$B:$E,4,0),"")</f>
        <v>0</v>
      </c>
      <c r="AE25" s="85">
        <f>IFERROR(VLOOKUP("SC3_TRUST",'[1]Company 23'!$B:$E,4,0),"")</f>
        <v>0</v>
      </c>
      <c r="AF25" s="85">
        <f>IFERROR(VLOOKUP("SC4_DATAPROC",'[1]Company 23'!$B:$E,4,0),"")</f>
        <v>0</v>
      </c>
      <c r="AG25" s="85">
        <f>IFERROR(VLOOKUP("SF1_REALTIME",'[1]Company 23'!$B:$E,4,0),"")</f>
        <v>0</v>
      </c>
      <c r="AH25" s="85">
        <f>IFERROR(VLOOKUP("SF2_ACCESS",'[1]Company 23'!$B:$E,4,0),"")</f>
        <v>0</v>
      </c>
      <c r="AI25" s="85">
        <f>IFERROR(VLOOKUP("SF3_UX",'[1]Company 23'!$B:$E,4,0),"")</f>
        <v>0</v>
      </c>
      <c r="AJ25" s="85">
        <f>IFERROR(VLOOKUP("SF4_DECISION",'[1]Company 23'!$B:$E,4,0),"")</f>
        <v>0</v>
      </c>
      <c r="AK25" s="85">
        <f>IFERROR(VLOOKUP("SF5_MASKING",'[1]Company 23'!$B:$E,4,0),"")</f>
        <v>0</v>
      </c>
      <c r="AL25" s="85">
        <f>IFERROR(VLOOKUP("SD1_TRENDS",'[1]Company 23'!$B:$E,4,0),"")</f>
        <v>0</v>
      </c>
      <c r="AM25" s="85">
        <f>IFERROR(VLOOKUP("SD2_MARKET",'[1]Company 23'!$B:$E,4,0),"")</f>
        <v>0</v>
      </c>
      <c r="AN25" s="85">
        <f>IFERROR(VLOOKUP("SD3_CATEGORY",'[1]Company 23'!$B:$E,4,0),"")</f>
        <v>0</v>
      </c>
      <c r="AO25" s="85">
        <f>IFERROR(VLOOKUP("SD4_SHIPMENT",'[1]Company 23'!$B:$E,4,0),"")</f>
        <v>0</v>
      </c>
      <c r="AP25" s="85">
        <f>IFERROR(VLOOKUP("SD5_LEAD",'[1]Company 23'!$B:$E,4,0),"")</f>
        <v>0</v>
      </c>
      <c r="AQ25" s="85">
        <f>IFERROR(VLOOKUP("SD6_CONJOINT",'[1]Company 23'!$B:$E,4,0),"")</f>
        <v>0</v>
      </c>
    </row>
    <row r="26" spans="2:47" ht="20.100000000000001" customHeight="1">
      <c r="B26" s="83" t="s">
        <v>185</v>
      </c>
      <c r="C26" s="162">
        <f>IFERROR(VLOOKUP("Company (Real)",'[1]Company 24'!$B:$C,2,0),"")</f>
        <v>0</v>
      </c>
      <c r="D26" s="84">
        <f>IFERROR(VLOOKUP("Interviewee Position",'[1]Company 24'!$B:$C,2,0),"")</f>
        <v>0</v>
      </c>
      <c r="E26" s="84">
        <f>IFERROR(VLOOKUP("Company Industry",'[1]Company 24'!$B:$C,2,0),"")</f>
        <v>0</v>
      </c>
      <c r="F26" s="84">
        <f>IFERROR(VLOOKUP("Company Sub-Industry",'[1]Company 24'!$B:$C,2,0),"")</f>
        <v>0</v>
      </c>
      <c r="G26" s="3">
        <f>IFERROR(VLOOKUP("Company Size (Turnover)",'[1]Company 24'!$B:$C,2,0),"")</f>
        <v>0</v>
      </c>
      <c r="H26" s="84">
        <f>IFERROR(VLOOKUP("Country",'[1]Company 24'!$B:$C,2,0),"")</f>
        <v>0</v>
      </c>
      <c r="I26" s="85">
        <f>IFERROR(VLOOKUP("B1_INTEREST",'[1]Company 24'!$B:$E,4,0),"")</f>
        <v>0</v>
      </c>
      <c r="J26" s="85">
        <f>IFERROR(VLOOKUP("B2_SHARING",'[1]Company 24'!$B:$E,4,0),"")</f>
        <v>0</v>
      </c>
      <c r="K26" s="85">
        <f>IFERROR(VLOOKUP("B3_MONETIZE",'[1]Company 24'!$B:$E,4,0),"")</f>
        <v>0</v>
      </c>
      <c r="L26" s="85">
        <f>IFERROR(VLOOKUP("B4_STRATEGIC",'[1]Company 24'!$B:$E,4,0),"")</f>
        <v>0</v>
      </c>
      <c r="M26" s="85">
        <f>IFERROR(VLOOKUP("M1_AUTOMATED",'[1]Company 24'!$B:$E,4,0),"")</f>
        <v>0</v>
      </c>
      <c r="N26" s="85">
        <f>IFERROR(VLOOKUP("M2_REALTIME",'[1]Company 24'!$B:$E,4,0),"")</f>
        <v>0</v>
      </c>
      <c r="O26" s="85">
        <f>IFERROR(VLOOKUP("M3_STRATEGIC",'[1]Company 24'!$B:$E,4,0),"")</f>
        <v>0</v>
      </c>
      <c r="P26" s="85">
        <f>IFERROR(VLOOKUP("M4_BREADTH",'[1]Company 24'!$B:$E,4,0),"")</f>
        <v>0</v>
      </c>
      <c r="Q26" s="85">
        <f>IFERROR(VLOOKUP("M5_DATATYPES",'[1]Company 24'!$B:$E,4,0),"")</f>
        <v>0</v>
      </c>
      <c r="R26" s="85">
        <f>IFERROR(VLOOKUP("M6_TRUST",'[1]Company 24'!$B:$E,4,0),"")</f>
        <v>0</v>
      </c>
      <c r="S26" s="85">
        <f>IFERROR(VLOOKUP("M7_BARRIERS",'[1]Company 24'!$B:$E,4,0),"")</f>
        <v>0</v>
      </c>
      <c r="T26" s="85">
        <f>IFERROR(VLOOKUP("M8_IMPACT",'[1]Company 24'!$B:$E,4,0),"")</f>
        <v>0</v>
      </c>
      <c r="U26" s="85">
        <f>IFERROR(VLOOKUP("M9_WILLINGNESS",'[1]Company 24'!$B:$E,4,0),"")</f>
        <v>0</v>
      </c>
      <c r="V26" s="85">
        <f>IFERROR(VLOOKUP("SV1_PRICING",'[1]Company 24'!$B:$E,4,0),"")</f>
        <v>0</v>
      </c>
      <c r="W26" s="85">
        <f>IFERROR(VLOOKUP("SV2_PROMOTIONS",'[1]Company 24'!$B:$E,4,0),"")</f>
        <v>0</v>
      </c>
      <c r="X26" s="85">
        <f>IFERROR(VLOOKUP("SV3_SUPPLYCHAIN",'[1]Company 24'!$B:$E,4,0),"")</f>
        <v>0</v>
      </c>
      <c r="Y26" s="85">
        <f>IFERROR(VLOOKUP("SV4_CATEGORY",'[1]Company 24'!$B:$E,4,0),"")</f>
        <v>0</v>
      </c>
      <c r="Z26" s="85">
        <f>IFERROR(VLOOKUP("SV5_DEMAND",'[1]Company 24'!$B:$E,4,0),"")</f>
        <v>0</v>
      </c>
      <c r="AA26" s="85">
        <f>IFERROR(VLOOKUP("SV6_ACCOUNT",'[1]Company 24'!$B:$E,4,0),"")</f>
        <v>0</v>
      </c>
      <c r="AB26" s="85">
        <f>IFERROR(VLOOKUP("SV7_OPS",'[1]Company 24'!$B:$E,4,0),"")</f>
        <v>0</v>
      </c>
      <c r="AC26" s="85">
        <f>IFERROR(VLOOKUP("SC1_DATASENS",'[1]Company 24'!$B:$E,4,0),"")</f>
        <v>0</v>
      </c>
      <c r="AD26" s="85">
        <f>IFERROR(VLOOKUP("SC2_COMPLIANCE",'[1]Company 24'!$B:$E,4,0),"")</f>
        <v>0</v>
      </c>
      <c r="AE26" s="85">
        <f>IFERROR(VLOOKUP("SC3_TRUST",'[1]Company 24'!$B:$E,4,0),"")</f>
        <v>0</v>
      </c>
      <c r="AF26" s="85">
        <f>IFERROR(VLOOKUP("SC4_DATAPROC",'[1]Company 24'!$B:$E,4,0),"")</f>
        <v>0</v>
      </c>
      <c r="AG26" s="85">
        <f>IFERROR(VLOOKUP("SF1_REALTIME",'[1]Company 24'!$B:$E,4,0),"")</f>
        <v>0</v>
      </c>
      <c r="AH26" s="85">
        <f>IFERROR(VLOOKUP("SF2_ACCESS",'[1]Company 24'!$B:$E,4,0),"")</f>
        <v>0</v>
      </c>
      <c r="AI26" s="85">
        <f>IFERROR(VLOOKUP("SF3_UX",'[1]Company 24'!$B:$E,4,0),"")</f>
        <v>0</v>
      </c>
      <c r="AJ26" s="85">
        <f>IFERROR(VLOOKUP("SF4_DECISION",'[1]Company 24'!$B:$E,4,0),"")</f>
        <v>0</v>
      </c>
      <c r="AK26" s="85">
        <f>IFERROR(VLOOKUP("SF5_MASKING",'[1]Company 24'!$B:$E,4,0),"")</f>
        <v>0</v>
      </c>
      <c r="AL26" s="85">
        <f>IFERROR(VLOOKUP("SD1_TRENDS",'[1]Company 24'!$B:$E,4,0),"")</f>
        <v>0</v>
      </c>
      <c r="AM26" s="85">
        <f>IFERROR(VLOOKUP("SD2_MARKET",'[1]Company 24'!$B:$E,4,0),"")</f>
        <v>0</v>
      </c>
      <c r="AN26" s="85">
        <f>IFERROR(VLOOKUP("SD3_CATEGORY",'[1]Company 24'!$B:$E,4,0),"")</f>
        <v>0</v>
      </c>
      <c r="AO26" s="85">
        <f>IFERROR(VLOOKUP("SD4_SHIPMENT",'[1]Company 24'!$B:$E,4,0),"")</f>
        <v>0</v>
      </c>
      <c r="AP26" s="85">
        <f>IFERROR(VLOOKUP("SD5_LEAD",'[1]Company 24'!$B:$E,4,0),"")</f>
        <v>0</v>
      </c>
      <c r="AQ26" s="85">
        <f>IFERROR(VLOOKUP("SD6_CONJOINT",'[1]Company 24'!$B:$E,4,0),"")</f>
        <v>0</v>
      </c>
    </row>
    <row r="27" spans="2:47" ht="20.100000000000001" customHeight="1">
      <c r="B27" s="83" t="s">
        <v>186</v>
      </c>
      <c r="C27" s="162">
        <f>IFERROR(VLOOKUP("Company (Real)",'[1]Company 25'!$B:$C,2,0),"")</f>
        <v>0</v>
      </c>
      <c r="D27" s="84">
        <f>IFERROR(VLOOKUP("Interviewee Position",'[1]Company 25'!$B:$C,2,0),"")</f>
        <v>0</v>
      </c>
      <c r="E27" s="84">
        <f>IFERROR(VLOOKUP("Company Industry",'[1]Company 25'!$B:$C,2,0),"")</f>
        <v>0</v>
      </c>
      <c r="F27" s="84">
        <f>IFERROR(VLOOKUP("Company Sub-Industry",'[1]Company 25'!$B:$C,2,0),"")</f>
        <v>0</v>
      </c>
      <c r="G27" s="3">
        <f>IFERROR(VLOOKUP("Company Size (Turnover)",'[1]Company 25'!$B:$C,2,0),"")</f>
        <v>0</v>
      </c>
      <c r="H27" s="84">
        <f>IFERROR(VLOOKUP("Country",'[1]Company 25'!$B:$C,2,0),"")</f>
        <v>0</v>
      </c>
      <c r="I27" s="85">
        <f>IFERROR(VLOOKUP("B1_INTEREST",'[1]Company 25'!$B:$E,4,0),"")</f>
        <v>0</v>
      </c>
      <c r="J27" s="85">
        <f>IFERROR(VLOOKUP("B2_SHARING",'[1]Company 25'!$B:$E,4,0),"")</f>
        <v>0</v>
      </c>
      <c r="K27" s="85">
        <f>IFERROR(VLOOKUP("B3_MONETIZE",'[1]Company 25'!$B:$E,4,0),"")</f>
        <v>0</v>
      </c>
      <c r="L27" s="85">
        <f>IFERROR(VLOOKUP("B4_STRATEGIC",'[1]Company 25'!$B:$E,4,0),"")</f>
        <v>0</v>
      </c>
      <c r="M27" s="85">
        <f>IFERROR(VLOOKUP("M1_AUTOMATED",'[1]Company 25'!$B:$E,4,0),"")</f>
        <v>0</v>
      </c>
      <c r="N27" s="85">
        <f>IFERROR(VLOOKUP("M2_REALTIME",'[1]Company 25'!$B:$E,4,0),"")</f>
        <v>0</v>
      </c>
      <c r="O27" s="85">
        <f>IFERROR(VLOOKUP("M3_STRATEGIC",'[1]Company 25'!$B:$E,4,0),"")</f>
        <v>0</v>
      </c>
      <c r="P27" s="85">
        <f>IFERROR(VLOOKUP("M4_BREADTH",'[1]Company 25'!$B:$E,4,0),"")</f>
        <v>0</v>
      </c>
      <c r="Q27" s="85">
        <f>IFERROR(VLOOKUP("M5_DATATYPES",'[1]Company 25'!$B:$E,4,0),"")</f>
        <v>0</v>
      </c>
      <c r="R27" s="85">
        <f>IFERROR(VLOOKUP("M6_TRUST",'[1]Company 25'!$B:$E,4,0),"")</f>
        <v>0</v>
      </c>
      <c r="S27" s="85">
        <f>IFERROR(VLOOKUP("M7_BARRIERS",'[1]Company 25'!$B:$E,4,0),"")</f>
        <v>0</v>
      </c>
      <c r="T27" s="85">
        <f>IFERROR(VLOOKUP("M8_IMPACT",'[1]Company 25'!$B:$E,4,0),"")</f>
        <v>0</v>
      </c>
      <c r="U27" s="85">
        <f>IFERROR(VLOOKUP("M9_WILLINGNESS",'[1]Company 25'!$B:$E,4,0),"")</f>
        <v>0</v>
      </c>
      <c r="V27" s="85">
        <f>IFERROR(VLOOKUP("SV1_PRICING",'[1]Company 25'!$B:$E,4,0),"")</f>
        <v>0</v>
      </c>
      <c r="W27" s="85">
        <f>IFERROR(VLOOKUP("SV2_PROMOTIONS",'[1]Company 25'!$B:$E,4,0),"")</f>
        <v>0</v>
      </c>
      <c r="X27" s="85">
        <f>IFERROR(VLOOKUP("SV3_SUPPLYCHAIN",'[1]Company 25'!$B:$E,4,0),"")</f>
        <v>0</v>
      </c>
      <c r="Y27" s="85">
        <f>IFERROR(VLOOKUP("SV4_CATEGORY",'[1]Company 25'!$B:$E,4,0),"")</f>
        <v>0</v>
      </c>
      <c r="Z27" s="85">
        <f>IFERROR(VLOOKUP("SV5_DEMAND",'[1]Company 25'!$B:$E,4,0),"")</f>
        <v>0</v>
      </c>
      <c r="AA27" s="85">
        <f>IFERROR(VLOOKUP("SV6_ACCOUNT",'[1]Company 25'!$B:$E,4,0),"")</f>
        <v>0</v>
      </c>
      <c r="AB27" s="85">
        <f>IFERROR(VLOOKUP("SV7_OPS",'[1]Company 25'!$B:$E,4,0),"")</f>
        <v>0</v>
      </c>
      <c r="AC27" s="85">
        <f>IFERROR(VLOOKUP("SC1_DATASENS",'[1]Company 25'!$B:$E,4,0),"")</f>
        <v>0</v>
      </c>
      <c r="AD27" s="85">
        <f>IFERROR(VLOOKUP("SC2_COMPLIANCE",'[1]Company 25'!$B:$E,4,0),"")</f>
        <v>0</v>
      </c>
      <c r="AE27" s="85">
        <f>IFERROR(VLOOKUP("SC3_TRUST",'[1]Company 25'!$B:$E,4,0),"")</f>
        <v>0</v>
      </c>
      <c r="AF27" s="85">
        <f>IFERROR(VLOOKUP("SC4_DATAPROC",'[1]Company 25'!$B:$E,4,0),"")</f>
        <v>0</v>
      </c>
      <c r="AG27" s="85">
        <f>IFERROR(VLOOKUP("SF1_REALTIME",'[1]Company 25'!$B:$E,4,0),"")</f>
        <v>0</v>
      </c>
      <c r="AH27" s="85">
        <f>IFERROR(VLOOKUP("SF2_ACCESS",'[1]Company 25'!$B:$E,4,0),"")</f>
        <v>0</v>
      </c>
      <c r="AI27" s="85">
        <f>IFERROR(VLOOKUP("SF3_UX",'[1]Company 25'!$B:$E,4,0),"")</f>
        <v>0</v>
      </c>
      <c r="AJ27" s="85">
        <f>IFERROR(VLOOKUP("SF4_DECISION",'[1]Company 25'!$B:$E,4,0),"")</f>
        <v>0</v>
      </c>
      <c r="AK27" s="85">
        <f>IFERROR(VLOOKUP("SF5_MASKING",'[1]Company 25'!$B:$E,4,0),"")</f>
        <v>0</v>
      </c>
      <c r="AL27" s="85">
        <f>IFERROR(VLOOKUP("SD1_TRENDS",'[1]Company 25'!$B:$E,4,0),"")</f>
        <v>0</v>
      </c>
      <c r="AM27" s="85">
        <f>IFERROR(VLOOKUP("SD2_MARKET",'[1]Company 25'!$B:$E,4,0),"")</f>
        <v>0</v>
      </c>
      <c r="AN27" s="85">
        <f>IFERROR(VLOOKUP("SD3_CATEGORY",'[1]Company 25'!$B:$E,4,0),"")</f>
        <v>0</v>
      </c>
      <c r="AO27" s="85">
        <f>IFERROR(VLOOKUP("SD4_SHIPMENT",'[1]Company 25'!$B:$E,4,0),"")</f>
        <v>0</v>
      </c>
      <c r="AP27" s="85">
        <f>IFERROR(VLOOKUP("SD5_LEAD",'[1]Company 25'!$B:$E,4,0),"")</f>
        <v>0</v>
      </c>
      <c r="AQ27" s="85">
        <f>IFERROR(VLOOKUP("SD6_CONJOINT",'[1]Company 25'!$B:$E,4,0),"")</f>
        <v>0</v>
      </c>
    </row>
    <row r="28" spans="2:47" ht="20.100000000000001" customHeight="1">
      <c r="B28" s="83" t="s">
        <v>187</v>
      </c>
      <c r="C28" s="162">
        <f>IFERROR(VLOOKUP("Company (Real)",'[1]Company 26'!$B:$C,2,0),"")</f>
        <v>0</v>
      </c>
      <c r="D28" s="84">
        <f>IFERROR(VLOOKUP("Interviewee Position",'[1]Company 26'!$B:$C,2,0),"")</f>
        <v>0</v>
      </c>
      <c r="E28" s="84">
        <f>IFERROR(VLOOKUP("Company Industry",'[1]Company 26'!$B:$C,2,0),"")</f>
        <v>0</v>
      </c>
      <c r="F28" s="84">
        <f>IFERROR(VLOOKUP("Company Sub-Industry",'[1]Company 26'!$B:$C,2,0),"")</f>
        <v>0</v>
      </c>
      <c r="G28" s="3">
        <f>IFERROR(VLOOKUP("Company Size (Turnover)",'[1]Company 26'!$B:$C,2,0),"")</f>
        <v>0</v>
      </c>
      <c r="H28" s="84">
        <f>IFERROR(VLOOKUP("Country",'[1]Company 26'!$B:$C,2,0),"")</f>
        <v>0</v>
      </c>
      <c r="I28" s="85">
        <f>IFERROR(VLOOKUP("B1_INTEREST",'[1]Company 26'!$B:$E,4,0),"")</f>
        <v>0</v>
      </c>
      <c r="J28" s="85">
        <f>IFERROR(VLOOKUP("B2_SHARING",'[1]Company 26'!$B:$E,4,0),"")</f>
        <v>0</v>
      </c>
      <c r="K28" s="85">
        <f>IFERROR(VLOOKUP("B3_MONETIZE",'[1]Company 26'!$B:$E,4,0),"")</f>
        <v>0</v>
      </c>
      <c r="L28" s="85">
        <f>IFERROR(VLOOKUP("B4_STRATEGIC",'[1]Company 26'!$B:$E,4,0),"")</f>
        <v>0</v>
      </c>
      <c r="M28" s="85">
        <f>IFERROR(VLOOKUP("M1_AUTOMATED",'[1]Company 26'!$B:$E,4,0),"")</f>
        <v>0</v>
      </c>
      <c r="N28" s="85">
        <f>IFERROR(VLOOKUP("M2_REALTIME",'[1]Company 26'!$B:$E,4,0),"")</f>
        <v>0</v>
      </c>
      <c r="O28" s="85">
        <f>IFERROR(VLOOKUP("M3_STRATEGIC",'[1]Company 26'!$B:$E,4,0),"")</f>
        <v>0</v>
      </c>
      <c r="P28" s="85">
        <f>IFERROR(VLOOKUP("M4_BREADTH",'[1]Company 26'!$B:$E,4,0),"")</f>
        <v>0</v>
      </c>
      <c r="Q28" s="85">
        <f>IFERROR(VLOOKUP("M5_DATATYPES",'[1]Company 26'!$B:$E,4,0),"")</f>
        <v>0</v>
      </c>
      <c r="R28" s="85">
        <f>IFERROR(VLOOKUP("M6_TRUST",'[1]Company 26'!$B:$E,4,0),"")</f>
        <v>0</v>
      </c>
      <c r="S28" s="85">
        <f>IFERROR(VLOOKUP("M7_BARRIERS",'[1]Company 26'!$B:$E,4,0),"")</f>
        <v>0</v>
      </c>
      <c r="T28" s="85">
        <f>IFERROR(VLOOKUP("M8_IMPACT",'[1]Company 26'!$B:$E,4,0),"")</f>
        <v>0</v>
      </c>
      <c r="U28" s="85">
        <f>IFERROR(VLOOKUP("M9_WILLINGNESS",'[1]Company 26'!$B:$E,4,0),"")</f>
        <v>0</v>
      </c>
      <c r="V28" s="85">
        <f>IFERROR(VLOOKUP("SV1_PRICING",'[1]Company 26'!$B:$E,4,0),"")</f>
        <v>0</v>
      </c>
      <c r="W28" s="85">
        <f>IFERROR(VLOOKUP("SV2_PROMOTIONS",'[1]Company 26'!$B:$E,4,0),"")</f>
        <v>0</v>
      </c>
      <c r="X28" s="85">
        <f>IFERROR(VLOOKUP("SV3_SUPPLYCHAIN",'[1]Company 26'!$B:$E,4,0),"")</f>
        <v>0</v>
      </c>
      <c r="Y28" s="85">
        <f>IFERROR(VLOOKUP("SV4_CATEGORY",'[1]Company 26'!$B:$E,4,0),"")</f>
        <v>0</v>
      </c>
      <c r="Z28" s="85">
        <f>IFERROR(VLOOKUP("SV5_DEMAND",'[1]Company 26'!$B:$E,4,0),"")</f>
        <v>0</v>
      </c>
      <c r="AA28" s="85">
        <f>IFERROR(VLOOKUP("SV6_ACCOUNT",'[1]Company 26'!$B:$E,4,0),"")</f>
        <v>0</v>
      </c>
      <c r="AB28" s="85">
        <f>IFERROR(VLOOKUP("SV7_OPS",'[1]Company 26'!$B:$E,4,0),"")</f>
        <v>0</v>
      </c>
      <c r="AC28" s="85">
        <f>IFERROR(VLOOKUP("SC1_DATASENS",'[1]Company 26'!$B:$E,4,0),"")</f>
        <v>0</v>
      </c>
      <c r="AD28" s="85">
        <f>IFERROR(VLOOKUP("SC2_COMPLIANCE",'[1]Company 26'!$B:$E,4,0),"")</f>
        <v>0</v>
      </c>
      <c r="AE28" s="85">
        <f>IFERROR(VLOOKUP("SC3_TRUST",'[1]Company 26'!$B:$E,4,0),"")</f>
        <v>0</v>
      </c>
      <c r="AF28" s="85">
        <f>IFERROR(VLOOKUP("SC4_DATAPROC",'[1]Company 26'!$B:$E,4,0),"")</f>
        <v>0</v>
      </c>
      <c r="AG28" s="85">
        <f>IFERROR(VLOOKUP("SF1_REALTIME",'[1]Company 26'!$B:$E,4,0),"")</f>
        <v>0</v>
      </c>
      <c r="AH28" s="85">
        <f>IFERROR(VLOOKUP("SF2_ACCESS",'[1]Company 26'!$B:$E,4,0),"")</f>
        <v>0</v>
      </c>
      <c r="AI28" s="85">
        <f>IFERROR(VLOOKUP("SF3_UX",'[1]Company 26'!$B:$E,4,0),"")</f>
        <v>0</v>
      </c>
      <c r="AJ28" s="85">
        <f>IFERROR(VLOOKUP("SF4_DECISION",'[1]Company 26'!$B:$E,4,0),"")</f>
        <v>0</v>
      </c>
      <c r="AK28" s="85">
        <f>IFERROR(VLOOKUP("SF5_MASKING",'[1]Company 26'!$B:$E,4,0),"")</f>
        <v>0</v>
      </c>
      <c r="AL28" s="85">
        <f>IFERROR(VLOOKUP("SD1_TRENDS",'[1]Company 26'!$B:$E,4,0),"")</f>
        <v>0</v>
      </c>
      <c r="AM28" s="85">
        <f>IFERROR(VLOOKUP("SD2_MARKET",'[1]Company 26'!$B:$E,4,0),"")</f>
        <v>0</v>
      </c>
      <c r="AN28" s="85">
        <f>IFERROR(VLOOKUP("SD3_CATEGORY",'[1]Company 26'!$B:$E,4,0),"")</f>
        <v>0</v>
      </c>
      <c r="AO28" s="85">
        <f>IFERROR(VLOOKUP("SD4_SHIPMENT",'[1]Company 26'!$B:$E,4,0),"")</f>
        <v>0</v>
      </c>
      <c r="AP28" s="85">
        <f>IFERROR(VLOOKUP("SD5_LEAD",'[1]Company 26'!$B:$E,4,0),"")</f>
        <v>0</v>
      </c>
      <c r="AQ28" s="85">
        <f>IFERROR(VLOOKUP("SD6_CONJOINT",'[1]Company 26'!$B:$E,4,0),"")</f>
        <v>0</v>
      </c>
    </row>
    <row r="29" spans="2:47" ht="20.100000000000001" customHeight="1">
      <c r="B29" s="83" t="s">
        <v>188</v>
      </c>
      <c r="C29" s="162">
        <f>IFERROR(VLOOKUP("Company (Real)",'[1]Company 27'!$B:$C,2,0),"")</f>
        <v>0</v>
      </c>
      <c r="D29" s="84">
        <f>IFERROR(VLOOKUP("Interviewee Position",'[1]Company 27'!$B:$C,2,0),"")</f>
        <v>0</v>
      </c>
      <c r="E29" s="84">
        <f>IFERROR(VLOOKUP("Company Industry",'[1]Company 27'!$B:$C,2,0),"")</f>
        <v>0</v>
      </c>
      <c r="F29" s="84">
        <f>IFERROR(VLOOKUP("Company Sub-Industry",'[1]Company 27'!$B:$C,2,0),"")</f>
        <v>0</v>
      </c>
      <c r="G29" s="3">
        <f>IFERROR(VLOOKUP("Company Size (Turnover)",'[1]Company 27'!$B:$C,2,0),"")</f>
        <v>0</v>
      </c>
      <c r="H29" s="84">
        <f>IFERROR(VLOOKUP("Country",'[1]Company 27'!$B:$C,2,0),"")</f>
        <v>0</v>
      </c>
      <c r="I29" s="85">
        <f>IFERROR(VLOOKUP("B1_INTEREST",'[1]Company 27'!$B:$E,4,0),"")</f>
        <v>0</v>
      </c>
      <c r="J29" s="85">
        <f>IFERROR(VLOOKUP("B2_SHARING",'[1]Company 27'!$B:$E,4,0),"")</f>
        <v>0</v>
      </c>
      <c r="K29" s="85">
        <f>IFERROR(VLOOKUP("B3_MONETIZE",'[1]Company 27'!$B:$E,4,0),"")</f>
        <v>0</v>
      </c>
      <c r="L29" s="85">
        <f>IFERROR(VLOOKUP("B4_STRATEGIC",'[1]Company 27'!$B:$E,4,0),"")</f>
        <v>0</v>
      </c>
      <c r="M29" s="85">
        <f>IFERROR(VLOOKUP("M1_AUTOMATED",'[1]Company 27'!$B:$E,4,0),"")</f>
        <v>0</v>
      </c>
      <c r="N29" s="85">
        <f>IFERROR(VLOOKUP("M2_REALTIME",'[1]Company 27'!$B:$E,4,0),"")</f>
        <v>0</v>
      </c>
      <c r="O29" s="85">
        <f>IFERROR(VLOOKUP("M3_STRATEGIC",'[1]Company 27'!$B:$E,4,0),"")</f>
        <v>0</v>
      </c>
      <c r="P29" s="85">
        <f>IFERROR(VLOOKUP("M4_BREADTH",'[1]Company 27'!$B:$E,4,0),"")</f>
        <v>0</v>
      </c>
      <c r="Q29" s="85">
        <f>IFERROR(VLOOKUP("M5_DATATYPES",'[1]Company 27'!$B:$E,4,0),"")</f>
        <v>0</v>
      </c>
      <c r="R29" s="85">
        <f>IFERROR(VLOOKUP("M6_TRUST",'[1]Company 27'!$B:$E,4,0),"")</f>
        <v>0</v>
      </c>
      <c r="S29" s="85">
        <f>IFERROR(VLOOKUP("M7_BARRIERS",'[1]Company 27'!$B:$E,4,0),"")</f>
        <v>0</v>
      </c>
      <c r="T29" s="85">
        <f>IFERROR(VLOOKUP("M8_IMPACT",'[1]Company 27'!$B:$E,4,0),"")</f>
        <v>0</v>
      </c>
      <c r="U29" s="85">
        <f>IFERROR(VLOOKUP("M9_WILLINGNESS",'[1]Company 27'!$B:$E,4,0),"")</f>
        <v>0</v>
      </c>
      <c r="V29" s="85">
        <f>IFERROR(VLOOKUP("SV1_PRICING",'[1]Company 27'!$B:$E,4,0),"")</f>
        <v>0</v>
      </c>
      <c r="W29" s="85">
        <f>IFERROR(VLOOKUP("SV2_PROMOTIONS",'[1]Company 27'!$B:$E,4,0),"")</f>
        <v>0</v>
      </c>
      <c r="X29" s="85">
        <f>IFERROR(VLOOKUP("SV3_SUPPLYCHAIN",'[1]Company 27'!$B:$E,4,0),"")</f>
        <v>0</v>
      </c>
      <c r="Y29" s="85">
        <f>IFERROR(VLOOKUP("SV4_CATEGORY",'[1]Company 27'!$B:$E,4,0),"")</f>
        <v>0</v>
      </c>
      <c r="Z29" s="85">
        <f>IFERROR(VLOOKUP("SV5_DEMAND",'[1]Company 27'!$B:$E,4,0),"")</f>
        <v>0</v>
      </c>
      <c r="AA29" s="85">
        <f>IFERROR(VLOOKUP("SV6_ACCOUNT",'[1]Company 27'!$B:$E,4,0),"")</f>
        <v>0</v>
      </c>
      <c r="AB29" s="85">
        <f>IFERROR(VLOOKUP("SV7_OPS",'[1]Company 27'!$B:$E,4,0),"")</f>
        <v>0</v>
      </c>
      <c r="AC29" s="85">
        <f>IFERROR(VLOOKUP("SC1_DATASENS",'[1]Company 27'!$B:$E,4,0),"")</f>
        <v>0</v>
      </c>
      <c r="AD29" s="85">
        <f>IFERROR(VLOOKUP("SC2_COMPLIANCE",'[1]Company 27'!$B:$E,4,0),"")</f>
        <v>0</v>
      </c>
      <c r="AE29" s="85">
        <f>IFERROR(VLOOKUP("SC3_TRUST",'[1]Company 27'!$B:$E,4,0),"")</f>
        <v>0</v>
      </c>
      <c r="AF29" s="85">
        <f>IFERROR(VLOOKUP("SC4_DATAPROC",'[1]Company 27'!$B:$E,4,0),"")</f>
        <v>0</v>
      </c>
      <c r="AG29" s="85">
        <f>IFERROR(VLOOKUP("SF1_REALTIME",'[1]Company 27'!$B:$E,4,0),"")</f>
        <v>0</v>
      </c>
      <c r="AH29" s="85">
        <f>IFERROR(VLOOKUP("SF2_ACCESS",'[1]Company 27'!$B:$E,4,0),"")</f>
        <v>0</v>
      </c>
      <c r="AI29" s="85">
        <f>IFERROR(VLOOKUP("SF3_UX",'[1]Company 27'!$B:$E,4,0),"")</f>
        <v>0</v>
      </c>
      <c r="AJ29" s="85">
        <f>IFERROR(VLOOKUP("SF4_DECISION",'[1]Company 27'!$B:$E,4,0),"")</f>
        <v>0</v>
      </c>
      <c r="AK29" s="85">
        <f>IFERROR(VLOOKUP("SF5_MASKING",'[1]Company 27'!$B:$E,4,0),"")</f>
        <v>0</v>
      </c>
      <c r="AL29" s="85">
        <f>IFERROR(VLOOKUP("SD1_TRENDS",'[1]Company 27'!$B:$E,4,0),"")</f>
        <v>0</v>
      </c>
      <c r="AM29" s="85">
        <f>IFERROR(VLOOKUP("SD2_MARKET",'[1]Company 27'!$B:$E,4,0),"")</f>
        <v>0</v>
      </c>
      <c r="AN29" s="85">
        <f>IFERROR(VLOOKUP("SD3_CATEGORY",'[1]Company 27'!$B:$E,4,0),"")</f>
        <v>0</v>
      </c>
      <c r="AO29" s="85">
        <f>IFERROR(VLOOKUP("SD4_SHIPMENT",'[1]Company 27'!$B:$E,4,0),"")</f>
        <v>0</v>
      </c>
      <c r="AP29" s="85">
        <f>IFERROR(VLOOKUP("SD5_LEAD",'[1]Company 27'!$B:$E,4,0),"")</f>
        <v>0</v>
      </c>
      <c r="AQ29" s="85">
        <f>IFERROR(VLOOKUP("SD6_CONJOINT",'[1]Company 27'!$B:$E,4,0),"")</f>
        <v>0</v>
      </c>
    </row>
    <row r="30" spans="2:47" ht="20.100000000000001" customHeight="1">
      <c r="B30" s="83" t="s">
        <v>189</v>
      </c>
      <c r="C30" s="162">
        <f>IFERROR(VLOOKUP("Company (Real)",'[1]Company 28'!$B:$C,2,0),"")</f>
        <v>0</v>
      </c>
      <c r="D30" s="84">
        <f>IFERROR(VLOOKUP("Interviewee Position",'[1]Company 28'!$B:$C,2,0),"")</f>
        <v>0</v>
      </c>
      <c r="E30" s="84">
        <f>IFERROR(VLOOKUP("Company Industry",'[1]Company 28'!$B:$C,2,0),"")</f>
        <v>0</v>
      </c>
      <c r="F30" s="84">
        <f>IFERROR(VLOOKUP("Company Sub-Industry",'[1]Company 28'!$B:$C,2,0),"")</f>
        <v>0</v>
      </c>
      <c r="G30" s="3">
        <f>IFERROR(VLOOKUP("Company Size (Turnover)",'[1]Company 28'!$B:$C,2,0),"")</f>
        <v>0</v>
      </c>
      <c r="H30" s="84">
        <f>IFERROR(VLOOKUP("Country",'[1]Company 28'!$B:$C,2,0),"")</f>
        <v>0</v>
      </c>
      <c r="I30" s="85">
        <f>IFERROR(VLOOKUP("B1_INTEREST",'[1]Company 28'!$B:$E,4,0),"")</f>
        <v>0</v>
      </c>
      <c r="J30" s="85">
        <f>IFERROR(VLOOKUP("B2_SHARING",'[1]Company 28'!$B:$E,4,0),"")</f>
        <v>0</v>
      </c>
      <c r="K30" s="85">
        <f>IFERROR(VLOOKUP("B3_MONETIZE",'[1]Company 28'!$B:$E,4,0),"")</f>
        <v>0</v>
      </c>
      <c r="L30" s="85">
        <f>IFERROR(VLOOKUP("B4_STRATEGIC",'[1]Company 28'!$B:$E,4,0),"")</f>
        <v>0</v>
      </c>
      <c r="M30" s="85">
        <f>IFERROR(VLOOKUP("M1_AUTOMATED",'[1]Company 28'!$B:$E,4,0),"")</f>
        <v>0</v>
      </c>
      <c r="N30" s="85">
        <f>IFERROR(VLOOKUP("M2_REALTIME",'[1]Company 28'!$B:$E,4,0),"")</f>
        <v>0</v>
      </c>
      <c r="O30" s="85">
        <f>IFERROR(VLOOKUP("M3_STRATEGIC",'[1]Company 28'!$B:$E,4,0),"")</f>
        <v>0</v>
      </c>
      <c r="P30" s="85">
        <f>IFERROR(VLOOKUP("M4_BREADTH",'[1]Company 28'!$B:$E,4,0),"")</f>
        <v>0</v>
      </c>
      <c r="Q30" s="85">
        <f>IFERROR(VLOOKUP("M5_DATATYPES",'[1]Company 28'!$B:$E,4,0),"")</f>
        <v>0</v>
      </c>
      <c r="R30" s="85">
        <f>IFERROR(VLOOKUP("M6_TRUST",'[1]Company 28'!$B:$E,4,0),"")</f>
        <v>0</v>
      </c>
      <c r="S30" s="85">
        <f>IFERROR(VLOOKUP("M7_BARRIERS",'[1]Company 28'!$B:$E,4,0),"")</f>
        <v>0</v>
      </c>
      <c r="T30" s="85">
        <f>IFERROR(VLOOKUP("M8_IMPACT",'[1]Company 28'!$B:$E,4,0),"")</f>
        <v>0</v>
      </c>
      <c r="U30" s="85">
        <f>IFERROR(VLOOKUP("M9_WILLINGNESS",'[1]Company 28'!$B:$E,4,0),"")</f>
        <v>0</v>
      </c>
      <c r="V30" s="85">
        <f>IFERROR(VLOOKUP("SV1_PRICING",'[1]Company 28'!$B:$E,4,0),"")</f>
        <v>0</v>
      </c>
      <c r="W30" s="85">
        <f>IFERROR(VLOOKUP("SV2_PROMOTIONS",'[1]Company 28'!$B:$E,4,0),"")</f>
        <v>0</v>
      </c>
      <c r="X30" s="85">
        <f>IFERROR(VLOOKUP("SV3_SUPPLYCHAIN",'[1]Company 28'!$B:$E,4,0),"")</f>
        <v>0</v>
      </c>
      <c r="Y30" s="85">
        <f>IFERROR(VLOOKUP("SV4_CATEGORY",'[1]Company 28'!$B:$E,4,0),"")</f>
        <v>0</v>
      </c>
      <c r="Z30" s="85">
        <f>IFERROR(VLOOKUP("SV5_DEMAND",'[1]Company 28'!$B:$E,4,0),"")</f>
        <v>0</v>
      </c>
      <c r="AA30" s="85">
        <f>IFERROR(VLOOKUP("SV6_ACCOUNT",'[1]Company 28'!$B:$E,4,0),"")</f>
        <v>0</v>
      </c>
      <c r="AB30" s="85">
        <f>IFERROR(VLOOKUP("SV7_OPS",'[1]Company 28'!$B:$E,4,0),"")</f>
        <v>0</v>
      </c>
      <c r="AC30" s="85">
        <f>IFERROR(VLOOKUP("SC1_DATASENS",'[1]Company 28'!$B:$E,4,0),"")</f>
        <v>0</v>
      </c>
      <c r="AD30" s="85">
        <f>IFERROR(VLOOKUP("SC2_COMPLIANCE",'[1]Company 28'!$B:$E,4,0),"")</f>
        <v>0</v>
      </c>
      <c r="AE30" s="85">
        <f>IFERROR(VLOOKUP("SC3_TRUST",'[1]Company 28'!$B:$E,4,0),"")</f>
        <v>0</v>
      </c>
      <c r="AF30" s="85">
        <f>IFERROR(VLOOKUP("SC4_DATAPROC",'[1]Company 28'!$B:$E,4,0),"")</f>
        <v>0</v>
      </c>
      <c r="AG30" s="85">
        <f>IFERROR(VLOOKUP("SF1_REALTIME",'[1]Company 28'!$B:$E,4,0),"")</f>
        <v>0</v>
      </c>
      <c r="AH30" s="85">
        <f>IFERROR(VLOOKUP("SF2_ACCESS",'[1]Company 28'!$B:$E,4,0),"")</f>
        <v>0</v>
      </c>
      <c r="AI30" s="85">
        <f>IFERROR(VLOOKUP("SF3_UX",'[1]Company 28'!$B:$E,4,0),"")</f>
        <v>0</v>
      </c>
      <c r="AJ30" s="85">
        <f>IFERROR(VLOOKUP("SF4_DECISION",'[1]Company 28'!$B:$E,4,0),"")</f>
        <v>0</v>
      </c>
      <c r="AK30" s="85">
        <f>IFERROR(VLOOKUP("SF5_MASKING",'[1]Company 28'!$B:$E,4,0),"")</f>
        <v>0</v>
      </c>
      <c r="AL30" s="85">
        <f>IFERROR(VLOOKUP("SD1_TRENDS",'[1]Company 28'!$B:$E,4,0),"")</f>
        <v>0</v>
      </c>
      <c r="AM30" s="85">
        <f>IFERROR(VLOOKUP("SD2_MARKET",'[1]Company 28'!$B:$E,4,0),"")</f>
        <v>0</v>
      </c>
      <c r="AN30" s="85">
        <f>IFERROR(VLOOKUP("SD3_CATEGORY",'[1]Company 28'!$B:$E,4,0),"")</f>
        <v>0</v>
      </c>
      <c r="AO30" s="85">
        <f>IFERROR(VLOOKUP("SD4_SHIPMENT",'[1]Company 28'!$B:$E,4,0),"")</f>
        <v>0</v>
      </c>
      <c r="AP30" s="85">
        <f>IFERROR(VLOOKUP("SD5_LEAD",'[1]Company 28'!$B:$E,4,0),"")</f>
        <v>0</v>
      </c>
      <c r="AQ30" s="85">
        <f>IFERROR(VLOOKUP("SD6_CONJOINT",'[1]Company 28'!$B:$E,4,0),"")</f>
        <v>0</v>
      </c>
    </row>
    <row r="31" spans="2:47" ht="20.100000000000001" customHeight="1">
      <c r="B31" s="83" t="s">
        <v>190</v>
      </c>
      <c r="C31" s="162">
        <f>IFERROR(VLOOKUP("Company (Real)",'[1]Company 29'!$B:$C,2,0),"")</f>
        <v>0</v>
      </c>
      <c r="D31" s="84">
        <f>IFERROR(VLOOKUP("Interviewee Position",'[1]Company 29'!$B:$C,2,0),"")</f>
        <v>0</v>
      </c>
      <c r="E31" s="84">
        <f>IFERROR(VLOOKUP("Company Industry",'[1]Company 29'!$B:$C,2,0),"")</f>
        <v>0</v>
      </c>
      <c r="F31" s="84">
        <f>IFERROR(VLOOKUP("Company Sub-Industry",'[1]Company 29'!$B:$C,2,0),"")</f>
        <v>0</v>
      </c>
      <c r="G31" s="3">
        <f>IFERROR(VLOOKUP("Company Size (Turnover)",'[1]Company 29'!$B:$C,2,0),"")</f>
        <v>0</v>
      </c>
      <c r="H31" s="84">
        <f>IFERROR(VLOOKUP("Country",'[1]Company 29'!$B:$C,2,0),"")</f>
        <v>0</v>
      </c>
      <c r="I31" s="85">
        <f>IFERROR(VLOOKUP("B1_INTEREST",'[1]Company 29'!$B:$E,4,0),"")</f>
        <v>0</v>
      </c>
      <c r="J31" s="85">
        <f>IFERROR(VLOOKUP("B2_SHARING",'[1]Company 29'!$B:$E,4,0),"")</f>
        <v>0</v>
      </c>
      <c r="K31" s="85">
        <f>IFERROR(VLOOKUP("B3_MONETIZE",'[1]Company 29'!$B:$E,4,0),"")</f>
        <v>0</v>
      </c>
      <c r="L31" s="85">
        <f>IFERROR(VLOOKUP("B4_STRATEGIC",'[1]Company 29'!$B:$E,4,0),"")</f>
        <v>0</v>
      </c>
      <c r="M31" s="85">
        <f>IFERROR(VLOOKUP("M1_AUTOMATED",'[1]Company 29'!$B:$E,4,0),"")</f>
        <v>0</v>
      </c>
      <c r="N31" s="85">
        <f>IFERROR(VLOOKUP("M2_REALTIME",'[1]Company 29'!$B:$E,4,0),"")</f>
        <v>0</v>
      </c>
      <c r="O31" s="85">
        <f>IFERROR(VLOOKUP("M3_STRATEGIC",'[1]Company 29'!$B:$E,4,0),"")</f>
        <v>0</v>
      </c>
      <c r="P31" s="85">
        <f>IFERROR(VLOOKUP("M4_BREADTH",'[1]Company 29'!$B:$E,4,0),"")</f>
        <v>0</v>
      </c>
      <c r="Q31" s="85">
        <f>IFERROR(VLOOKUP("M5_DATATYPES",'[1]Company 29'!$B:$E,4,0),"")</f>
        <v>0</v>
      </c>
      <c r="R31" s="85">
        <f>IFERROR(VLOOKUP("M6_TRUST",'[1]Company 29'!$B:$E,4,0),"")</f>
        <v>0</v>
      </c>
      <c r="S31" s="85">
        <f>IFERROR(VLOOKUP("M7_BARRIERS",'[1]Company 29'!$B:$E,4,0),"")</f>
        <v>0</v>
      </c>
      <c r="T31" s="85">
        <f>IFERROR(VLOOKUP("M8_IMPACT",'[1]Company 29'!$B:$E,4,0),"")</f>
        <v>0</v>
      </c>
      <c r="U31" s="85">
        <f>IFERROR(VLOOKUP("M9_WILLINGNESS",'[1]Company 29'!$B:$E,4,0),"")</f>
        <v>0</v>
      </c>
      <c r="V31" s="85">
        <f>IFERROR(VLOOKUP("SV1_PRICING",'[1]Company 29'!$B:$E,4,0),"")</f>
        <v>0</v>
      </c>
      <c r="W31" s="85">
        <f>IFERROR(VLOOKUP("SV2_PROMOTIONS",'[1]Company 29'!$B:$E,4,0),"")</f>
        <v>0</v>
      </c>
      <c r="X31" s="85">
        <f>IFERROR(VLOOKUP("SV3_SUPPLYCHAIN",'[1]Company 29'!$B:$E,4,0),"")</f>
        <v>0</v>
      </c>
      <c r="Y31" s="85">
        <f>IFERROR(VLOOKUP("SV4_CATEGORY",'[1]Company 29'!$B:$E,4,0),"")</f>
        <v>0</v>
      </c>
      <c r="Z31" s="85">
        <f>IFERROR(VLOOKUP("SV5_DEMAND",'[1]Company 29'!$B:$E,4,0),"")</f>
        <v>0</v>
      </c>
      <c r="AA31" s="85">
        <f>IFERROR(VLOOKUP("SV6_ACCOUNT",'[1]Company 29'!$B:$E,4,0),"")</f>
        <v>0</v>
      </c>
      <c r="AB31" s="85">
        <f>IFERROR(VLOOKUP("SV7_OPS",'[1]Company 29'!$B:$E,4,0),"")</f>
        <v>0</v>
      </c>
      <c r="AC31" s="85">
        <f>IFERROR(VLOOKUP("SC1_DATASENS",'[1]Company 29'!$B:$E,4,0),"")</f>
        <v>0</v>
      </c>
      <c r="AD31" s="85">
        <f>IFERROR(VLOOKUP("SC2_COMPLIANCE",'[1]Company 29'!$B:$E,4,0),"")</f>
        <v>0</v>
      </c>
      <c r="AE31" s="85">
        <f>IFERROR(VLOOKUP("SC3_TRUST",'[1]Company 29'!$B:$E,4,0),"")</f>
        <v>0</v>
      </c>
      <c r="AF31" s="85">
        <f>IFERROR(VLOOKUP("SC4_DATAPROC",'[1]Company 29'!$B:$E,4,0),"")</f>
        <v>0</v>
      </c>
      <c r="AG31" s="85">
        <f>IFERROR(VLOOKUP("SF1_REALTIME",'[1]Company 29'!$B:$E,4,0),"")</f>
        <v>0</v>
      </c>
      <c r="AH31" s="85">
        <f>IFERROR(VLOOKUP("SF2_ACCESS",'[1]Company 29'!$B:$E,4,0),"")</f>
        <v>0</v>
      </c>
      <c r="AI31" s="85">
        <f>IFERROR(VLOOKUP("SF3_UX",'[1]Company 29'!$B:$E,4,0),"")</f>
        <v>0</v>
      </c>
      <c r="AJ31" s="85">
        <f>IFERROR(VLOOKUP("SF4_DECISION",'[1]Company 29'!$B:$E,4,0),"")</f>
        <v>0</v>
      </c>
      <c r="AK31" s="85">
        <f>IFERROR(VLOOKUP("SF5_MASKING",'[1]Company 29'!$B:$E,4,0),"")</f>
        <v>0</v>
      </c>
      <c r="AL31" s="85">
        <f>IFERROR(VLOOKUP("SD1_TRENDS",'[1]Company 29'!$B:$E,4,0),"")</f>
        <v>0</v>
      </c>
      <c r="AM31" s="85">
        <f>IFERROR(VLOOKUP("SD2_MARKET",'[1]Company 29'!$B:$E,4,0),"")</f>
        <v>0</v>
      </c>
      <c r="AN31" s="85">
        <f>IFERROR(VLOOKUP("SD3_CATEGORY",'[1]Company 29'!$B:$E,4,0),"")</f>
        <v>0</v>
      </c>
      <c r="AO31" s="85">
        <f>IFERROR(VLOOKUP("SD4_SHIPMENT",'[1]Company 29'!$B:$E,4,0),"")</f>
        <v>0</v>
      </c>
      <c r="AP31" s="85">
        <f>IFERROR(VLOOKUP("SD5_LEAD",'[1]Company 29'!$B:$E,4,0),"")</f>
        <v>0</v>
      </c>
      <c r="AQ31" s="85">
        <f>IFERROR(VLOOKUP("SD6_CONJOINT",'[1]Company 29'!$B:$E,4,0),"")</f>
        <v>0</v>
      </c>
    </row>
    <row r="32" spans="2:47" ht="20.100000000000001" customHeight="1">
      <c r="B32" s="83" t="s">
        <v>191</v>
      </c>
      <c r="C32" s="162">
        <f>IFERROR(VLOOKUP("Company (Real)",'[1]Company 30'!$B:$C,2,0),"")</f>
        <v>0</v>
      </c>
      <c r="D32" s="84">
        <f>IFERROR(VLOOKUP("Interviewee Position",'[1]Company 30'!$B:$C,2,0),"")</f>
        <v>0</v>
      </c>
      <c r="E32" s="84">
        <f>IFERROR(VLOOKUP("Company Industry",'[1]Company 30'!$B:$C,2,0),"")</f>
        <v>0</v>
      </c>
      <c r="F32" s="84">
        <f>IFERROR(VLOOKUP("Company Sub-Industry",'[1]Company 30'!$B:$C,2,0),"")</f>
        <v>0</v>
      </c>
      <c r="G32" s="3">
        <f>IFERROR(VLOOKUP("Company Size (Turnover)",'[1]Company 30'!$B:$C,2,0),"")</f>
        <v>0</v>
      </c>
      <c r="H32" s="84">
        <f>IFERROR(VLOOKUP("Country",'[1]Company 30'!$B:$C,2,0),"")</f>
        <v>0</v>
      </c>
      <c r="I32" s="85">
        <f>IFERROR(VLOOKUP("B1_INTEREST",'[1]Company 30'!$B:$E,4,0),"")</f>
        <v>0</v>
      </c>
      <c r="J32" s="85">
        <f>IFERROR(VLOOKUP("B2_SHARING",'[1]Company 30'!$B:$E,4,0),"")</f>
        <v>0</v>
      </c>
      <c r="K32" s="85">
        <f>IFERROR(VLOOKUP("B3_MONETIZE",'[1]Company 30'!$B:$E,4,0),"")</f>
        <v>0</v>
      </c>
      <c r="L32" s="85">
        <f>IFERROR(VLOOKUP("B4_STRATEGIC",'[1]Company 30'!$B:$E,4,0),"")</f>
        <v>0</v>
      </c>
      <c r="M32" s="85">
        <f>IFERROR(VLOOKUP("M1_AUTOMATED",'[1]Company 30'!$B:$E,4,0),"")</f>
        <v>0</v>
      </c>
      <c r="N32" s="85">
        <f>IFERROR(VLOOKUP("M2_REALTIME",'[1]Company 30'!$B:$E,4,0),"")</f>
        <v>0</v>
      </c>
      <c r="O32" s="85">
        <f>IFERROR(VLOOKUP("M3_STRATEGIC",'[1]Company 30'!$B:$E,4,0),"")</f>
        <v>0</v>
      </c>
      <c r="P32" s="85">
        <f>IFERROR(VLOOKUP("M4_BREADTH",'[1]Company 30'!$B:$E,4,0),"")</f>
        <v>0</v>
      </c>
      <c r="Q32" s="85">
        <f>IFERROR(VLOOKUP("M5_DATATYPES",'[1]Company 30'!$B:$E,4,0),"")</f>
        <v>0</v>
      </c>
      <c r="R32" s="85">
        <f>IFERROR(VLOOKUP("M6_TRUST",'[1]Company 30'!$B:$E,4,0),"")</f>
        <v>0</v>
      </c>
      <c r="S32" s="85">
        <f>IFERROR(VLOOKUP("M7_BARRIERS",'[1]Company 30'!$B:$E,4,0),"")</f>
        <v>0</v>
      </c>
      <c r="T32" s="85">
        <f>IFERROR(VLOOKUP("M8_IMPACT",'[1]Company 30'!$B:$E,4,0),"")</f>
        <v>0</v>
      </c>
      <c r="U32" s="85">
        <f>IFERROR(VLOOKUP("M9_WILLINGNESS",'[1]Company 30'!$B:$E,4,0),"")</f>
        <v>0</v>
      </c>
      <c r="V32" s="85">
        <f>IFERROR(VLOOKUP("SV1_PRICING",'[1]Company 30'!$B:$E,4,0),"")</f>
        <v>0</v>
      </c>
      <c r="W32" s="85">
        <f>IFERROR(VLOOKUP("SV2_PROMOTIONS",'[1]Company 30'!$B:$E,4,0),"")</f>
        <v>0</v>
      </c>
      <c r="X32" s="85">
        <f>IFERROR(VLOOKUP("SV3_SUPPLYCHAIN",'[1]Company 30'!$B:$E,4,0),"")</f>
        <v>0</v>
      </c>
      <c r="Y32" s="85">
        <f>IFERROR(VLOOKUP("SV4_CATEGORY",'[1]Company 30'!$B:$E,4,0),"")</f>
        <v>0</v>
      </c>
      <c r="Z32" s="85">
        <f>IFERROR(VLOOKUP("SV5_DEMAND",'[1]Company 30'!$B:$E,4,0),"")</f>
        <v>0</v>
      </c>
      <c r="AA32" s="85">
        <f>IFERROR(VLOOKUP("SV6_ACCOUNT",'[1]Company 30'!$B:$E,4,0),"")</f>
        <v>0</v>
      </c>
      <c r="AB32" s="85">
        <f>IFERROR(VLOOKUP("SV7_OPS",'[1]Company 30'!$B:$E,4,0),"")</f>
        <v>0</v>
      </c>
      <c r="AC32" s="85">
        <f>IFERROR(VLOOKUP("SC1_DATASENS",'[1]Company 30'!$B:$E,4,0),"")</f>
        <v>0</v>
      </c>
      <c r="AD32" s="85">
        <f>IFERROR(VLOOKUP("SC2_COMPLIANCE",'[1]Company 30'!$B:$E,4,0),"")</f>
        <v>0</v>
      </c>
      <c r="AE32" s="85">
        <f>IFERROR(VLOOKUP("SC3_TRUST",'[1]Company 30'!$B:$E,4,0),"")</f>
        <v>0</v>
      </c>
      <c r="AF32" s="85">
        <f>IFERROR(VLOOKUP("SC4_DATAPROC",'[1]Company 30'!$B:$E,4,0),"")</f>
        <v>0</v>
      </c>
      <c r="AG32" s="85">
        <f>IFERROR(VLOOKUP("SF1_REALTIME",'[1]Company 30'!$B:$E,4,0),"")</f>
        <v>0</v>
      </c>
      <c r="AH32" s="85">
        <f>IFERROR(VLOOKUP("SF2_ACCESS",'[1]Company 30'!$B:$E,4,0),"")</f>
        <v>0</v>
      </c>
      <c r="AI32" s="85">
        <f>IFERROR(VLOOKUP("SF3_UX",'[1]Company 30'!$B:$E,4,0),"")</f>
        <v>0</v>
      </c>
      <c r="AJ32" s="85">
        <f>IFERROR(VLOOKUP("SF4_DECISION",'[1]Company 30'!$B:$E,4,0),"")</f>
        <v>0</v>
      </c>
      <c r="AK32" s="85">
        <f>IFERROR(VLOOKUP("SF5_MASKING",'[1]Company 30'!$B:$E,4,0),"")</f>
        <v>0</v>
      </c>
      <c r="AL32" s="85">
        <f>IFERROR(VLOOKUP("SD1_TRENDS",'[1]Company 30'!$B:$E,4,0),"")</f>
        <v>0</v>
      </c>
      <c r="AM32" s="85">
        <f>IFERROR(VLOOKUP("SD2_MARKET",'[1]Company 30'!$B:$E,4,0),"")</f>
        <v>0</v>
      </c>
      <c r="AN32" s="85">
        <f>IFERROR(VLOOKUP("SD3_CATEGORY",'[1]Company 30'!$B:$E,4,0),"")</f>
        <v>0</v>
      </c>
      <c r="AO32" s="85">
        <f>IFERROR(VLOOKUP("SD4_SHIPMENT",'[1]Company 30'!$B:$E,4,0),"")</f>
        <v>0</v>
      </c>
      <c r="AP32" s="85">
        <f>IFERROR(VLOOKUP("SD5_LEAD",'[1]Company 30'!$B:$E,4,0),"")</f>
        <v>0</v>
      </c>
      <c r="AQ32" s="85">
        <f>IFERROR(VLOOKUP("SD6_CONJOINT",'[1]Company 30'!$B:$E,4,0),"")</f>
        <v>0</v>
      </c>
    </row>
    <row r="34" spans="2:43" ht="21.95" customHeight="1">
      <c r="B34" s="86" t="s">
        <v>192</v>
      </c>
      <c r="C34" s="86"/>
      <c r="D34" s="170" t="s">
        <v>193</v>
      </c>
      <c r="E34" s="199"/>
      <c r="F34" s="199"/>
      <c r="G34" s="199"/>
      <c r="H34" s="199"/>
      <c r="I34" s="199"/>
      <c r="J34" s="199"/>
      <c r="K34" s="199"/>
      <c r="L34" s="199"/>
      <c r="M34" s="199"/>
      <c r="N34" s="199"/>
      <c r="O34" s="199"/>
      <c r="P34" s="199"/>
      <c r="Q34" s="199"/>
      <c r="R34" s="199"/>
      <c r="S34" s="199"/>
      <c r="T34" s="199"/>
      <c r="U34" s="199"/>
      <c r="V34" s="199"/>
      <c r="W34" s="199"/>
      <c r="X34" s="199"/>
      <c r="Y34" s="199"/>
      <c r="Z34" s="199"/>
      <c r="AA34" s="199"/>
      <c r="AB34" s="199"/>
      <c r="AC34" s="199"/>
      <c r="AD34" s="199"/>
      <c r="AE34" s="199"/>
      <c r="AF34" s="199"/>
      <c r="AG34" s="199"/>
      <c r="AH34" s="199"/>
      <c r="AI34" s="199"/>
      <c r="AJ34" s="199"/>
      <c r="AK34" s="199"/>
      <c r="AL34" s="199"/>
      <c r="AM34" s="199"/>
      <c r="AN34" s="199"/>
      <c r="AO34" s="199"/>
      <c r="AP34" s="199"/>
      <c r="AQ34" s="200"/>
    </row>
    <row r="36" spans="2:43">
      <c r="B36" t="s">
        <v>194</v>
      </c>
      <c r="F36">
        <f>30-COUNT(F4:F32)</f>
        <v>19</v>
      </c>
      <c r="I36" s="5">
        <f>SUMIF(I4:I32,"&gt;0")/COUNTIF(I4:I32,"&gt;0")</f>
        <v>4.3888888888888893</v>
      </c>
      <c r="J36" s="5">
        <f>COUNTIF(J4:J32,"&gt;0")</f>
        <v>18</v>
      </c>
      <c r="K36" s="5">
        <f>COUNTIF(K4:K32,"&gt;0")</f>
        <v>4</v>
      </c>
      <c r="L36" s="5">
        <f>COUNTIF(L4:L32,"&gt;0")</f>
        <v>0</v>
      </c>
      <c r="M36" s="5">
        <f>SUMIF(M4:M32,"&gt;0")/COUNTIF(M4:M32,"&gt;0")</f>
        <v>2.625</v>
      </c>
      <c r="N36" s="5">
        <f>SUMIF(N4:N32,"&gt;0")/COUNTIF(N4:N32,"&gt;0")</f>
        <v>2.4375</v>
      </c>
      <c r="O36" s="5">
        <f>SUMIF(O4:O32,"&gt;0")/COUNTIF(O4:O32,"&gt;0")</f>
        <v>3.2777777777777777</v>
      </c>
      <c r="P36" s="5">
        <f>SUMIF(P4:P32,"&gt;0")/COUNTIF(P4:P32,"&gt;0")</f>
        <v>2.5</v>
      </c>
      <c r="Q36" s="5">
        <f>SUMIF(Q4:Q32,"&gt;0")/COUNTIF(Q4:Q32,"&gt;0")</f>
        <v>3.1111111111111112</v>
      </c>
      <c r="R36" s="5">
        <f>SUMIF(R4:R32,"&gt;0")/COUNTIF(R4:R32,"&gt;0")</f>
        <v>2.6923076923076925</v>
      </c>
      <c r="S36" s="5">
        <f>SUMIF(S4:S32,"&gt;0")/COUNTIF(S4:S32,"&gt;0")</f>
        <v>3.5</v>
      </c>
      <c r="T36" s="5">
        <f>SUMIF(T4:T32,"&gt;0")/COUNTIF(T4:T32,"&gt;0")</f>
        <v>3</v>
      </c>
      <c r="U36" s="5">
        <f>SUMIF(U4:U32,"&gt;0")/COUNTIF(U4:U32,"&gt;0")</f>
        <v>6.6111111111111107</v>
      </c>
      <c r="V36" s="5">
        <f t="shared" ref="V36:AQ36" si="0">COUNTIF(V4:V32,"&gt;0")</f>
        <v>10</v>
      </c>
      <c r="W36" s="5">
        <f t="shared" si="0"/>
        <v>10</v>
      </c>
      <c r="X36" s="5">
        <f t="shared" si="0"/>
        <v>13</v>
      </c>
      <c r="Y36" s="5">
        <f t="shared" si="0"/>
        <v>12</v>
      </c>
      <c r="Z36" s="5">
        <f t="shared" si="0"/>
        <v>9</v>
      </c>
      <c r="AA36" s="5">
        <f t="shared" si="0"/>
        <v>2</v>
      </c>
      <c r="AB36" s="5">
        <f t="shared" si="0"/>
        <v>7</v>
      </c>
      <c r="AC36" s="5">
        <f>COUNTIF(AC4:AC32,"&gt;0")</f>
        <v>16</v>
      </c>
      <c r="AD36" s="5">
        <f t="shared" si="0"/>
        <v>10</v>
      </c>
      <c r="AE36" s="5">
        <f t="shared" si="0"/>
        <v>9</v>
      </c>
      <c r="AF36" s="5">
        <f t="shared" si="0"/>
        <v>11</v>
      </c>
      <c r="AG36" s="5">
        <f t="shared" si="0"/>
        <v>7</v>
      </c>
      <c r="AH36" s="5">
        <f t="shared" si="0"/>
        <v>7</v>
      </c>
      <c r="AI36" s="5">
        <f t="shared" si="0"/>
        <v>8</v>
      </c>
      <c r="AJ36" s="5">
        <f t="shared" si="0"/>
        <v>5</v>
      </c>
      <c r="AK36" s="5">
        <f t="shared" si="0"/>
        <v>6</v>
      </c>
      <c r="AL36" s="5">
        <f t="shared" si="0"/>
        <v>13</v>
      </c>
      <c r="AM36" s="5">
        <f t="shared" si="0"/>
        <v>15</v>
      </c>
      <c r="AN36" s="5">
        <f t="shared" si="0"/>
        <v>12</v>
      </c>
      <c r="AO36" s="5">
        <f t="shared" si="0"/>
        <v>8</v>
      </c>
      <c r="AP36" s="5">
        <f t="shared" si="0"/>
        <v>4</v>
      </c>
      <c r="AQ36" s="5">
        <f t="shared" si="0"/>
        <v>0</v>
      </c>
    </row>
    <row r="37" spans="2:43">
      <c r="B37" t="s">
        <v>6</v>
      </c>
      <c r="F37">
        <f>COUNTIF($F$4:$F$32,B37)</f>
        <v>8</v>
      </c>
      <c r="I37" s="5">
        <f>SUMIFS(I$4:I$32,I$4:I$32,"&gt;0",$F$4:$F$32,$B37)/$F37</f>
        <v>6</v>
      </c>
      <c r="J37" s="5">
        <f>SUMIFS(J$4:J$32,$F$4:$F$32,$B37)</f>
        <v>8</v>
      </c>
      <c r="K37" s="5">
        <f>SUMIFS(K$4:K$32,$F$4:$F$32,$B37)</f>
        <v>0</v>
      </c>
      <c r="L37" s="5">
        <f>SUMIFS(L$4:L$32,$F$4:$F$32,$B37)</f>
        <v>0</v>
      </c>
      <c r="M37" s="5">
        <f>SUMIFS(M$4:M$32,M$4:M$32,"&gt;0",$F$4:$F$32,$B37)/$F37</f>
        <v>3</v>
      </c>
      <c r="N37" s="5">
        <f>SUMIFS(N$4:N$32,N$4:N$32,"&gt;0",$F$4:$F$32,$B37)/$F37</f>
        <v>2.75</v>
      </c>
      <c r="O37" s="5">
        <f>SUMIFS(O$4:O$32,O$4:O$32,"&gt;0",$F$4:$F$32,$B37)/$F37</f>
        <v>3.875</v>
      </c>
      <c r="P37" s="5">
        <f>SUMIFS(P$4:P$32,P$4:P$32,"&gt;0",$F$4:$F$32,$B37)/$F37</f>
        <v>2.875</v>
      </c>
      <c r="Q37" s="5">
        <f>SUMIFS(Q$4:Q$32,Q$4:Q$32,"&gt;0",$F$4:$F$32,$B37)/$F37</f>
        <v>3.75</v>
      </c>
      <c r="R37" s="5">
        <f>SUMIFS(R$4:R$32,R$4:R$32,"&gt;0",$F$4:$F$32,$B37)/$F37</f>
        <v>2.25</v>
      </c>
      <c r="S37" s="5">
        <f>SUMIFS(S$4:S$32,S$4:S$32,"&gt;0",$F$4:$F$32,$B37)/$F37</f>
        <v>3.75</v>
      </c>
      <c r="T37" s="5">
        <f>SUMIFS(T$4:T$32,T$4:T$32,"&gt;0",$F$4:$F$32,$B37)/$F37</f>
        <v>2.875</v>
      </c>
      <c r="U37" s="5">
        <f>SUMIFS(U$4:U$32,U$4:U$32,"&gt;0",$F$4:$F$32,$B37)/$F37</f>
        <v>8.375</v>
      </c>
      <c r="V37" s="5">
        <f>SUMIFS(V$4:V$32,$F$4:$F$32,$B37)</f>
        <v>6</v>
      </c>
      <c r="W37" s="5">
        <f>SUMIFS(W$4:W$32,$F$4:$F$32,$B37)</f>
        <v>6</v>
      </c>
      <c r="X37" s="5">
        <f>SUMIFS(X$4:X$32,$F$4:$F$32,$B37)</f>
        <v>7</v>
      </c>
      <c r="Y37" s="5">
        <f>SUMIFS(Y$4:Y$32,$F$4:$F$32,$B37)</f>
        <v>6</v>
      </c>
      <c r="Z37" s="5">
        <f>SUMIFS(Z$4:Z$32,$F$4:$F$32,$B37)</f>
        <v>5</v>
      </c>
      <c r="AA37" s="5">
        <f>SUMIFS(AA$4:AA$32,$F$4:$F$32,$B37)</f>
        <v>2</v>
      </c>
      <c r="AB37" s="5">
        <f>SUMIFS(AB$4:AB$32,$F$4:$F$32,$B37)</f>
        <v>6</v>
      </c>
      <c r="AC37" s="5">
        <f>SUMIFS(AC$4:AC$32,$F$4:$F$32,$B37)</f>
        <v>7</v>
      </c>
      <c r="AD37" s="5">
        <f>SUMIFS(AD$4:AD$32,$F$4:$F$32,$B37)</f>
        <v>5</v>
      </c>
      <c r="AE37" s="5">
        <f>SUMIFS(AE$4:AE$32,$F$4:$F$32,$B37)</f>
        <v>5</v>
      </c>
      <c r="AF37" s="5">
        <f>SUMIFS(AF$4:AF$32,$F$4:$F$32,$B37)</f>
        <v>5</v>
      </c>
      <c r="AG37" s="5">
        <f>SUMIFS(AG$4:AG$32,$F$4:$F$32,$B37)</f>
        <v>5</v>
      </c>
      <c r="AH37" s="5">
        <f>SUMIFS(AH$4:AH$32,$F$4:$F$32,$B37)</f>
        <v>4</v>
      </c>
      <c r="AI37" s="5">
        <f>SUMIFS(AI$4:AI$32,$F$4:$F$32,$B37)</f>
        <v>4</v>
      </c>
      <c r="AJ37" s="5">
        <f>SUMIFS(AJ$4:AJ$32,$F$4:$F$32,$B37)</f>
        <v>4</v>
      </c>
      <c r="AK37" s="5">
        <f>SUMIFS(AK$4:AK$32,$F$4:$F$32,$B37)</f>
        <v>2</v>
      </c>
      <c r="AL37" s="5">
        <f>SUMIFS(AL$4:AL$32,$F$4:$F$32,$B37)</f>
        <v>6</v>
      </c>
      <c r="AM37" s="5">
        <f>SUMIFS(AM$4:AM$32,$F$4:$F$32,$B37)</f>
        <v>6</v>
      </c>
      <c r="AN37" s="5">
        <f>SUMIFS(AN$4:AN$32,$F$4:$F$32,$B37)</f>
        <v>6</v>
      </c>
      <c r="AO37" s="5">
        <f>SUMIFS(AO$4:AO$32,$F$4:$F$32,$B37)</f>
        <v>6</v>
      </c>
      <c r="AP37" s="5">
        <f>SUMIFS(AP$4:AP$32,$F$4:$F$32,$B37)</f>
        <v>4</v>
      </c>
      <c r="AQ37" s="5">
        <f>SUMIFS(AQ$4:AQ$32,$F$4:$F$32,$B37)</f>
        <v>0</v>
      </c>
    </row>
    <row r="38" spans="2:43">
      <c r="B38" t="s">
        <v>9</v>
      </c>
      <c r="F38">
        <f>COUNTIF($F$4:$F$32,B38)</f>
        <v>4</v>
      </c>
      <c r="I38" s="5">
        <f>SUMIFS(I$4:I$32,I$4:I$32,"&gt;0",$F$4:$F$32,$B38)/$F38</f>
        <v>2.5</v>
      </c>
      <c r="J38" s="5">
        <f>SUMIFS(J$4:J$32,$F$4:$F$32,$B38)</f>
        <v>4</v>
      </c>
      <c r="K38" s="5">
        <f>SUMIFS(K$4:K$32,$F$4:$F$32,$B38)</f>
        <v>1</v>
      </c>
      <c r="L38" s="5">
        <f>SUMIFS(L$4:L$32,$F$4:$F$32,$B38)</f>
        <v>0</v>
      </c>
      <c r="M38" s="5">
        <f>SUMIFS(M$4:M$32,M$4:M$32,"&gt;0",$F$4:$F$32,$B38)/$F38</f>
        <v>1.5</v>
      </c>
      <c r="N38" s="5">
        <f>SUMIFS(N$4:N$32,N$4:N$32,"&gt;0",$F$4:$F$32,$B38)/$F38</f>
        <v>1.25</v>
      </c>
      <c r="O38" s="5">
        <f>SUMIFS(O$4:O$32,O$4:O$32,"&gt;0",$F$4:$F$32,$B38)/$F38</f>
        <v>2</v>
      </c>
      <c r="P38" s="5">
        <f>SUMIFS(P$4:P$32,P$4:P$32,"&gt;0",$F$4:$F$32,$B38)/$F38</f>
        <v>1.5</v>
      </c>
      <c r="Q38" s="5">
        <f>SUMIFS(Q$4:Q$32,Q$4:Q$32,"&gt;0",$F$4:$F$32,$B38)/$F38</f>
        <v>1.75</v>
      </c>
      <c r="R38" s="5">
        <f>SUMIFS(R$4:R$32,R$4:R$32,"&gt;0",$F$4:$F$32,$B38)/$F38</f>
        <v>1.5</v>
      </c>
      <c r="S38" s="5">
        <f>SUMIFS(S$4:S$32,S$4:S$32,"&gt;0",$F$4:$F$32,$B38)/$F38</f>
        <v>3.5</v>
      </c>
      <c r="T38" s="5">
        <f>SUMIFS(T$4:T$32,T$4:T$32,"&gt;0",$F$4:$F$32,$B38)/$F38</f>
        <v>0.75</v>
      </c>
      <c r="U38" s="5">
        <f>SUMIFS(U$4:U$32,U$4:U$32,"&gt;0",$F$4:$F$32,$B38)/$F38</f>
        <v>4.75</v>
      </c>
      <c r="V38" s="5">
        <f>SUMIFS(V$4:V$32,$F$4:$F$32,$B38)</f>
        <v>1</v>
      </c>
      <c r="W38" s="5">
        <f>SUMIFS(W$4:W$32,$F$4:$F$32,$B38)</f>
        <v>1</v>
      </c>
      <c r="X38" s="5">
        <f>SUMIFS(X$4:X$32,$F$4:$F$32,$B38)</f>
        <v>3</v>
      </c>
      <c r="Y38" s="5">
        <f>SUMIFS(Y$4:Y$32,$F$4:$F$32,$B38)</f>
        <v>2</v>
      </c>
      <c r="Z38" s="5">
        <f>SUMIFS(Z$4:Z$32,$F$4:$F$32,$B38)</f>
        <v>1</v>
      </c>
      <c r="AA38" s="5">
        <f>SUMIFS(AA$4:AA$32,$F$4:$F$32,$B38)</f>
        <v>0</v>
      </c>
      <c r="AB38" s="5">
        <f>SUMIFS(AB$4:AB$32,$F$4:$F$32,$B38)</f>
        <v>0</v>
      </c>
      <c r="AC38" s="5">
        <f>SUMIFS(AC$4:AC$32,$F$4:$F$32,$B38)</f>
        <v>4</v>
      </c>
      <c r="AD38" s="5">
        <f>SUMIFS(AD$4:AD$32,$F$4:$F$32,$B38)</f>
        <v>2</v>
      </c>
      <c r="AE38" s="5">
        <f>SUMIFS(AE$4:AE$32,$F$4:$F$32,$B38)</f>
        <v>1</v>
      </c>
      <c r="AF38" s="5">
        <f>SUMIFS(AF$4:AF$32,$F$4:$F$32,$B38)</f>
        <v>3</v>
      </c>
      <c r="AG38" s="5">
        <f>SUMIFS(AG$4:AG$32,$F$4:$F$32,$B38)</f>
        <v>0</v>
      </c>
      <c r="AH38" s="5">
        <f>SUMIFS(AH$4:AH$32,$F$4:$F$32,$B38)</f>
        <v>0</v>
      </c>
      <c r="AI38" s="5">
        <f>SUMIFS(AI$4:AI$32,$F$4:$F$32,$B38)</f>
        <v>2</v>
      </c>
      <c r="AJ38" s="5">
        <f>SUMIFS(AJ$4:AJ$32,$F$4:$F$32,$B38)</f>
        <v>0</v>
      </c>
      <c r="AK38" s="5">
        <f>SUMIFS(AK$4:AK$32,$F$4:$F$32,$B38)</f>
        <v>3</v>
      </c>
      <c r="AL38" s="5">
        <f>SUMIFS(AL$4:AL$32,$F$4:$F$32,$B38)</f>
        <v>3</v>
      </c>
      <c r="AM38" s="5">
        <f>SUMIFS(AM$4:AM$32,$F$4:$F$32,$B38)</f>
        <v>4</v>
      </c>
      <c r="AN38" s="5">
        <f>SUMIFS(AN$4:AN$32,$F$4:$F$32,$B38)</f>
        <v>2</v>
      </c>
      <c r="AO38" s="5">
        <f>SUMIFS(AO$4:AO$32,$F$4:$F$32,$B38)</f>
        <v>0</v>
      </c>
      <c r="AP38" s="5">
        <f>SUMIFS(AP$4:AP$32,$F$4:$F$32,$B38)</f>
        <v>0</v>
      </c>
      <c r="AQ38" s="5">
        <f>SUMIFS(AQ$4:AQ$32,$F$4:$F$32,$B38)</f>
        <v>0</v>
      </c>
    </row>
    <row r="39" spans="2:43">
      <c r="B39" t="s">
        <v>12</v>
      </c>
      <c r="F39">
        <f>COUNTIF($F$4:$F$32,B39)</f>
        <v>4</v>
      </c>
      <c r="I39" s="5">
        <f>SUMIFS(I$4:I$32,I$4:I$32,"&gt;0",$F$4:$F$32,$B39)/$F39</f>
        <v>3.375</v>
      </c>
      <c r="J39" s="5">
        <f>SUMIFS(J$4:J$32,$F$4:$F$32,$B39)</f>
        <v>4</v>
      </c>
      <c r="K39" s="5">
        <f>SUMIFS(K$4:K$32,$F$4:$F$32,$B39)</f>
        <v>3</v>
      </c>
      <c r="L39" s="5">
        <f>SUMIFS(L$4:L$32,$F$4:$F$32,$B39)</f>
        <v>0</v>
      </c>
      <c r="M39" s="5">
        <f>SUMIFS(M$4:M$32,M$4:M$32,"&gt;0",$F$4:$F$32,$B39)/$F39</f>
        <v>2.5</v>
      </c>
      <c r="N39" s="5">
        <f>SUMIFS(N$4:N$32,N$4:N$32,"&gt;0",$F$4:$F$32,$B39)/$F39</f>
        <v>2.5</v>
      </c>
      <c r="O39" s="5">
        <f>SUMIFS(O$4:O$32,O$4:O$32,"&gt;0",$F$4:$F$32,$B39)/$F39</f>
        <v>3.5</v>
      </c>
      <c r="P39" s="5">
        <f>SUMIFS(P$4:P$32,P$4:P$32,"&gt;0",$F$4:$F$32,$B39)/$F39</f>
        <v>3</v>
      </c>
      <c r="Q39" s="5">
        <f>SUMIFS(Q$4:Q$32,Q$4:Q$32,"&gt;0",$F$4:$F$32,$B39)/$F39</f>
        <v>3.5</v>
      </c>
      <c r="R39" s="5">
        <f>SUMIFS(R$4:R$32,R$4:R$32,"&gt;0",$F$4:$F$32,$B39)/$F39</f>
        <v>1.75</v>
      </c>
      <c r="S39" s="5">
        <f>SUMIFS(S$4:S$32,S$4:S$32,"&gt;0",$F$4:$F$32,$B39)/$F39</f>
        <v>3</v>
      </c>
      <c r="T39" s="5">
        <f>SUMIFS(T$4:T$32,T$4:T$32,"&gt;0",$F$4:$F$32,$B39)/$F39</f>
        <v>3</v>
      </c>
      <c r="U39" s="5">
        <f>SUMIFS(U$4:U$32,U$4:U$32,"&gt;0",$F$4:$F$32,$B39)/$F39</f>
        <v>6</v>
      </c>
      <c r="V39" s="5">
        <f>SUMIFS(V$4:V$32,$F$4:$F$32,$B39)</f>
        <v>2</v>
      </c>
      <c r="W39" s="5">
        <f>SUMIFS(W$4:W$32,$F$4:$F$32,$B39)</f>
        <v>2</v>
      </c>
      <c r="X39" s="5">
        <f>SUMIFS(X$4:X$32,$F$4:$F$32,$B39)</f>
        <v>1</v>
      </c>
      <c r="Y39" s="5">
        <f>SUMIFS(Y$4:Y$32,$F$4:$F$32,$B39)</f>
        <v>4</v>
      </c>
      <c r="Z39" s="5">
        <f>SUMIFS(Z$4:Z$32,$F$4:$F$32,$B39)</f>
        <v>2</v>
      </c>
      <c r="AA39" s="5">
        <f>SUMIFS(AA$4:AA$32,$F$4:$F$32,$B39)</f>
        <v>0</v>
      </c>
      <c r="AB39" s="5">
        <f>SUMIFS(AB$4:AB$32,$F$4:$F$32,$B39)</f>
        <v>1</v>
      </c>
      <c r="AC39" s="5">
        <f>SUMIFS(AC$4:AC$32,$F$4:$F$32,$B39)</f>
        <v>3</v>
      </c>
      <c r="AD39" s="5">
        <f>SUMIFS(AD$4:AD$32,$F$4:$F$32,$B39)</f>
        <v>1</v>
      </c>
      <c r="AE39" s="5">
        <f>SUMIFS(AE$4:AE$32,$F$4:$F$32,$B39)</f>
        <v>2</v>
      </c>
      <c r="AF39" s="5">
        <f>SUMIFS(AF$4:AF$32,$F$4:$F$32,$B39)</f>
        <v>2</v>
      </c>
      <c r="AG39" s="5">
        <f>SUMIFS(AG$4:AG$32,$F$4:$F$32,$B39)</f>
        <v>2</v>
      </c>
      <c r="AH39" s="5">
        <f>SUMIFS(AH$4:AH$32,$F$4:$F$32,$B39)</f>
        <v>2</v>
      </c>
      <c r="AI39" s="5">
        <f>SUMIFS(AI$4:AI$32,$F$4:$F$32,$B39)</f>
        <v>2</v>
      </c>
      <c r="AJ39" s="5">
        <f>SUMIFS(AJ$4:AJ$32,$F$4:$F$32,$B39)</f>
        <v>1</v>
      </c>
      <c r="AK39" s="5">
        <f>SUMIFS(AK$4:AK$32,$F$4:$F$32,$B39)</f>
        <v>0</v>
      </c>
      <c r="AL39" s="5">
        <f>SUMIFS(AL$4:AL$32,$F$4:$F$32,$B39)</f>
        <v>2</v>
      </c>
      <c r="AM39" s="5">
        <f>SUMIFS(AM$4:AM$32,$F$4:$F$32,$B39)</f>
        <v>3</v>
      </c>
      <c r="AN39" s="5">
        <f>SUMIFS(AN$4:AN$32,$F$4:$F$32,$B39)</f>
        <v>4</v>
      </c>
      <c r="AO39" s="5">
        <f>SUMIFS(AO$4:AO$32,$F$4:$F$32,$B39)</f>
        <v>1</v>
      </c>
      <c r="AP39" s="5">
        <f>SUMIFS(AP$4:AP$32,$F$4:$F$32,$B39)</f>
        <v>0</v>
      </c>
      <c r="AQ39" s="5">
        <f>SUMIFS(AQ$4:AQ$32,$F$4:$F$32,$B39)</f>
        <v>0</v>
      </c>
    </row>
    <row r="40" spans="2:43">
      <c r="B40" t="s">
        <v>13</v>
      </c>
      <c r="F40">
        <f>COUNTIF($F$4:$F$32,B40)</f>
        <v>2</v>
      </c>
      <c r="I40" s="5">
        <f>SUMIFS(I$4:I$32,I$4:I$32,"&gt;0",$F$4:$F$32,$B40)/$F40</f>
        <v>3.75</v>
      </c>
      <c r="J40" s="5">
        <f>SUMIFS(J$4:J$32,$F$4:$F$32,$B40)</f>
        <v>2</v>
      </c>
      <c r="K40" s="5">
        <f>SUMIFS(K$4:K$32,$F$4:$F$32,$B40)</f>
        <v>0</v>
      </c>
      <c r="L40" s="5">
        <f>SUMIFS(L$4:L$32,$F$4:$F$32,$B40)</f>
        <v>0</v>
      </c>
      <c r="M40" s="5">
        <f>SUMIFS(M$4:M$32,M$4:M$32,"&gt;0",$F$4:$F$32,$B40)/$F40</f>
        <v>1</v>
      </c>
      <c r="N40" s="5">
        <f>SUMIFS(N$4:N$32,N$4:N$32,"&gt;0",$F$4:$F$32,$B40)/$F40</f>
        <v>1</v>
      </c>
      <c r="O40" s="5">
        <f>SUMIFS(O$4:O$32,O$4:O$32,"&gt;0",$F$4:$F$32,$B40)/$F40</f>
        <v>3</v>
      </c>
      <c r="P40" s="5">
        <f>SUMIFS(P$4:P$32,P$4:P$32,"&gt;0",$F$4:$F$32,$B40)/$F40</f>
        <v>2</v>
      </c>
      <c r="Q40" s="5">
        <f>SUMIFS(Q$4:Q$32,Q$4:Q$32,"&gt;0",$F$4:$F$32,$B40)/$F40</f>
        <v>2.5</v>
      </c>
      <c r="R40" s="5">
        <f>SUMIFS(R$4:R$32,R$4:R$32,"&gt;0",$F$4:$F$32,$B40)/$F40</f>
        <v>2</v>
      </c>
      <c r="S40" s="5">
        <f>SUMIFS(S$4:S$32,S$4:S$32,"&gt;0",$F$4:$F$32,$B40)/$F40</f>
        <v>3.5</v>
      </c>
      <c r="T40" s="5">
        <f>SUMIFS(T$4:T$32,T$4:T$32,"&gt;0",$F$4:$F$32,$B40)/$F40</f>
        <v>3.5</v>
      </c>
      <c r="U40" s="5">
        <f>SUMIFS(U$4:U$32,U$4:U$32,"&gt;0",$F$4:$F$32,$B40)/$F40</f>
        <v>4.5</v>
      </c>
      <c r="V40" s="5">
        <f>SUMIFS(V$4:V$32,$F$4:$F$32,$B40)</f>
        <v>1</v>
      </c>
      <c r="W40" s="5">
        <f>SUMIFS(W$4:W$32,$F$4:$F$32,$B40)</f>
        <v>1</v>
      </c>
      <c r="X40" s="5">
        <f>SUMIFS(X$4:X$32,$F$4:$F$32,$B40)</f>
        <v>2</v>
      </c>
      <c r="Y40" s="5">
        <f>SUMIFS(Y$4:Y$32,$F$4:$F$32,$B40)</f>
        <v>0</v>
      </c>
      <c r="Z40" s="5">
        <f>SUMIFS(Z$4:Z$32,$F$4:$F$32,$B40)</f>
        <v>1</v>
      </c>
      <c r="AA40" s="5">
        <f>SUMIFS(AA$4:AA$32,$F$4:$F$32,$B40)</f>
        <v>0</v>
      </c>
      <c r="AB40" s="5">
        <f>SUMIFS(AB$4:AB$32,$F$4:$F$32,$B40)</f>
        <v>0</v>
      </c>
      <c r="AC40" s="5">
        <f>SUMIFS(AC$4:AC$32,$F$4:$F$32,$B40)</f>
        <v>2</v>
      </c>
      <c r="AD40" s="5">
        <f>SUMIFS(AD$4:AD$32,$F$4:$F$32,$B40)</f>
        <v>2</v>
      </c>
      <c r="AE40" s="5">
        <f>SUMIFS(AE$4:AE$32,$F$4:$F$32,$B40)</f>
        <v>1</v>
      </c>
      <c r="AF40" s="5">
        <f>SUMIFS(AF$4:AF$32,$F$4:$F$32,$B40)</f>
        <v>1</v>
      </c>
      <c r="AG40" s="5">
        <f>SUMIFS(AG$4:AG$32,$F$4:$F$32,$B40)</f>
        <v>0</v>
      </c>
      <c r="AH40" s="5">
        <f>SUMIFS(AH$4:AH$32,$F$4:$F$32,$B40)</f>
        <v>1</v>
      </c>
      <c r="AI40" s="5">
        <f>SUMIFS(AI$4:AI$32,$F$4:$F$32,$B40)</f>
        <v>0</v>
      </c>
      <c r="AJ40" s="5">
        <f>SUMIFS(AJ$4:AJ$32,$F$4:$F$32,$B40)</f>
        <v>0</v>
      </c>
      <c r="AK40" s="5">
        <f>SUMIFS(AK$4:AK$32,$F$4:$F$32,$B40)</f>
        <v>1</v>
      </c>
      <c r="AL40" s="5">
        <f>SUMIFS(AL$4:AL$32,$F$4:$F$32,$B40)</f>
        <v>2</v>
      </c>
      <c r="AM40" s="5">
        <f>SUMIFS(AM$4:AM$32,$F$4:$F$32,$B40)</f>
        <v>2</v>
      </c>
      <c r="AN40" s="5">
        <f>SUMIFS(AN$4:AN$32,$F$4:$F$32,$B40)</f>
        <v>0</v>
      </c>
      <c r="AO40" s="5">
        <f>SUMIFS(AO$4:AO$32,$F$4:$F$32,$B40)</f>
        <v>1</v>
      </c>
      <c r="AP40" s="5">
        <f>SUMIFS(AP$4:AP$32,$F$4:$F$32,$B40)</f>
        <v>0</v>
      </c>
      <c r="AQ40" s="5">
        <f>SUMIFS(AQ$4:AQ$32,$F$4:$F$32,$B40)</f>
        <v>0</v>
      </c>
    </row>
    <row r="41" spans="2:43" ht="15" customHeight="1">
      <c r="B41" t="str">
        <f>IFERROR(VLOOKUP("Company Sub-Industry",'[1]Company 14'!$B:$C,2,0),"")</f>
        <v>Specialty Pharma / Neuroscience BE-LU</v>
      </c>
      <c r="F41">
        <f>COUNTIF($F$4:$F$32,B41)</f>
        <v>0</v>
      </c>
      <c r="I41" s="5" t="e">
        <f>SUMIFS(I$4:I$32,I$4:I$32,"&gt;0",$F$4:$F$32,$B41)/$F41</f>
        <v>#DIV/0!</v>
      </c>
      <c r="J41" s="5">
        <f>SUMIFS(J$4:J$32,$F$4:$F$32,$B41)</f>
        <v>0</v>
      </c>
      <c r="K41" s="5">
        <f>SUMIFS(K$4:K$32,$F$4:$F$32,$B41)</f>
        <v>0</v>
      </c>
      <c r="L41" s="5">
        <f>SUMIFS(L$4:L$32,$F$4:$F$32,$B41)</f>
        <v>0</v>
      </c>
      <c r="M41" s="5" t="e">
        <f>SUMIFS(M$4:M$32,M$4:M$32,"&gt;0",$F$4:$F$32,$B41)/$F41</f>
        <v>#DIV/0!</v>
      </c>
      <c r="N41" s="5" t="e">
        <f>SUMIFS(N$4:N$32,N$4:N$32,"&gt;0",$F$4:$F$32,$B41)/$F41</f>
        <v>#DIV/0!</v>
      </c>
      <c r="O41" s="5" t="e">
        <f>SUMIFS(O$4:O$32,O$4:O$32,"&gt;0",$F$4:$F$32,$B41)/$F41</f>
        <v>#DIV/0!</v>
      </c>
      <c r="P41" s="5" t="e">
        <f>SUMIFS(P$4:P$32,P$4:P$32,"&gt;0",$F$4:$F$32,$B41)/$F41</f>
        <v>#DIV/0!</v>
      </c>
      <c r="Q41" s="5" t="e">
        <f>SUMIFS(Q$4:Q$32,Q$4:Q$32,"&gt;0",$F$4:$F$32,$B41)/$F41</f>
        <v>#DIV/0!</v>
      </c>
      <c r="R41" s="5" t="e">
        <f>SUMIFS(R$4:R$32,R$4:R$32,"&gt;0",$F$4:$F$32,$B41)/$F41</f>
        <v>#DIV/0!</v>
      </c>
      <c r="S41" s="5" t="e">
        <f>SUMIFS(S$4:S$32,S$4:S$32,"&gt;0",$F$4:$F$32,$B41)/$F41</f>
        <v>#DIV/0!</v>
      </c>
      <c r="T41" s="5" t="e">
        <f>SUMIFS(T$4:T$32,T$4:T$32,"&gt;0",$F$4:$F$32,$B41)/$F41</f>
        <v>#DIV/0!</v>
      </c>
      <c r="U41" s="5" t="e">
        <f>SUMIFS(U$4:U$32,U$4:U$32,"&gt;0",$F$4:$F$32,$B41)/$F41</f>
        <v>#DIV/0!</v>
      </c>
      <c r="V41" s="5">
        <f>SUMIFS(V$4:V$32,$F$4:$F$32,$B41)</f>
        <v>0</v>
      </c>
      <c r="W41" s="5">
        <f>SUMIFS(W$4:W$32,$F$4:$F$32,$B41)</f>
        <v>0</v>
      </c>
      <c r="X41" s="5">
        <f>SUMIFS(X$4:X$32,$F$4:$F$32,$B41)</f>
        <v>0</v>
      </c>
      <c r="Y41" s="5">
        <f>SUMIFS(Y$4:Y$32,$F$4:$F$32,$B41)</f>
        <v>0</v>
      </c>
      <c r="Z41" s="5">
        <f>SUMIFS(Z$4:Z$32,$F$4:$F$32,$B41)</f>
        <v>0</v>
      </c>
      <c r="AA41" s="5">
        <f>SUMIFS(AA$4:AA$32,$F$4:$F$32,$B41)</f>
        <v>0</v>
      </c>
      <c r="AB41" s="5">
        <f>SUMIFS(AB$4:AB$32,$F$4:$F$32,$B41)</f>
        <v>0</v>
      </c>
      <c r="AC41" s="5">
        <f>SUMIFS(AC$4:AC$32,$F$4:$F$32,$B41)</f>
        <v>0</v>
      </c>
      <c r="AD41" s="5">
        <f>SUMIFS(AD$4:AD$32,$F$4:$F$32,$B41)</f>
        <v>0</v>
      </c>
      <c r="AE41" s="5">
        <f>SUMIFS(AE$4:AE$32,$F$4:$F$32,$B41)</f>
        <v>0</v>
      </c>
      <c r="AF41" s="5">
        <f>SUMIFS(AF$4:AF$32,$F$4:$F$32,$B41)</f>
        <v>0</v>
      </c>
      <c r="AG41" s="5">
        <f>SUMIFS(AG$4:AG$32,$F$4:$F$32,$B41)</f>
        <v>0</v>
      </c>
      <c r="AH41" s="5">
        <f>SUMIFS(AH$4:AH$32,$F$4:$F$32,$B41)</f>
        <v>0</v>
      </c>
      <c r="AI41" s="5">
        <f>SUMIFS(AI$4:AI$32,$F$4:$F$32,$B41)</f>
        <v>0</v>
      </c>
      <c r="AJ41" s="5">
        <f>SUMIFS(AJ$4:AJ$32,$F$4:$F$32,$B41)</f>
        <v>0</v>
      </c>
      <c r="AK41" s="5">
        <f>SUMIFS(AK$4:AK$32,$F$4:$F$32,$B41)</f>
        <v>0</v>
      </c>
      <c r="AL41" s="5">
        <f>SUMIFS(AL$4:AL$32,$F$4:$F$32,$B41)</f>
        <v>0</v>
      </c>
      <c r="AM41" s="5">
        <f>SUMIFS(AM$4:AM$32,$F$4:$F$32,$B41)</f>
        <v>0</v>
      </c>
      <c r="AN41" s="5">
        <f>SUMIFS(AN$4:AN$32,$F$4:$F$32,$B41)</f>
        <v>0</v>
      </c>
      <c r="AO41" s="5">
        <f>SUMIFS(AO$4:AO$32,$F$4:$F$32,$B41)</f>
        <v>0</v>
      </c>
      <c r="AP41" s="5">
        <f>SUMIFS(AP$4:AP$32,$F$4:$F$32,$B41)</f>
        <v>0</v>
      </c>
      <c r="AQ41" s="5">
        <f>SUMIFS(AQ$4:AQ$32,$F$4:$F$32,$B41)</f>
        <v>0</v>
      </c>
    </row>
  </sheetData>
  <mergeCells count="1">
    <mergeCell ref="D34:AQ34"/>
  </mergeCells>
  <pageMargins left="0.75" right="0.75" top="1" bottom="1" header="0.5" footer="0.5"/>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C42A74-358F-4993-BA83-F27C5B381E93}">
  <sheetPr>
    <tabColor rgb="FFFFFF00"/>
  </sheetPr>
  <dimension ref="B1:J49"/>
  <sheetViews>
    <sheetView zoomScale="85" zoomScaleNormal="85" workbookViewId="0">
      <pane ySplit="5" topLeftCell="A6" activePane="bottomLeft" state="frozen"/>
      <selection pane="bottomLeft" activeCell="J9" sqref="J9"/>
      <selection activeCell="A6" sqref="A6:XFD6"/>
    </sheetView>
  </sheetViews>
  <sheetFormatPr defaultRowHeight="15"/>
  <cols>
    <col min="1" max="1" width="5.42578125" customWidth="1"/>
    <col min="2" max="2" width="44.85546875" customWidth="1"/>
    <col min="3" max="3" width="16.42578125" customWidth="1"/>
    <col min="4" max="4" width="17.5703125" customWidth="1"/>
    <col min="5" max="5" width="13" customWidth="1"/>
    <col min="6" max="6" width="8" bestFit="1" customWidth="1"/>
    <col min="7" max="9" width="7.42578125" bestFit="1" customWidth="1"/>
    <col min="10" max="10" width="143.140625" bestFit="1" customWidth="1"/>
  </cols>
  <sheetData>
    <row r="1" spans="2:10">
      <c r="B1" s="178" t="s">
        <v>508</v>
      </c>
    </row>
    <row r="2" spans="2:10">
      <c r="B2" s="179" t="s">
        <v>509</v>
      </c>
    </row>
    <row r="3" spans="2:10">
      <c r="B3" s="180" t="s">
        <v>510</v>
      </c>
    </row>
    <row r="4" spans="2:10" ht="30.95" customHeight="1">
      <c r="B4" s="181" t="s">
        <v>511</v>
      </c>
      <c r="J4" s="158" t="s">
        <v>22</v>
      </c>
    </row>
    <row r="5" spans="2:10" ht="20.45" customHeight="1">
      <c r="B5" s="182" t="s">
        <v>512</v>
      </c>
      <c r="J5" s="159"/>
    </row>
    <row r="6" spans="2:10" ht="33" customHeight="1">
      <c r="B6" s="183" t="s">
        <v>513</v>
      </c>
      <c r="J6" s="159"/>
    </row>
    <row r="7" spans="2:10" ht="20.45" customHeight="1">
      <c r="B7" t="s">
        <v>514</v>
      </c>
      <c r="J7" s="159"/>
    </row>
    <row r="8" spans="2:10" ht="20.45" customHeight="1">
      <c r="J8" s="159"/>
    </row>
    <row r="9" spans="2:10" ht="20.45" customHeight="1">
      <c r="B9" s="184" t="s">
        <v>515</v>
      </c>
      <c r="C9" s="185" t="s">
        <v>6</v>
      </c>
      <c r="D9" s="185" t="s">
        <v>9</v>
      </c>
      <c r="E9" s="185" t="s">
        <v>12</v>
      </c>
      <c r="F9" s="185" t="s">
        <v>13</v>
      </c>
      <c r="G9" s="185" t="s">
        <v>4</v>
      </c>
      <c r="H9" s="185" t="s">
        <v>7</v>
      </c>
      <c r="I9" s="185" t="s">
        <v>10</v>
      </c>
      <c r="J9" s="159"/>
    </row>
    <row r="10" spans="2:10" ht="20.45" customHeight="1">
      <c r="B10" s="186" t="s">
        <v>98</v>
      </c>
      <c r="C10" s="187">
        <f>[3]Prioritization!N21</f>
        <v>0.85</v>
      </c>
      <c r="D10" s="187">
        <f>[3]Prioritization!O21</f>
        <v>0.5</v>
      </c>
      <c r="E10" s="187">
        <f>[3]Prioritization!P21</f>
        <v>1</v>
      </c>
      <c r="F10" s="187">
        <f>[3]Prioritization!Q21</f>
        <v>0</v>
      </c>
      <c r="G10" s="188" t="s">
        <v>516</v>
      </c>
      <c r="H10" s="188" t="s">
        <v>516</v>
      </c>
      <c r="I10" s="188" t="s">
        <v>516</v>
      </c>
      <c r="J10" s="159"/>
    </row>
    <row r="11" spans="2:10" ht="20.45" customHeight="1">
      <c r="B11" s="189" t="s">
        <v>517</v>
      </c>
      <c r="C11" s="190" t="s">
        <v>518</v>
      </c>
      <c r="D11" s="190" t="s">
        <v>519</v>
      </c>
      <c r="E11" s="190" t="s">
        <v>519</v>
      </c>
      <c r="F11" s="190" t="s">
        <v>519</v>
      </c>
      <c r="G11" s="160"/>
      <c r="H11" s="160" t="s">
        <v>520</v>
      </c>
      <c r="I11" s="191"/>
      <c r="J11" s="159"/>
    </row>
    <row r="12" spans="2:10" ht="20.45" customHeight="1">
      <c r="B12" s="189" t="s">
        <v>521</v>
      </c>
      <c r="C12" s="190" t="s">
        <v>519</v>
      </c>
      <c r="D12" s="190" t="s">
        <v>518</v>
      </c>
      <c r="E12" s="190" t="s">
        <v>518</v>
      </c>
      <c r="F12" s="190" t="s">
        <v>518</v>
      </c>
      <c r="G12" s="160" t="s">
        <v>520</v>
      </c>
      <c r="H12" s="160" t="s">
        <v>520</v>
      </c>
      <c r="I12" s="161"/>
      <c r="J12" s="159"/>
    </row>
    <row r="13" spans="2:10" ht="20.45" customHeight="1">
      <c r="B13" s="189" t="s">
        <v>522</v>
      </c>
      <c r="C13" s="190" t="s">
        <v>518</v>
      </c>
      <c r="D13" s="190" t="s">
        <v>519</v>
      </c>
      <c r="E13" s="192" t="s">
        <v>523</v>
      </c>
      <c r="F13" s="190" t="s">
        <v>519</v>
      </c>
      <c r="G13" s="160" t="s">
        <v>520</v>
      </c>
      <c r="H13" s="160"/>
      <c r="I13" s="160"/>
      <c r="J13" s="159"/>
    </row>
    <row r="14" spans="2:10" ht="20.45" customHeight="1">
      <c r="B14" s="189" t="s">
        <v>524</v>
      </c>
      <c r="C14" s="190" t="s">
        <v>519</v>
      </c>
      <c r="D14" s="190" t="s">
        <v>518</v>
      </c>
      <c r="E14" s="190" t="s">
        <v>518</v>
      </c>
      <c r="F14" s="190" t="s">
        <v>518</v>
      </c>
      <c r="G14" s="191"/>
      <c r="H14" s="191"/>
      <c r="I14" s="160" t="s">
        <v>520</v>
      </c>
      <c r="J14" s="159"/>
    </row>
    <row r="15" spans="2:10" ht="20.45" customHeight="1">
      <c r="B15" s="189" t="s">
        <v>525</v>
      </c>
      <c r="C15" s="190" t="s">
        <v>518</v>
      </c>
      <c r="D15" s="190" t="s">
        <v>519</v>
      </c>
      <c r="E15" s="192" t="s">
        <v>523</v>
      </c>
      <c r="F15" s="190" t="s">
        <v>519</v>
      </c>
      <c r="G15" s="191"/>
      <c r="H15" s="160" t="s">
        <v>520</v>
      </c>
      <c r="I15" s="191"/>
      <c r="J15" s="159"/>
    </row>
    <row r="16" spans="2:10" ht="20.45" customHeight="1">
      <c r="B16" s="189" t="s">
        <v>526</v>
      </c>
      <c r="C16" s="190" t="s">
        <v>519</v>
      </c>
      <c r="D16" s="190" t="s">
        <v>518</v>
      </c>
      <c r="E16" s="190" t="s">
        <v>518</v>
      </c>
      <c r="F16" s="190" t="s">
        <v>518</v>
      </c>
      <c r="G16" s="191"/>
      <c r="H16" s="160" t="s">
        <v>520</v>
      </c>
      <c r="I16" s="191"/>
      <c r="J16" s="159"/>
    </row>
    <row r="17" spans="2:10" ht="20.45" customHeight="1">
      <c r="B17" s="193" t="s">
        <v>92</v>
      </c>
      <c r="C17" s="194">
        <f>[3]Prioritization!N19</f>
        <v>0.75</v>
      </c>
      <c r="D17" s="194">
        <f>[3]Prioritization!O19</f>
        <v>0.25</v>
      </c>
      <c r="E17" s="194">
        <f>[3]Prioritization!P19</f>
        <v>0.33333333333333298</v>
      </c>
      <c r="F17" s="194">
        <f>[3]Prioritization!Q19</f>
        <v>0</v>
      </c>
      <c r="G17" s="188" t="s">
        <v>516</v>
      </c>
      <c r="H17" s="188" t="s">
        <v>516</v>
      </c>
      <c r="I17" s="188" t="s">
        <v>516</v>
      </c>
      <c r="J17" s="159"/>
    </row>
    <row r="18" spans="2:10" ht="20.45" customHeight="1">
      <c r="B18" s="189" t="s">
        <v>527</v>
      </c>
      <c r="C18" s="190" t="s">
        <v>518</v>
      </c>
      <c r="D18" s="190" t="s">
        <v>519</v>
      </c>
      <c r="E18" s="190" t="s">
        <v>519</v>
      </c>
      <c r="F18" s="190" t="s">
        <v>519</v>
      </c>
      <c r="G18" s="160" t="s">
        <v>520</v>
      </c>
      <c r="H18" s="160"/>
      <c r="I18" s="191"/>
      <c r="J18" s="159"/>
    </row>
    <row r="19" spans="2:10" ht="20.45" customHeight="1">
      <c r="B19" s="189" t="s">
        <v>528</v>
      </c>
      <c r="C19" s="190" t="s">
        <v>518</v>
      </c>
      <c r="D19" s="190" t="s">
        <v>519</v>
      </c>
      <c r="E19" s="190" t="s">
        <v>519</v>
      </c>
      <c r="F19" s="190" t="s">
        <v>519</v>
      </c>
      <c r="G19" s="191"/>
      <c r="H19" s="160" t="s">
        <v>520</v>
      </c>
      <c r="I19" s="191"/>
      <c r="J19" s="159"/>
    </row>
    <row r="20" spans="2:10" ht="20.45" customHeight="1">
      <c r="B20" s="189" t="s">
        <v>529</v>
      </c>
      <c r="C20" s="190" t="s">
        <v>519</v>
      </c>
      <c r="D20" s="190" t="s">
        <v>518</v>
      </c>
      <c r="E20" s="190" t="s">
        <v>518</v>
      </c>
      <c r="F20" s="190" t="s">
        <v>518</v>
      </c>
      <c r="G20" s="191"/>
      <c r="H20" s="160" t="s">
        <v>520</v>
      </c>
      <c r="I20" s="191"/>
      <c r="J20" s="159"/>
    </row>
    <row r="21" spans="2:10" ht="20.45" customHeight="1">
      <c r="B21" s="189" t="s">
        <v>530</v>
      </c>
      <c r="C21" s="190" t="s">
        <v>519</v>
      </c>
      <c r="D21" s="190" t="s">
        <v>518</v>
      </c>
      <c r="E21" s="192" t="s">
        <v>523</v>
      </c>
      <c r="F21" s="190" t="s">
        <v>518</v>
      </c>
      <c r="G21" s="191"/>
      <c r="H21" s="191"/>
      <c r="I21" s="160" t="s">
        <v>520</v>
      </c>
      <c r="J21" s="159"/>
    </row>
    <row r="22" spans="2:10" ht="20.45" customHeight="1">
      <c r="B22" s="193" t="s">
        <v>95</v>
      </c>
      <c r="C22" s="194">
        <f>[3]Prioritization!N20</f>
        <v>0.875</v>
      </c>
      <c r="D22" s="194">
        <f>[3]Prioritization!O20</f>
        <v>0.75</v>
      </c>
      <c r="E22" s="194">
        <f>[3]Prioritization!P20</f>
        <v>0.66666666666666696</v>
      </c>
      <c r="F22" s="194">
        <f>[3]Prioritization!Q20</f>
        <v>1</v>
      </c>
      <c r="G22" s="188" t="s">
        <v>516</v>
      </c>
      <c r="H22" s="188" t="s">
        <v>516</v>
      </c>
      <c r="I22" s="188" t="s">
        <v>516</v>
      </c>
      <c r="J22" s="159"/>
    </row>
    <row r="23" spans="2:10" ht="20.45" customHeight="1">
      <c r="B23" s="189" t="s">
        <v>531</v>
      </c>
      <c r="C23" s="190" t="s">
        <v>518</v>
      </c>
      <c r="D23" s="190" t="s">
        <v>519</v>
      </c>
      <c r="E23" s="190" t="s">
        <v>519</v>
      </c>
      <c r="F23" s="190" t="s">
        <v>519</v>
      </c>
      <c r="G23" s="191"/>
      <c r="H23" s="191"/>
      <c r="I23" s="160" t="s">
        <v>520</v>
      </c>
      <c r="J23" s="159"/>
    </row>
    <row r="24" spans="2:10" ht="20.45" customHeight="1">
      <c r="B24" s="189" t="s">
        <v>532</v>
      </c>
      <c r="C24" s="190" t="s">
        <v>518</v>
      </c>
      <c r="D24" s="190" t="s">
        <v>519</v>
      </c>
      <c r="E24" s="190" t="s">
        <v>519</v>
      </c>
      <c r="F24" s="190" t="s">
        <v>519</v>
      </c>
      <c r="G24" s="191"/>
      <c r="H24" s="160" t="s">
        <v>520</v>
      </c>
      <c r="I24" s="191"/>
      <c r="J24" s="159"/>
    </row>
    <row r="25" spans="2:10" ht="20.45" customHeight="1">
      <c r="B25" s="189" t="s">
        <v>533</v>
      </c>
      <c r="C25" s="190" t="s">
        <v>518</v>
      </c>
      <c r="D25" s="190" t="s">
        <v>519</v>
      </c>
      <c r="E25" s="190" t="s">
        <v>519</v>
      </c>
      <c r="F25" s="190" t="s">
        <v>519</v>
      </c>
      <c r="G25" s="160" t="s">
        <v>520</v>
      </c>
      <c r="H25" s="191"/>
      <c r="I25" s="191"/>
      <c r="J25" s="159"/>
    </row>
    <row r="26" spans="2:10" ht="20.45" customHeight="1">
      <c r="B26" s="189" t="s">
        <v>534</v>
      </c>
      <c r="C26" s="190" t="s">
        <v>518</v>
      </c>
      <c r="D26" s="190" t="s">
        <v>519</v>
      </c>
      <c r="E26" s="190" t="s">
        <v>519</v>
      </c>
      <c r="F26" s="190" t="s">
        <v>519</v>
      </c>
      <c r="G26" s="160" t="s">
        <v>520</v>
      </c>
      <c r="H26" s="191"/>
      <c r="I26" s="191"/>
      <c r="J26" s="159"/>
    </row>
    <row r="27" spans="2:10" ht="20.45" customHeight="1">
      <c r="B27" s="189" t="s">
        <v>535</v>
      </c>
      <c r="C27" s="190" t="s">
        <v>519</v>
      </c>
      <c r="D27" s="190" t="s">
        <v>518</v>
      </c>
      <c r="E27" s="190" t="s">
        <v>518</v>
      </c>
      <c r="F27" s="190" t="s">
        <v>518</v>
      </c>
      <c r="G27" s="191"/>
      <c r="H27" s="191"/>
      <c r="I27" s="160" t="s">
        <v>520</v>
      </c>
      <c r="J27" s="159"/>
    </row>
    <row r="28" spans="2:10" ht="20.45" customHeight="1">
      <c r="B28" s="189" t="s">
        <v>536</v>
      </c>
      <c r="C28" s="195" t="s">
        <v>537</v>
      </c>
      <c r="D28" s="192" t="s">
        <v>523</v>
      </c>
      <c r="E28" s="192" t="s">
        <v>523</v>
      </c>
      <c r="F28" s="192" t="s">
        <v>523</v>
      </c>
      <c r="G28" s="191"/>
      <c r="H28" s="191"/>
      <c r="I28" s="191"/>
      <c r="J28" s="159"/>
    </row>
    <row r="29" spans="2:10" ht="20.45" customHeight="1">
      <c r="B29" s="193" t="s">
        <v>89</v>
      </c>
      <c r="C29" s="194">
        <f>[3]Prioritization!N18</f>
        <v>0.75</v>
      </c>
      <c r="D29" s="194">
        <f>[3]Prioritization!O18</f>
        <v>0.25</v>
      </c>
      <c r="E29" s="194">
        <f>[3]Prioritization!P18</f>
        <v>0.33333333333333298</v>
      </c>
      <c r="F29" s="194">
        <f>[3]Prioritization!Q18</f>
        <v>1</v>
      </c>
      <c r="G29" s="188" t="s">
        <v>516</v>
      </c>
      <c r="H29" s="188" t="s">
        <v>516</v>
      </c>
      <c r="I29" s="188" t="s">
        <v>516</v>
      </c>
      <c r="J29" s="159"/>
    </row>
    <row r="30" spans="2:10" ht="20.45" customHeight="1">
      <c r="B30" s="189" t="s">
        <v>538</v>
      </c>
      <c r="C30" s="190" t="s">
        <v>518</v>
      </c>
      <c r="D30" s="190" t="s">
        <v>519</v>
      </c>
      <c r="E30" s="192" t="s">
        <v>523</v>
      </c>
      <c r="F30" s="190" t="s">
        <v>519</v>
      </c>
      <c r="G30" s="160" t="s">
        <v>520</v>
      </c>
      <c r="H30" s="160" t="s">
        <v>520</v>
      </c>
      <c r="I30" s="191"/>
      <c r="J30" s="159"/>
    </row>
    <row r="31" spans="2:10" ht="20.45" customHeight="1">
      <c r="B31" s="189" t="s">
        <v>539</v>
      </c>
      <c r="C31" s="192" t="s">
        <v>523</v>
      </c>
      <c r="D31" s="190" t="s">
        <v>540</v>
      </c>
      <c r="E31" s="190" t="s">
        <v>540</v>
      </c>
      <c r="F31" s="190" t="s">
        <v>540</v>
      </c>
      <c r="G31" s="191"/>
      <c r="H31" s="191"/>
      <c r="I31" s="191"/>
      <c r="J31" s="159"/>
    </row>
    <row r="32" spans="2:10" ht="20.45" customHeight="1">
      <c r="B32" s="189" t="s">
        <v>541</v>
      </c>
      <c r="C32" s="195" t="s">
        <v>537</v>
      </c>
      <c r="D32" s="192" t="s">
        <v>523</v>
      </c>
      <c r="E32" s="192" t="s">
        <v>523</v>
      </c>
      <c r="F32" s="192" t="s">
        <v>523</v>
      </c>
      <c r="G32" s="191"/>
      <c r="H32" s="191"/>
      <c r="I32" s="191"/>
      <c r="J32" s="159"/>
    </row>
    <row r="33" spans="2:10" ht="20.45" customHeight="1">
      <c r="B33" s="189" t="s">
        <v>542</v>
      </c>
      <c r="C33" s="192" t="s">
        <v>523</v>
      </c>
      <c r="D33" s="190" t="s">
        <v>540</v>
      </c>
      <c r="E33" s="190" t="s">
        <v>540</v>
      </c>
      <c r="F33" s="190" t="s">
        <v>540</v>
      </c>
      <c r="G33" s="191"/>
      <c r="H33" s="191"/>
      <c r="I33" s="191"/>
      <c r="J33" s="159"/>
    </row>
    <row r="34" spans="2:10" ht="20.45" customHeight="1">
      <c r="B34" s="193" t="s">
        <v>107</v>
      </c>
      <c r="C34" s="194">
        <f>[3]Prioritization!N24</f>
        <v>0.75</v>
      </c>
      <c r="D34" s="194">
        <f>[3]Prioritization!O24</f>
        <v>0</v>
      </c>
      <c r="E34" s="194">
        <f>[3]Prioritization!P24</f>
        <v>0.66666666666666696</v>
      </c>
      <c r="F34" s="194">
        <f>[3]Prioritization!Q24</f>
        <v>0</v>
      </c>
      <c r="G34" s="188" t="s">
        <v>516</v>
      </c>
      <c r="H34" s="188" t="s">
        <v>516</v>
      </c>
      <c r="I34" s="188" t="s">
        <v>516</v>
      </c>
      <c r="J34" s="159"/>
    </row>
    <row r="35" spans="2:10" ht="20.45" customHeight="1">
      <c r="B35" s="189" t="s">
        <v>543</v>
      </c>
      <c r="C35" s="190" t="s">
        <v>519</v>
      </c>
      <c r="D35" s="190" t="s">
        <v>519</v>
      </c>
      <c r="E35" s="190" t="s">
        <v>519</v>
      </c>
      <c r="F35" s="190" t="s">
        <v>519</v>
      </c>
      <c r="G35" s="160" t="s">
        <v>520</v>
      </c>
      <c r="H35" s="160" t="s">
        <v>520</v>
      </c>
      <c r="I35" s="160" t="s">
        <v>520</v>
      </c>
      <c r="J35" t="s">
        <v>544</v>
      </c>
    </row>
    <row r="36" spans="2:10" ht="20.45" customHeight="1">
      <c r="B36" s="189" t="s">
        <v>545</v>
      </c>
      <c r="C36" s="190" t="s">
        <v>519</v>
      </c>
      <c r="D36" s="190" t="s">
        <v>519</v>
      </c>
      <c r="E36" s="190" t="s">
        <v>519</v>
      </c>
      <c r="F36" s="190" t="s">
        <v>519</v>
      </c>
      <c r="G36" s="160" t="s">
        <v>520</v>
      </c>
      <c r="H36" s="160" t="s">
        <v>520</v>
      </c>
      <c r="I36" s="160" t="s">
        <v>520</v>
      </c>
      <c r="J36" s="159"/>
    </row>
    <row r="37" spans="2:10" ht="20.45" customHeight="1">
      <c r="B37" s="189" t="s">
        <v>546</v>
      </c>
      <c r="C37" s="190" t="s">
        <v>519</v>
      </c>
      <c r="D37" s="190" t="s">
        <v>519</v>
      </c>
      <c r="E37" s="190" t="s">
        <v>519</v>
      </c>
      <c r="F37" s="190" t="s">
        <v>519</v>
      </c>
      <c r="G37" s="160" t="s">
        <v>520</v>
      </c>
      <c r="H37" s="160" t="s">
        <v>520</v>
      </c>
      <c r="I37" s="160" t="s">
        <v>520</v>
      </c>
      <c r="J37" s="159"/>
    </row>
    <row r="38" spans="2:10" ht="20.45" customHeight="1">
      <c r="B38" s="189" t="s">
        <v>547</v>
      </c>
      <c r="C38" s="192" t="s">
        <v>523</v>
      </c>
      <c r="D38" s="190" t="s">
        <v>540</v>
      </c>
      <c r="E38" s="190" t="s">
        <v>540</v>
      </c>
      <c r="F38" s="190" t="s">
        <v>540</v>
      </c>
      <c r="G38" s="191"/>
      <c r="H38" s="191"/>
      <c r="I38" s="191"/>
      <c r="J38" s="159"/>
    </row>
    <row r="39" spans="2:10" ht="20.45" customHeight="1">
      <c r="B39" s="189" t="s">
        <v>548</v>
      </c>
      <c r="C39" s="190" t="s">
        <v>540</v>
      </c>
      <c r="D39" s="192" t="s">
        <v>523</v>
      </c>
      <c r="E39" s="192" t="s">
        <v>523</v>
      </c>
      <c r="F39" s="192" t="s">
        <v>523</v>
      </c>
      <c r="G39" s="191"/>
      <c r="H39" s="191"/>
      <c r="I39" s="191"/>
      <c r="J39" s="159"/>
    </row>
    <row r="40" spans="2:10" ht="20.45" customHeight="1">
      <c r="B40" s="193" t="s">
        <v>101</v>
      </c>
      <c r="C40" s="194">
        <f>[3]Prioritization!N22</f>
        <v>0.625</v>
      </c>
      <c r="D40" s="194">
        <f>[3]Prioritization!O22</f>
        <v>0.25</v>
      </c>
      <c r="E40" s="194">
        <f>[3]Prioritization!P22</f>
        <v>0.66666666666666696</v>
      </c>
      <c r="F40" s="194">
        <f>[3]Prioritization!Q22</f>
        <v>0</v>
      </c>
      <c r="G40" s="188" t="s">
        <v>516</v>
      </c>
      <c r="H40" s="188" t="s">
        <v>516</v>
      </c>
      <c r="I40" s="188" t="s">
        <v>516</v>
      </c>
      <c r="J40" s="159"/>
    </row>
    <row r="41" spans="2:10" ht="20.45" customHeight="1">
      <c r="B41" s="189" t="s">
        <v>549</v>
      </c>
      <c r="C41" s="190" t="s">
        <v>518</v>
      </c>
      <c r="D41" s="190" t="s">
        <v>519</v>
      </c>
      <c r="E41" s="190" t="s">
        <v>519</v>
      </c>
      <c r="F41" s="190" t="s">
        <v>519</v>
      </c>
      <c r="G41" s="160"/>
      <c r="H41" s="160" t="s">
        <v>520</v>
      </c>
      <c r="I41" s="160" t="s">
        <v>520</v>
      </c>
      <c r="J41" s="159"/>
    </row>
    <row r="42" spans="2:10" ht="20.45" customHeight="1">
      <c r="B42" s="189" t="s">
        <v>550</v>
      </c>
      <c r="C42" s="190" t="s">
        <v>518</v>
      </c>
      <c r="D42" s="192" t="s">
        <v>523</v>
      </c>
      <c r="E42" s="190" t="s">
        <v>519</v>
      </c>
      <c r="F42" s="192" t="s">
        <v>523</v>
      </c>
      <c r="G42" s="191"/>
      <c r="H42" s="160" t="s">
        <v>520</v>
      </c>
      <c r="I42" s="160" t="s">
        <v>520</v>
      </c>
      <c r="J42" s="159"/>
    </row>
    <row r="43" spans="2:10" ht="20.45" customHeight="1">
      <c r="B43" s="189" t="s">
        <v>551</v>
      </c>
      <c r="C43" s="190" t="s">
        <v>518</v>
      </c>
      <c r="D43" s="190" t="s">
        <v>519</v>
      </c>
      <c r="E43" s="190" t="s">
        <v>519</v>
      </c>
      <c r="F43" s="190" t="s">
        <v>519</v>
      </c>
      <c r="G43" s="191"/>
      <c r="H43" s="191"/>
      <c r="I43" s="160" t="s">
        <v>520</v>
      </c>
      <c r="J43" s="159" t="s">
        <v>516</v>
      </c>
    </row>
    <row r="44" spans="2:10" ht="20.45" customHeight="1">
      <c r="B44" s="189" t="s">
        <v>552</v>
      </c>
      <c r="C44" s="190" t="s">
        <v>519</v>
      </c>
      <c r="D44" s="190" t="s">
        <v>518</v>
      </c>
      <c r="E44" s="190" t="s">
        <v>518</v>
      </c>
      <c r="F44" s="190" t="s">
        <v>518</v>
      </c>
      <c r="G44" s="160" t="s">
        <v>520</v>
      </c>
      <c r="H44" s="191"/>
      <c r="I44" s="160"/>
      <c r="J44" s="159"/>
    </row>
    <row r="45" spans="2:10">
      <c r="B45" s="196" t="s">
        <v>553</v>
      </c>
      <c r="C45" s="190" t="s">
        <v>519</v>
      </c>
      <c r="D45" s="197" t="s">
        <v>518</v>
      </c>
      <c r="E45" s="197" t="s">
        <v>518</v>
      </c>
      <c r="F45" s="197" t="s">
        <v>518</v>
      </c>
      <c r="G45" s="198"/>
      <c r="H45" s="198"/>
      <c r="I45" s="160" t="s">
        <v>520</v>
      </c>
    </row>
    <row r="46" spans="2:10" ht="15.75">
      <c r="B46" s="193" t="s">
        <v>104</v>
      </c>
      <c r="C46" s="194">
        <f>[3]Prioritization!N23</f>
        <v>0.25</v>
      </c>
      <c r="D46" s="194">
        <f>[3]Prioritization!O23</f>
        <v>0</v>
      </c>
      <c r="E46" s="194">
        <f>[3]Prioritization!P23</f>
        <v>0</v>
      </c>
      <c r="F46" s="194">
        <f>[3]Prioritization!Q23</f>
        <v>0</v>
      </c>
      <c r="G46" s="188" t="s">
        <v>516</v>
      </c>
      <c r="H46" s="188" t="s">
        <v>516</v>
      </c>
      <c r="I46" s="188" t="s">
        <v>516</v>
      </c>
    </row>
    <row r="47" spans="2:10">
      <c r="B47" s="189" t="s">
        <v>554</v>
      </c>
      <c r="C47" s="190" t="s">
        <v>519</v>
      </c>
      <c r="D47" s="190" t="s">
        <v>519</v>
      </c>
      <c r="E47" s="190" t="s">
        <v>519</v>
      </c>
      <c r="F47" s="190" t="s">
        <v>519</v>
      </c>
      <c r="G47" s="191"/>
      <c r="H47" s="160" t="s">
        <v>520</v>
      </c>
      <c r="I47" s="160" t="s">
        <v>520</v>
      </c>
    </row>
    <row r="48" spans="2:10">
      <c r="B48" s="189" t="s">
        <v>555</v>
      </c>
      <c r="C48" s="190" t="s">
        <v>519</v>
      </c>
      <c r="D48" s="192" t="s">
        <v>519</v>
      </c>
      <c r="E48" s="192" t="s">
        <v>519</v>
      </c>
      <c r="F48" s="192" t="s">
        <v>519</v>
      </c>
      <c r="G48" s="160" t="s">
        <v>520</v>
      </c>
      <c r="H48" s="191"/>
      <c r="I48" s="191"/>
    </row>
    <row r="49" spans="2:9">
      <c r="B49" s="189" t="s">
        <v>556</v>
      </c>
      <c r="C49" s="190" t="s">
        <v>540</v>
      </c>
      <c r="D49" s="192" t="s">
        <v>523</v>
      </c>
      <c r="E49" s="192" t="s">
        <v>523</v>
      </c>
      <c r="F49" s="192" t="s">
        <v>523</v>
      </c>
      <c r="G49" s="191"/>
      <c r="H49" s="191"/>
      <c r="I49" s="191"/>
    </row>
  </sheetData>
  <conditionalFormatting sqref="B1">
    <cfRule type="cellIs" dxfId="30" priority="22" operator="equal">
      <formula>"B"</formula>
    </cfRule>
    <cfRule type="cellIs" dxfId="29" priority="23" operator="equal">
      <formula>"R"</formula>
    </cfRule>
    <cfRule type="cellIs" dxfId="28" priority="24" operator="equal">
      <formula>"Blocked"</formula>
    </cfRule>
    <cfRule type="cellIs" dxfId="27" priority="25" operator="equal">
      <formula>"Receives"</formula>
    </cfRule>
    <cfRule type="cellIs" dxfId="26" priority="26" operator="equal">
      <formula>"Shares"</formula>
    </cfRule>
  </conditionalFormatting>
  <conditionalFormatting sqref="C11:F49 G12">
    <cfRule type="cellIs" dxfId="25" priority="27" operator="equal">
      <formula>"B"</formula>
    </cfRule>
    <cfRule type="cellIs" dxfId="24" priority="28" operator="equal">
      <formula>"R"</formula>
    </cfRule>
  </conditionalFormatting>
  <conditionalFormatting sqref="G44">
    <cfRule type="cellIs" dxfId="23" priority="10" operator="equal">
      <formula>"Blocked"</formula>
    </cfRule>
    <cfRule type="cellIs" dxfId="22" priority="11" operator="equal">
      <formula>"Receives"</formula>
    </cfRule>
    <cfRule type="cellIs" dxfId="21" priority="12" operator="equal">
      <formula>"Shares"</formula>
    </cfRule>
  </conditionalFormatting>
  <conditionalFormatting sqref="G48">
    <cfRule type="cellIs" dxfId="20" priority="1" operator="equal">
      <formula>"Blocked"</formula>
    </cfRule>
    <cfRule type="cellIs" dxfId="19" priority="2" operator="equal">
      <formula>"Receives"</formula>
    </cfRule>
    <cfRule type="cellIs" dxfId="18" priority="3" operator="equal">
      <formula>"Shares"</formula>
    </cfRule>
  </conditionalFormatting>
  <conditionalFormatting sqref="G11:H13 C11:F49 I12:I14 H15:H16 G18 H18:H20 H24 G25:G26 I27 G30:H30 G41 H41:I42">
    <cfRule type="cellIs" dxfId="17" priority="29" operator="equal">
      <formula>"Blocked"</formula>
    </cfRule>
    <cfRule type="cellIs" dxfId="16" priority="30" operator="equal">
      <formula>"Receives"</formula>
    </cfRule>
    <cfRule type="cellIs" dxfId="15" priority="31" operator="equal">
      <formula>"Shares"</formula>
    </cfRule>
  </conditionalFormatting>
  <conditionalFormatting sqref="G35:I37">
    <cfRule type="cellIs" dxfId="14" priority="13" operator="equal">
      <formula>"Blocked"</formula>
    </cfRule>
    <cfRule type="cellIs" dxfId="13" priority="14" operator="equal">
      <formula>"Receives"</formula>
    </cfRule>
    <cfRule type="cellIs" dxfId="12" priority="15" operator="equal">
      <formula>"Shares"</formula>
    </cfRule>
  </conditionalFormatting>
  <conditionalFormatting sqref="H47:I47">
    <cfRule type="cellIs" dxfId="11" priority="4" operator="equal">
      <formula>"Blocked"</formula>
    </cfRule>
    <cfRule type="cellIs" dxfId="10" priority="5" operator="equal">
      <formula>"Receives"</formula>
    </cfRule>
    <cfRule type="cellIs" dxfId="9" priority="6" operator="equal">
      <formula>"Shares"</formula>
    </cfRule>
  </conditionalFormatting>
  <conditionalFormatting sqref="I21">
    <cfRule type="cellIs" dxfId="8" priority="19" operator="equal">
      <formula>"Blocked"</formula>
    </cfRule>
    <cfRule type="cellIs" dxfId="7" priority="20" operator="equal">
      <formula>"Receives"</formula>
    </cfRule>
    <cfRule type="cellIs" dxfId="6" priority="21" operator="equal">
      <formula>"Shares"</formula>
    </cfRule>
  </conditionalFormatting>
  <conditionalFormatting sqref="I23">
    <cfRule type="cellIs" dxfId="5" priority="16" operator="equal">
      <formula>"Blocked"</formula>
    </cfRule>
    <cfRule type="cellIs" dxfId="4" priority="17" operator="equal">
      <formula>"Receives"</formula>
    </cfRule>
    <cfRule type="cellIs" dxfId="3" priority="18" operator="equal">
      <formula>"Shares"</formula>
    </cfRule>
  </conditionalFormatting>
  <conditionalFormatting sqref="I43:I45">
    <cfRule type="cellIs" dxfId="2" priority="7" operator="equal">
      <formula>"Blocked"</formula>
    </cfRule>
    <cfRule type="cellIs" dxfId="1" priority="8" operator="equal">
      <formula>"Receives"</formula>
    </cfRule>
    <cfRule type="cellIs" dxfId="0" priority="9" operator="equal">
      <formula>"Shares"</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455973477522D54599A289A73B6F4B36" ma:contentTypeVersion="10" ma:contentTypeDescription="Create a new document." ma:contentTypeScope="" ma:versionID="1e4b3aec2989e391cec0fa22c4650b50">
  <xsd:schema xmlns:xsd="http://www.w3.org/2001/XMLSchema" xmlns:xs="http://www.w3.org/2001/XMLSchema" xmlns:p="http://schemas.microsoft.com/office/2006/metadata/properties" xmlns:ns2="1d3e5167-260b-465b-8dca-c5eda5682949" xmlns:ns3="ed649bbd-5356-47b5-8c27-7aeded4c1224" targetNamespace="http://schemas.microsoft.com/office/2006/metadata/properties" ma:root="true" ma:fieldsID="dcacda30bb7fc02f2e510404b728e91d" ns2:_="" ns3:_="">
    <xsd:import namespace="1d3e5167-260b-465b-8dca-c5eda5682949"/>
    <xsd:import namespace="ed649bbd-5356-47b5-8c27-7aeded4c1224"/>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d3e5167-260b-465b-8dca-c5eda568294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e9dc05a5-5f66-459e-88a9-7fe0ffe85620"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ed649bbd-5356-47b5-8c27-7aeded4c1224"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39175591-e59a-49e0-9000-034901b201e0}" ma:internalName="TaxCatchAll" ma:showField="CatchAllData" ma:web="ed649bbd-5356-47b5-8c27-7aeded4c122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1d3e5167-260b-465b-8dca-c5eda5682949">
      <Terms xmlns="http://schemas.microsoft.com/office/infopath/2007/PartnerControls"/>
    </lcf76f155ced4ddcb4097134ff3c332f>
    <TaxCatchAll xmlns="ed649bbd-5356-47b5-8c27-7aeded4c1224"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E24F8C8-75B9-4E04-BAFF-2E84A7F8AEEA}"/>
</file>

<file path=customXml/itemProps2.xml><?xml version="1.0" encoding="utf-8"?>
<ds:datastoreItem xmlns:ds="http://schemas.openxmlformats.org/officeDocument/2006/customXml" ds:itemID="{A8109BE2-1B43-4BED-9DFF-C6AB1F63C213}"/>
</file>

<file path=customXml/itemProps3.xml><?xml version="1.0" encoding="utf-8"?>
<ds:datastoreItem xmlns:ds="http://schemas.openxmlformats.org/officeDocument/2006/customXml" ds:itemID="{D30D090D-1686-4EF1-8B68-D27CF5CDC94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Aysegul Yamak Eveno</dc:creator>
  <cp:keywords/>
  <dc:description/>
  <cp:lastModifiedBy/>
  <cp:revision/>
  <dcterms:created xsi:type="dcterms:W3CDTF">2015-06-05T18:17:20Z</dcterms:created>
  <dcterms:modified xsi:type="dcterms:W3CDTF">2026-06-16T14:44:57Z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0x010100455973477522D54599A289A73B6F4B36</vt:lpwstr>
  </property>
  <property fmtid="{D5CDD505-2E9C-101B-9397-08002B2CF9AE}" pid="3" name="MediaServiceImageTags">
    <vt:lpwstr/>
  </property>
</Properties>
</file>